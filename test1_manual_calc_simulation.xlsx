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1_Hand" sheetId="1" state="visible" r:id="rId3"/>
    <sheet name="Integral" sheetId="2" state="visible" r:id="rId4"/>
    <sheet name="Excel_Simulation" sheetId="3" state="visible" r:id="rId5"/>
    <sheet name="Resul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<sst xmlns="http://schemas.openxmlformats.org/spreadsheetml/2006/main" count="158" uniqueCount="132">
  <si>
    <t xml:space="preserve">Test 1: one risk, one response. Hand calculation</t>
  </si>
  <si>
    <t xml:space="preserve">ILLUSTRATIVE placeholders (Assumptions), not site data. Blue on yellow = input; black = formula; green = link to another sheet.</t>
  </si>
  <si>
    <t xml:space="preserve">Input</t>
  </si>
  <si>
    <t xml:space="preserve">Value</t>
  </si>
  <si>
    <t xml:space="preserve">Unit / note</t>
  </si>
  <si>
    <t xml:space="preserve">Planned duration T0</t>
  </si>
  <si>
    <t xml:space="preserve">days</t>
  </si>
  <si>
    <t xml:space="preserve">Deadline</t>
  </si>
  <si>
    <t xml:space="preserve">Delay cost Cd</t>
  </si>
  <si>
    <t xml:space="preserve">INR per day of delay</t>
  </si>
  <si>
    <t xml:space="preserve">Liquidated damages LD</t>
  </si>
  <si>
    <t xml:space="preserve">INR per day after the deadline</t>
  </si>
  <si>
    <t xml:space="preserve">PERT lambda</t>
  </si>
  <si>
    <t xml:space="preserve">standard weight</t>
  </si>
  <si>
    <t xml:space="preserve">Delay a (min)</t>
  </si>
  <si>
    <t xml:space="preserve">Delay m (mode)</t>
  </si>
  <si>
    <t xml:space="preserve">Delay b (max)</t>
  </si>
  <si>
    <t xml:space="preserve">p, accept (no response)</t>
  </si>
  <si>
    <t xml:space="preserve">probability R-MAT occurs</t>
  </si>
  <si>
    <t xml:space="preserve">p, with M-BUF</t>
  </si>
  <si>
    <t xml:space="preserve">probability after buffer stock</t>
  </si>
  <si>
    <t xml:space="preserve">M-BUF cost</t>
  </si>
  <si>
    <t xml:space="preserve">INR</t>
  </si>
  <si>
    <t xml:space="preserve">Derived quantity</t>
  </si>
  <si>
    <t xml:space="preserve">Formula</t>
  </si>
  <si>
    <t xml:space="preserve">Threshold c = deadline - T0 (d)</t>
  </si>
  <si>
    <t xml:space="preserve">delay beyond c breaks the deadline</t>
  </si>
  <si>
    <t xml:space="preserve">Mean delay if it occurs, mu</t>
  </si>
  <si>
    <t xml:space="preserve">(a + lambda*m + b)/(lambda + 2)</t>
  </si>
  <si>
    <t xml:space="preserve">Variance of delay if it occurs</t>
  </si>
  <si>
    <t xml:space="preserve">(mu - a)(b - mu)/(lambda + 3)</t>
  </si>
  <si>
    <t xml:space="preserve">Beta alpha</t>
  </si>
  <si>
    <t xml:space="preserve">1 + lambda (m - a)/(b - a)</t>
  </si>
  <si>
    <t xml:space="preserve">Beta beta</t>
  </si>
  <si>
    <t xml:space="preserve">1 + lambda (b - m)/(b - a)</t>
  </si>
  <si>
    <t xml:space="preserve">P(delay &lt;= c | occurs), F(c)</t>
  </si>
  <si>
    <t xml:space="preserve">Beta CDF at c</t>
  </si>
  <si>
    <t xml:space="preserve">P(delay &gt; c | occurs)</t>
  </si>
  <si>
    <t xml:space="preserve">E[(delay - c)+ | occurs] (d)</t>
  </si>
  <si>
    <t xml:space="preserve">integral of 1 - F(x) from c to b (Simpson, sheet Integral)</t>
  </si>
  <si>
    <t xml:space="preserve">Result by hand</t>
  </si>
  <si>
    <t xml:space="preserve">Accept (no response)</t>
  </si>
  <si>
    <t xml:space="preserve">With M-BUF</t>
  </si>
  <si>
    <t xml:space="preserve">How</t>
  </si>
  <si>
    <t xml:space="preserve">Probability of a delay</t>
  </si>
  <si>
    <t xml:space="preserve">p</t>
  </si>
  <si>
    <t xml:space="preserve">Expected delay (d)</t>
  </si>
  <si>
    <t xml:space="preserve">p x mu</t>
  </si>
  <si>
    <t xml:space="preserve">Expected delay cost (INR)</t>
  </si>
  <si>
    <t xml:space="preserve">Cd x expected delay</t>
  </si>
  <si>
    <t xml:space="preserve">P(finish after the deadline)</t>
  </si>
  <si>
    <t xml:space="preserve">p x P(delay &gt; c)</t>
  </si>
  <si>
    <t xml:space="preserve">Expected days past the deadline</t>
  </si>
  <si>
    <t xml:space="preserve">p x E[(delay - c)+]</t>
  </si>
  <si>
    <t xml:space="preserve">Expected liquidated damages (INR)</t>
  </si>
  <si>
    <t xml:space="preserve">LD x expected days past deadline</t>
  </si>
  <si>
    <t xml:space="preserve">Residual expected cost (INR)</t>
  </si>
  <si>
    <t xml:space="preserve">delay cost + LD</t>
  </si>
  <si>
    <t xml:space="preserve">Response cost (INR)</t>
  </si>
  <si>
    <t xml:space="preserve">Total expected cost, TEC (INR)</t>
  </si>
  <si>
    <t xml:space="preserve">response cost + residual</t>
  </si>
  <si>
    <t xml:space="preserve">TEC change vs accepting (INR)</t>
  </si>
  <si>
    <t xml:space="preserve">negative = cheaper than accepting</t>
  </si>
  <si>
    <t xml:space="preserve">Exact P80 duration (d)</t>
  </si>
  <si>
    <t xml:space="preserve">invert P(T &lt;= t) = (1-p) + p F(t - T0)</t>
  </si>
  <si>
    <t xml:space="preserve">Exact P90 duration (d)</t>
  </si>
  <si>
    <t xml:space="preserve">same</t>
  </si>
  <si>
    <t xml:space="preserve">Exact P95 duration (d)</t>
  </si>
  <si>
    <t xml:space="preserve">Hand decision</t>
  </si>
  <si>
    <t xml:space="preserve">Simpson integration of 1 - F(x) from c to b (40 intervals)</t>
  </si>
  <si>
    <t xml:space="preserve">E[(delay - c)+] = integral from c to b of (1 - F(x)) dx, F = Beta-PERT cumulative distribution. Simpson weights 1, 4, 2, 4, ..., 4, 1.</t>
  </si>
  <si>
    <t xml:space="preserve">i</t>
  </si>
  <si>
    <t xml:space="preserve">x (days of delay)</t>
  </si>
  <si>
    <t xml:space="preserve">S(x) = 1 - F(x)</t>
  </si>
  <si>
    <t xml:space="preserve">Weight</t>
  </si>
  <si>
    <t xml:space="preserve">Weight x S(x)</t>
  </si>
  <si>
    <t xml:space="preserve">step h</t>
  </si>
  <si>
    <t xml:space="preserve">Sum</t>
  </si>
  <si>
    <t xml:space="preserve">Integral = h/3 x sum</t>
  </si>
  <si>
    <t xml:space="preserve">Monte Carlo in Excel: 2,000 draws (uniform numbers pasted from numpy seed 12345; everything else is a formula)</t>
  </si>
  <si>
    <t xml:space="preserve">Excel simulation summary</t>
  </si>
  <si>
    <t xml:space="preserve">Accept</t>
  </si>
  <si>
    <t xml:space="preserve">Draws</t>
  </si>
  <si>
    <t xml:space="preserve">P(delay occurs)</t>
  </si>
  <si>
    <t xml:space="preserve">P90 duration (d)</t>
  </si>
  <si>
    <t xml:space="preserve">Total expected cost (INR)</t>
  </si>
  <si>
    <t xml:space="preserve">Standard error of the mean cost (INR)</t>
  </si>
  <si>
    <t xml:space="preserve">Draw</t>
  </si>
  <si>
    <t xml:space="preserve">U1 (occurrence)</t>
  </si>
  <si>
    <t xml:space="preserve">U2 (delay)</t>
  </si>
  <si>
    <t xml:space="preserve">Delay if occurs (d) =BETAINV(U2)</t>
  </si>
  <si>
    <t xml:space="preserve">Occurs, accept</t>
  </si>
  <si>
    <t xml:space="preserve">Duration, accept (d)</t>
  </si>
  <si>
    <t xml:space="preserve">Cost, accept (INR)</t>
  </si>
  <si>
    <t xml:space="preserve">Occurs, M-BUF</t>
  </si>
  <si>
    <t xml:space="preserve">Duration, M-BUF (d)</t>
  </si>
  <si>
    <t xml:space="preserve">Cost incl. M-BUF (INR)</t>
  </si>
  <si>
    <t xml:space="preserve">Test 1 result: hand vs Excel simulation vs the tool</t>
  </si>
  <si>
    <t xml:space="preserve">The hand column is exact (formulas on Test1_Hand). Tool columns are the numbers the tool printed for the same case (seed 12345). Tolerance: 3 standard errors of each quantity for the 2,000-draw Excel run (the least precise run), computed from the exact distribution below; the two tool runs are held to the same limit.</t>
  </si>
  <si>
    <t xml:space="preserve">Quantity</t>
  </si>
  <si>
    <t xml:space="preserve">Hand (exact)</t>
  </si>
  <si>
    <t xml:space="preserve">Excel simulation
(2,000 draws)</t>
  </si>
  <si>
    <t xml:space="preserve">Tool n=10,000</t>
  </si>
  <si>
    <t xml:space="preserve">Tool n=200,000</t>
  </si>
  <si>
    <t xml:space="preserve">|Excel - hand|</t>
  </si>
  <si>
    <t xml:space="preserve">|Tool 10k - hand|</t>
  </si>
  <si>
    <t xml:space="preserve">|Tool 200k - hand|</t>
  </si>
  <si>
    <t xml:space="preserve">Tolerance</t>
  </si>
  <si>
    <t xml:space="preserve">Excel</t>
  </si>
  <si>
    <t xml:space="preserve">Tool 10k</t>
  </si>
  <si>
    <t xml:space="preserve">Tool 200k</t>
  </si>
  <si>
    <t xml:space="preserve">ACCEPT (no response)</t>
  </si>
  <si>
    <t xml:space="preserve">WITH M-BUF</t>
  </si>
  <si>
    <t xml:space="preserve">n/a</t>
  </si>
  <si>
    <t xml:space="preserve">Total expected cost incl. M-BUF (INR)</t>
  </si>
  <si>
    <t xml:space="preserve">Decision</t>
  </si>
  <si>
    <t xml:space="preserve">Source</t>
  </si>
  <si>
    <t xml:space="preserve">TEC accept (INR)</t>
  </si>
  <si>
    <t xml:space="preserve">TEC with M-BUF (INR)</t>
  </si>
  <si>
    <t xml:space="preserve">Saving from M-BUF (INR)</t>
  </si>
  <si>
    <t xml:space="preserve">Agrees with hand?</t>
  </si>
  <si>
    <t xml:space="preserve">-</t>
  </si>
  <si>
    <t xml:space="preserve">Excel simulation</t>
  </si>
  <si>
    <t xml:space="preserve">Tool, n=10,000</t>
  </si>
  <si>
    <t xml:space="preserve">AUTHORIZE MITIGATION</t>
  </si>
  <si>
    <t xml:space="preserve">Tool, n=200,000</t>
  </si>
  <si>
    <t xml:space="preserve">Overall</t>
  </si>
  <si>
    <t xml:space="preserve">Checks counted</t>
  </si>
  <si>
    <t xml:space="preserve">Reading: the exact hand result, a 2,000-draw spreadsheet simulation and the tool's own simulation agree within sampling error, and all three reach the same decision. These inputs are placeholders; the result shows the arithmetic is right, not that the numbers fit a real site.</t>
  </si>
  <si>
    <t xml:space="preserve">Standard error of the P90 duration at the Excel run's N (helper for the tolerance)</t>
  </si>
  <si>
    <t xml:space="preserve">SE of P90 (d) = sqrt(0.9 x 0.1 / N) / density at P90</t>
  </si>
  <si>
    <t xml:space="preserve">Density of duration at the exact P90 (per day)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</si>
</sst>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"/>
    <numFmt numFmtId="167" formatCode="0.0"/>
    <numFmt numFmtId="168" formatCode="0.00"/>
    <numFmt numFmtId="169" formatCode="0.0000"/>
    <numFmt numFmtId="170" formatCode="0.000000"/>
    <numFmt numFmtId="171" formatCode="#,##0.00"/>
    <numFmt numFmtId="172" formatCode="#,##0.00;\(#,##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61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</row>
    <row r="4" customFormat="false" ht="15" hidden="false" customHeight="false" outlineLevel="0" collapsed="false">
      <c r="A4" s="4" t="s">
        <v>5</v>
      </c>
      <c r="B4" s="5" t="n">
        <v>16</v>
      </c>
      <c r="C4" s="6" t="s">
        <v>6</v>
      </c>
    </row>
    <row r="5" customFormat="false" ht="15" hidden="false" customHeight="false" outlineLevel="0" collapsed="false">
      <c r="A5" s="4" t="s">
        <v>7</v>
      </c>
      <c r="B5" s="5" t="n">
        <v>20</v>
      </c>
      <c r="C5" s="6" t="s">
        <v>6</v>
      </c>
    </row>
    <row r="6" customFormat="false" ht="15" hidden="false" customHeight="false" outlineLevel="0" collapsed="false">
      <c r="A6" s="4" t="s">
        <v>8</v>
      </c>
      <c r="B6" s="5" t="n">
        <v>8000</v>
      </c>
      <c r="C6" s="6" t="s">
        <v>9</v>
      </c>
    </row>
    <row r="7" customFormat="false" ht="15" hidden="false" customHeight="false" outlineLevel="0" collapsed="false">
      <c r="A7" s="4" t="s">
        <v>10</v>
      </c>
      <c r="B7" s="5" t="n">
        <v>5000</v>
      </c>
      <c r="C7" s="6" t="s">
        <v>11</v>
      </c>
    </row>
    <row r="8" customFormat="false" ht="15" hidden="false" customHeight="false" outlineLevel="0" collapsed="false">
      <c r="A8" s="4" t="s">
        <v>12</v>
      </c>
      <c r="B8" s="7" t="n">
        <v>4</v>
      </c>
      <c r="C8" s="6" t="s">
        <v>13</v>
      </c>
    </row>
    <row r="9" customFormat="false" ht="15" hidden="false" customHeight="false" outlineLevel="0" collapsed="false">
      <c r="A9" s="4" t="s">
        <v>14</v>
      </c>
      <c r="B9" s="8" t="n">
        <v>1</v>
      </c>
      <c r="C9" s="6" t="s">
        <v>6</v>
      </c>
    </row>
    <row r="10" customFormat="false" ht="15" hidden="false" customHeight="false" outlineLevel="0" collapsed="false">
      <c r="A10" s="4" t="s">
        <v>15</v>
      </c>
      <c r="B10" s="8" t="n">
        <v>3</v>
      </c>
      <c r="C10" s="6" t="s">
        <v>6</v>
      </c>
    </row>
    <row r="11" customFormat="false" ht="15" hidden="false" customHeight="false" outlineLevel="0" collapsed="false">
      <c r="A11" s="4" t="s">
        <v>16</v>
      </c>
      <c r="B11" s="8" t="n">
        <v>8</v>
      </c>
      <c r="C11" s="6" t="s">
        <v>6</v>
      </c>
    </row>
    <row r="12" customFormat="false" ht="15" hidden="false" customHeight="false" outlineLevel="0" collapsed="false">
      <c r="A12" s="4" t="s">
        <v>17</v>
      </c>
      <c r="B12" s="9" t="n">
        <v>0.5</v>
      </c>
      <c r="C12" s="6" t="s">
        <v>18</v>
      </c>
    </row>
    <row r="13" customFormat="false" ht="15" hidden="false" customHeight="false" outlineLevel="0" collapsed="false">
      <c r="A13" s="4" t="s">
        <v>19</v>
      </c>
      <c r="B13" s="9" t="n">
        <v>0.2</v>
      </c>
      <c r="C13" s="6" t="s">
        <v>20</v>
      </c>
    </row>
    <row r="14" customFormat="false" ht="15" hidden="false" customHeight="false" outlineLevel="0" collapsed="false">
      <c r="A14" s="4" t="s">
        <v>21</v>
      </c>
      <c r="B14" s="5" t="n">
        <v>6000</v>
      </c>
      <c r="C14" s="6" t="s">
        <v>22</v>
      </c>
    </row>
    <row r="17" customFormat="false" ht="30" hidden="false" customHeight="true" outlineLevel="0" collapsed="false">
      <c r="A17" s="3" t="s">
        <v>23</v>
      </c>
      <c r="B17" s="3" t="s">
        <v>3</v>
      </c>
      <c r="C17" s="3" t="s">
        <v>24</v>
      </c>
    </row>
    <row r="18" customFormat="false" ht="15" hidden="false" customHeight="false" outlineLevel="0" collapsed="false">
      <c r="A18" s="4" t="s">
        <v>25</v>
      </c>
      <c r="B18" s="10" t="n">
        <f aca="false">B5-B4</f>
        <v>4</v>
      </c>
      <c r="C18" s="6" t="s">
        <v>26</v>
      </c>
    </row>
    <row r="19" customFormat="false" ht="15" hidden="false" customHeight="false" outlineLevel="0" collapsed="false">
      <c r="A19" s="4" t="s">
        <v>27</v>
      </c>
      <c r="B19" s="11" t="n">
        <f aca="false">(B9+B8*B10+B11)/(B8+2)</f>
        <v>3.5</v>
      </c>
      <c r="C19" s="6" t="s">
        <v>28</v>
      </c>
    </row>
    <row r="20" customFormat="false" ht="15" hidden="false" customHeight="false" outlineLevel="0" collapsed="false">
      <c r="A20" s="4" t="s">
        <v>29</v>
      </c>
      <c r="B20" s="12" t="n">
        <f aca="false">(B19-B9)*(B11-B19)/(B8+3)</f>
        <v>1.60714285714286</v>
      </c>
      <c r="C20" s="6" t="s">
        <v>30</v>
      </c>
    </row>
    <row r="21" customFormat="false" ht="15" hidden="false" customHeight="false" outlineLevel="0" collapsed="false">
      <c r="A21" s="4" t="s">
        <v>31</v>
      </c>
      <c r="B21" s="12" t="n">
        <f aca="false">1+B8*(B10-B9)/(B11-B9)</f>
        <v>2.14285714285714</v>
      </c>
      <c r="C21" s="6" t="s">
        <v>32</v>
      </c>
    </row>
    <row r="22" customFormat="false" ht="15" hidden="false" customHeight="false" outlineLevel="0" collapsed="false">
      <c r="A22" s="4" t="s">
        <v>33</v>
      </c>
      <c r="B22" s="12" t="n">
        <f aca="false">1+B8*(B11-B10)/(B11-B9)</f>
        <v>3.85714285714286</v>
      </c>
      <c r="C22" s="6" t="s">
        <v>34</v>
      </c>
    </row>
    <row r="23" customFormat="false" ht="15" hidden="false" customHeight="false" outlineLevel="0" collapsed="false">
      <c r="A23" s="4" t="s">
        <v>35</v>
      </c>
      <c r="B23" s="12" t="n">
        <f aca="false">BETADIST(B18,B21,B22,B9,B11)</f>
        <v>0.664363745713577</v>
      </c>
      <c r="C23" s="6" t="s">
        <v>36</v>
      </c>
    </row>
    <row r="24" customFormat="false" ht="15" hidden="false" customHeight="false" outlineLevel="0" collapsed="false">
      <c r="A24" s="4" t="s">
        <v>37</v>
      </c>
      <c r="B24" s="12" t="n">
        <f aca="false">1-B23</f>
        <v>0.335636254286423</v>
      </c>
      <c r="C24" s="6"/>
    </row>
    <row r="25" customFormat="false" ht="15" hidden="false" customHeight="false" outlineLevel="0" collapsed="false">
      <c r="A25" s="4" t="s">
        <v>38</v>
      </c>
      <c r="B25" s="13" t="n">
        <f aca="false">Integral!E49</f>
        <v>0.321592022475765</v>
      </c>
      <c r="C25" s="6" t="s">
        <v>39</v>
      </c>
    </row>
    <row r="28" customFormat="false" ht="30" hidden="false" customHeight="true" outlineLevel="0" collapsed="false">
      <c r="A28" s="3" t="s">
        <v>40</v>
      </c>
      <c r="B28" s="3" t="s">
        <v>41</v>
      </c>
      <c r="C28" s="3" t="s">
        <v>42</v>
      </c>
      <c r="D28" s="3" t="s">
        <v>43</v>
      </c>
    </row>
    <row r="29" customFormat="false" ht="15" hidden="false" customHeight="false" outlineLevel="0" collapsed="false">
      <c r="A29" s="4" t="s">
        <v>44</v>
      </c>
      <c r="B29" s="11" t="n">
        <f aca="false">B12</f>
        <v>0.5</v>
      </c>
      <c r="C29" s="11" t="n">
        <f aca="false">B13</f>
        <v>0.2</v>
      </c>
      <c r="D29" s="6" t="s">
        <v>45</v>
      </c>
    </row>
    <row r="30" customFormat="false" ht="15" hidden="false" customHeight="false" outlineLevel="0" collapsed="false">
      <c r="A30" s="4" t="s">
        <v>46</v>
      </c>
      <c r="B30" s="11" t="n">
        <f aca="false">B29*$B$19</f>
        <v>1.75</v>
      </c>
      <c r="C30" s="11" t="n">
        <f aca="false">C29*$B$19</f>
        <v>0.7</v>
      </c>
      <c r="D30" s="6" t="s">
        <v>47</v>
      </c>
    </row>
    <row r="31" customFormat="false" ht="15" hidden="false" customHeight="false" outlineLevel="0" collapsed="false">
      <c r="A31" s="4" t="s">
        <v>48</v>
      </c>
      <c r="B31" s="14" t="n">
        <f aca="false">B30*$B$6</f>
        <v>14000</v>
      </c>
      <c r="C31" s="14" t="n">
        <f aca="false">C30*$B$6</f>
        <v>5600</v>
      </c>
      <c r="D31" s="6" t="s">
        <v>49</v>
      </c>
    </row>
    <row r="32" customFormat="false" ht="15" hidden="false" customHeight="false" outlineLevel="0" collapsed="false">
      <c r="A32" s="4" t="s">
        <v>50</v>
      </c>
      <c r="B32" s="11" t="n">
        <f aca="false">B29*$B$24</f>
        <v>0.167818127143211</v>
      </c>
      <c r="C32" s="11" t="n">
        <f aca="false">C29*$B$24</f>
        <v>0.0671272508572846</v>
      </c>
      <c r="D32" s="6" t="s">
        <v>51</v>
      </c>
    </row>
    <row r="33" customFormat="false" ht="15" hidden="false" customHeight="false" outlineLevel="0" collapsed="false">
      <c r="A33" s="4" t="s">
        <v>52</v>
      </c>
      <c r="B33" s="11" t="n">
        <f aca="false">B29*$B$25</f>
        <v>0.160796011237883</v>
      </c>
      <c r="C33" s="11" t="n">
        <f aca="false">C29*$B$25</f>
        <v>0.064318404495153</v>
      </c>
      <c r="D33" s="6" t="s">
        <v>53</v>
      </c>
    </row>
    <row r="34" customFormat="false" ht="15" hidden="false" customHeight="false" outlineLevel="0" collapsed="false">
      <c r="A34" s="4" t="s">
        <v>54</v>
      </c>
      <c r="B34" s="14" t="n">
        <f aca="false">B33*$B$7</f>
        <v>803.980056189413</v>
      </c>
      <c r="C34" s="14" t="n">
        <f aca="false">C33*$B$7</f>
        <v>321.592022475765</v>
      </c>
      <c r="D34" s="6" t="s">
        <v>55</v>
      </c>
    </row>
    <row r="35" customFormat="false" ht="15" hidden="false" customHeight="false" outlineLevel="0" collapsed="false">
      <c r="A35" s="4" t="s">
        <v>56</v>
      </c>
      <c r="B35" s="14" t="n">
        <f aca="false">B31+B34</f>
        <v>14803.9800561894</v>
      </c>
      <c r="C35" s="14" t="n">
        <f aca="false">C31+C34</f>
        <v>5921.59202247577</v>
      </c>
      <c r="D35" s="6" t="s">
        <v>57</v>
      </c>
    </row>
    <row r="36" customFormat="false" ht="15" hidden="false" customHeight="false" outlineLevel="0" collapsed="false">
      <c r="A36" s="4" t="s">
        <v>58</v>
      </c>
      <c r="B36" s="15" t="n">
        <v>0</v>
      </c>
      <c r="C36" s="14" t="n">
        <f aca="false">B14</f>
        <v>6000</v>
      </c>
      <c r="D36" s="6" t="s">
        <v>21</v>
      </c>
    </row>
    <row r="37" customFormat="false" ht="15" hidden="false" customHeight="false" outlineLevel="0" collapsed="false">
      <c r="A37" s="4" t="s">
        <v>59</v>
      </c>
      <c r="B37" s="14" t="n">
        <f aca="false">B35+B36</f>
        <v>14803.9800561894</v>
      </c>
      <c r="C37" s="14" t="n">
        <f aca="false">C35+C36</f>
        <v>11921.5920224758</v>
      </c>
      <c r="D37" s="6" t="s">
        <v>60</v>
      </c>
    </row>
    <row r="38" customFormat="false" ht="15" hidden="false" customHeight="false" outlineLevel="0" collapsed="false">
      <c r="A38" s="4" t="s">
        <v>61</v>
      </c>
      <c r="B38" s="16" t="n">
        <f aca="false">B37-$B$37</f>
        <v>0</v>
      </c>
      <c r="C38" s="16" t="n">
        <f aca="false">C37-$B$37</f>
        <v>-2882.38803371365</v>
      </c>
      <c r="D38" s="6" t="s">
        <v>62</v>
      </c>
    </row>
    <row r="39" customFormat="false" ht="15" hidden="false" customHeight="false" outlineLevel="0" collapsed="false">
      <c r="A39" s="4" t="s">
        <v>63</v>
      </c>
      <c r="B39" s="11" t="n">
        <f aca="false">IF(0.8&lt;=1-B29,$B$4,$B$4+BETAINV((0.8-(1-B29))/B29,$B$21,$B$22,$B$9,$B$11))</f>
        <v>19.7470668802329</v>
      </c>
      <c r="C39" s="11" t="n">
        <f aca="false">IF(0.8&lt;=1-C29,$B$4,$B$4+BETAINV((0.8-(1-C29))/C29,$B$21,$B$22,$B$9,$B$11))</f>
        <v>16</v>
      </c>
      <c r="D39" s="6" t="s">
        <v>64</v>
      </c>
    </row>
    <row r="40" customFormat="false" ht="15" hidden="false" customHeight="false" outlineLevel="0" collapsed="false">
      <c r="A40" s="4" t="s">
        <v>65</v>
      </c>
      <c r="B40" s="11" t="n">
        <f aca="false">IF(0.9&lt;=1-B29,$B$4,$B$4+BETAINV((0.9-(1-B29))/B29,$B$21,$B$22,$B$9,$B$11))</f>
        <v>20.6258796407529</v>
      </c>
      <c r="C40" s="11" t="n">
        <f aca="false">IF(0.9&lt;=1-C29,$B$4,$B$4+BETAINV((0.9-(1-C29))/C29,$B$21,$B$22,$B$9,$B$11))</f>
        <v>19.3825886014202</v>
      </c>
      <c r="D40" s="6" t="s">
        <v>66</v>
      </c>
    </row>
    <row r="41" customFormat="false" ht="15" hidden="false" customHeight="false" outlineLevel="0" collapsed="false">
      <c r="A41" s="4" t="s">
        <v>67</v>
      </c>
      <c r="B41" s="11" t="n">
        <f aca="false">IF(0.95&lt;=1-B29,$B$4,$B$4+BETAINV((0.95-(1-B29))/B29,$B$21,$B$22,$B$9,$B$11))</f>
        <v>21.2727027463479</v>
      </c>
      <c r="C41" s="11" t="n">
        <f aca="false">IF(0.95&lt;=1-C29,$B$4,$B$4+BETAINV((0.95-(1-C29))/C29,$B$21,$B$22,$B$9,$B$11))</f>
        <v>20.3748723056857</v>
      </c>
      <c r="D41" s="6" t="s">
        <v>66</v>
      </c>
    </row>
    <row r="43" customFormat="false" ht="15" hidden="false" customHeight="false" outlineLevel="0" collapsed="false">
      <c r="A43" s="4" t="s">
        <v>68</v>
      </c>
      <c r="B43" s="4" t="str">
        <f aca="false">IF(C37&lt;B37,"AUTHORIZE MITIGATION","ACCEPT RISK")</f>
        <v>AUTHORIZE MITIGATION</v>
      </c>
      <c r="C43" s="2" t="str">
        <f aca="false">IF(C37&lt;B37,"M-BUF is cheaper in total expected cost by "&amp;TEXT(B37-C37,"#,##0")&amp;" INR","Accepting is cheaper by "&amp;TEXT(C37-B37,"#,##0")&amp;" INR")</f>
        <v>M-BUF is cheaper in total expected cost by 2,882 INR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69</v>
      </c>
    </row>
    <row r="2" customFormat="false" ht="15" hidden="false" customHeight="false" outlineLevel="0" collapsed="false">
      <c r="A2" s="2" t="s">
        <v>70</v>
      </c>
    </row>
    <row r="4" customFormat="false" ht="30" hidden="false" customHeight="true" outlineLevel="0" collapsed="false">
      <c r="A4" s="3" t="s">
        <v>71</v>
      </c>
      <c r="B4" s="3" t="s">
        <v>72</v>
      </c>
      <c r="C4" s="3" t="s">
        <v>73</v>
      </c>
      <c r="D4" s="3" t="s">
        <v>74</v>
      </c>
      <c r="E4" s="3" t="s">
        <v>75</v>
      </c>
    </row>
    <row r="5" customFormat="false" ht="15" hidden="false" customHeight="false" outlineLevel="0" collapsed="false">
      <c r="A5" s="17" t="n">
        <v>0</v>
      </c>
      <c r="B5" s="18" t="n">
        <f aca="false">Test1_Hand!$B$18+A5*$E$47</f>
        <v>4</v>
      </c>
      <c r="C5" s="12" t="n">
        <f aca="false">1-BETADIST(B5,Test1_Hand!$B$21,Test1_Hand!$B$22,Test1_Hand!$B$9,Test1_Hand!$B$11)</f>
        <v>0.335636254286423</v>
      </c>
      <c r="D5" s="19" t="n">
        <v>1</v>
      </c>
      <c r="E5" s="12" t="n">
        <f aca="false">D5*C5</f>
        <v>0.335636254286423</v>
      </c>
    </row>
    <row r="6" customFormat="false" ht="15" hidden="false" customHeight="false" outlineLevel="0" collapsed="false">
      <c r="A6" s="17" t="n">
        <v>1</v>
      </c>
      <c r="B6" s="11" t="n">
        <f aca="false">Test1_Hand!$B$18+A6*$E$47</f>
        <v>4.1</v>
      </c>
      <c r="C6" s="12" t="n">
        <f aca="false">1-BETADIST(B6,Test1_Hand!$B$21,Test1_Hand!$B$22,Test1_Hand!$B$9,Test1_Hand!$B$11)</f>
        <v>0.311581249642523</v>
      </c>
      <c r="D6" s="19" t="n">
        <v>4</v>
      </c>
      <c r="E6" s="12" t="n">
        <f aca="false">D6*C6</f>
        <v>1.24632499857009</v>
      </c>
    </row>
    <row r="7" customFormat="false" ht="15" hidden="false" customHeight="false" outlineLevel="0" collapsed="false">
      <c r="A7" s="17" t="n">
        <v>2</v>
      </c>
      <c r="B7" s="11" t="n">
        <f aca="false">Test1_Hand!$B$18+A7*$E$47</f>
        <v>4.2</v>
      </c>
      <c r="C7" s="12" t="n">
        <f aca="false">1-BETADIST(B7,Test1_Hand!$B$21,Test1_Hand!$B$22,Test1_Hand!$B$9,Test1_Hand!$B$11)</f>
        <v>0.288385779028342</v>
      </c>
      <c r="D7" s="19" t="n">
        <v>2</v>
      </c>
      <c r="E7" s="12" t="n">
        <f aca="false">D7*C7</f>
        <v>0.576771558056683</v>
      </c>
    </row>
    <row r="8" customFormat="false" ht="15" hidden="false" customHeight="false" outlineLevel="0" collapsed="false">
      <c r="A8" s="17" t="n">
        <v>3</v>
      </c>
      <c r="B8" s="11" t="n">
        <f aca="false">Test1_Hand!$B$18+A8*$E$47</f>
        <v>4.3</v>
      </c>
      <c r="C8" s="12" t="n">
        <f aca="false">1-BETADIST(B8,Test1_Hand!$B$21,Test1_Hand!$B$22,Test1_Hand!$B$9,Test1_Hand!$B$11)</f>
        <v>0.266087920113801</v>
      </c>
      <c r="D8" s="19" t="n">
        <v>4</v>
      </c>
      <c r="E8" s="12" t="n">
        <f aca="false">D8*C8</f>
        <v>1.0643516804552</v>
      </c>
    </row>
    <row r="9" customFormat="false" ht="15" hidden="false" customHeight="false" outlineLevel="0" collapsed="false">
      <c r="A9" s="17" t="n">
        <v>4</v>
      </c>
      <c r="B9" s="11" t="n">
        <f aca="false">Test1_Hand!$B$18+A9*$E$47</f>
        <v>4.4</v>
      </c>
      <c r="C9" s="12" t="n">
        <f aca="false">1-BETADIST(B9,Test1_Hand!$B$21,Test1_Hand!$B$22,Test1_Hand!$B$9,Test1_Hand!$B$11)</f>
        <v>0.244719595818688</v>
      </c>
      <c r="D9" s="19" t="n">
        <v>2</v>
      </c>
      <c r="E9" s="12" t="n">
        <f aca="false">D9*C9</f>
        <v>0.489439191637376</v>
      </c>
    </row>
    <row r="10" customFormat="false" ht="15" hidden="false" customHeight="false" outlineLevel="0" collapsed="false">
      <c r="A10" s="17" t="n">
        <v>5</v>
      </c>
      <c r="B10" s="11" t="n">
        <f aca="false">Test1_Hand!$B$18+A10*$E$47</f>
        <v>4.5</v>
      </c>
      <c r="C10" s="12" t="n">
        <f aca="false">1-BETADIST(B10,Test1_Hand!$B$21,Test1_Hand!$B$22,Test1_Hand!$B$9,Test1_Hand!$B$11)</f>
        <v>0.224306741090497</v>
      </c>
      <c r="D10" s="19" t="n">
        <v>4</v>
      </c>
      <c r="E10" s="12" t="n">
        <f aca="false">D10*C10</f>
        <v>0.897226964361987</v>
      </c>
    </row>
    <row r="11" customFormat="false" ht="15" hidden="false" customHeight="false" outlineLevel="0" collapsed="false">
      <c r="A11" s="17" t="n">
        <v>6</v>
      </c>
      <c r="B11" s="11" t="n">
        <f aca="false">Test1_Hand!$B$18+A11*$E$47</f>
        <v>4.6</v>
      </c>
      <c r="C11" s="12" t="n">
        <f aca="false">1-BETADIST(B11,Test1_Hand!$B$21,Test1_Hand!$B$22,Test1_Hand!$B$9,Test1_Hand!$B$11)</f>
        <v>0.204869479746525</v>
      </c>
      <c r="D11" s="19" t="n">
        <v>2</v>
      </c>
      <c r="E11" s="12" t="n">
        <f aca="false">D11*C11</f>
        <v>0.409738959493049</v>
      </c>
    </row>
    <row r="12" customFormat="false" ht="15" hidden="false" customHeight="false" outlineLevel="0" collapsed="false">
      <c r="A12" s="17" t="n">
        <v>7</v>
      </c>
      <c r="B12" s="11" t="n">
        <f aca="false">Test1_Hand!$B$18+A12*$E$47</f>
        <v>4.7</v>
      </c>
      <c r="C12" s="12" t="n">
        <f aca="false">1-BETADIST(B12,Test1_Hand!$B$21,Test1_Hand!$B$22,Test1_Hand!$B$9,Test1_Hand!$B$11)</f>
        <v>0.186422310826339</v>
      </c>
      <c r="D12" s="19" t="n">
        <v>4</v>
      </c>
      <c r="E12" s="12" t="n">
        <f aca="false">D12*C12</f>
        <v>0.745689243305357</v>
      </c>
    </row>
    <row r="13" customFormat="false" ht="15" hidden="false" customHeight="false" outlineLevel="0" collapsed="false">
      <c r="A13" s="17" t="n">
        <v>8</v>
      </c>
      <c r="B13" s="11" t="n">
        <f aca="false">Test1_Hand!$B$18+A13*$E$47</f>
        <v>4.8</v>
      </c>
      <c r="C13" s="12" t="n">
        <f aca="false">1-BETADIST(B13,Test1_Hand!$B$21,Test1_Hand!$B$22,Test1_Hand!$B$9,Test1_Hand!$B$11)</f>
        <v>0.168974303976374</v>
      </c>
      <c r="D13" s="19" t="n">
        <v>2</v>
      </c>
      <c r="E13" s="12" t="n">
        <f aca="false">D13*C13</f>
        <v>0.337948607952748</v>
      </c>
    </row>
    <row r="14" customFormat="false" ht="15" hidden="false" customHeight="false" outlineLevel="0" collapsed="false">
      <c r="A14" s="17" t="n">
        <v>9</v>
      </c>
      <c r="B14" s="11" t="n">
        <f aca="false">Test1_Hand!$B$18+A14*$E$47</f>
        <v>4.9</v>
      </c>
      <c r="C14" s="12" t="n">
        <f aca="false">1-BETADIST(B14,Test1_Hand!$B$21,Test1_Hand!$B$22,Test1_Hand!$B$9,Test1_Hand!$B$11)</f>
        <v>0.152529303454785</v>
      </c>
      <c r="D14" s="19" t="n">
        <v>4</v>
      </c>
      <c r="E14" s="12" t="n">
        <f aca="false">D14*C14</f>
        <v>0.610117213819139</v>
      </c>
    </row>
    <row r="15" customFormat="false" ht="15" hidden="false" customHeight="false" outlineLevel="0" collapsed="false">
      <c r="A15" s="17" t="n">
        <v>10</v>
      </c>
      <c r="B15" s="11" t="n">
        <f aca="false">Test1_Hand!$B$18+A15*$E$47</f>
        <v>5</v>
      </c>
      <c r="C15" s="12" t="n">
        <f aca="false">1-BETADIST(B15,Test1_Hand!$B$21,Test1_Hand!$B$22,Test1_Hand!$B$9,Test1_Hand!$B$11)</f>
        <v>0.137086140403478</v>
      </c>
      <c r="D15" s="19" t="n">
        <v>2</v>
      </c>
      <c r="E15" s="12" t="n">
        <f aca="false">D15*C15</f>
        <v>0.274172280806956</v>
      </c>
    </row>
    <row r="16" customFormat="false" ht="15" hidden="false" customHeight="false" outlineLevel="0" collapsed="false">
      <c r="A16" s="17" t="n">
        <v>11</v>
      </c>
      <c r="B16" s="11" t="n">
        <f aca="false">Test1_Hand!$B$18+A16*$E$47</f>
        <v>5.1</v>
      </c>
      <c r="C16" s="12" t="n">
        <f aca="false">1-BETADIST(B16,Test1_Hand!$B$21,Test1_Hand!$B$22,Test1_Hand!$B$9,Test1_Hand!$B$11)</f>
        <v>0.122638853086868</v>
      </c>
      <c r="D16" s="19" t="n">
        <v>4</v>
      </c>
      <c r="E16" s="12" t="n">
        <f aca="false">D16*C16</f>
        <v>0.490555412347473</v>
      </c>
    </row>
    <row r="17" customFormat="false" ht="15" hidden="false" customHeight="false" outlineLevel="0" collapsed="false">
      <c r="A17" s="17" t="n">
        <v>12</v>
      </c>
      <c r="B17" s="11" t="n">
        <f aca="false">Test1_Hand!$B$18+A17*$E$47</f>
        <v>5.2</v>
      </c>
      <c r="C17" s="12" t="n">
        <f aca="false">1-BETADIST(B17,Test1_Hand!$B$21,Test1_Hand!$B$22,Test1_Hand!$B$9,Test1_Hand!$B$11)</f>
        <v>0.109176914844663</v>
      </c>
      <c r="D17" s="19" t="n">
        <v>2</v>
      </c>
      <c r="E17" s="12" t="n">
        <f aca="false">D17*C17</f>
        <v>0.218353829689325</v>
      </c>
    </row>
    <row r="18" customFormat="false" ht="15" hidden="false" customHeight="false" outlineLevel="0" collapsed="false">
      <c r="A18" s="17" t="n">
        <v>13</v>
      </c>
      <c r="B18" s="11" t="n">
        <f aca="false">Test1_Hand!$B$18+A18*$E$47</f>
        <v>5.3</v>
      </c>
      <c r="C18" s="12" t="n">
        <f aca="false">1-BETADIST(B18,Test1_Hand!$B$21,Test1_Hand!$B$22,Test1_Hand!$B$9,Test1_Hand!$B$11)</f>
        <v>0.0966854695497985</v>
      </c>
      <c r="D18" s="19" t="n">
        <v>4</v>
      </c>
      <c r="E18" s="12" t="n">
        <f aca="false">D18*C18</f>
        <v>0.386741878199194</v>
      </c>
    </row>
    <row r="19" customFormat="false" ht="15" hidden="false" customHeight="false" outlineLevel="0" collapsed="false">
      <c r="A19" s="17" t="n">
        <v>14</v>
      </c>
      <c r="B19" s="11" t="n">
        <f aca="false">Test1_Hand!$B$18+A19*$E$47</f>
        <v>5.4</v>
      </c>
      <c r="C19" s="12" t="n">
        <f aca="false">1-BETADIST(B19,Test1_Hand!$B$21,Test1_Hand!$B$22,Test1_Hand!$B$9,Test1_Hand!$B$11)</f>
        <v>0.0851455744035419</v>
      </c>
      <c r="D19" s="19" t="n">
        <v>2</v>
      </c>
      <c r="E19" s="12" t="n">
        <f aca="false">D19*C19</f>
        <v>0.170291148807084</v>
      </c>
    </row>
    <row r="20" customFormat="false" ht="15" hidden="false" customHeight="false" outlineLevel="0" collapsed="false">
      <c r="A20" s="17" t="n">
        <v>15</v>
      </c>
      <c r="B20" s="11" t="n">
        <f aca="false">Test1_Hand!$B$18+A20*$E$47</f>
        <v>5.5</v>
      </c>
      <c r="C20" s="12" t="n">
        <f aca="false">1-BETADIST(B20,Test1_Hand!$B$21,Test1_Hand!$B$22,Test1_Hand!$B$9,Test1_Hand!$B$11)</f>
        <v>0.0745344499384748</v>
      </c>
      <c r="D20" s="19" t="n">
        <v>4</v>
      </c>
      <c r="E20" s="12" t="n">
        <f aca="false">D20*C20</f>
        <v>0.298137799753899</v>
      </c>
    </row>
    <row r="21" customFormat="false" ht="15" hidden="false" customHeight="false" outlineLevel="0" collapsed="false">
      <c r="A21" s="17" t="n">
        <v>16</v>
      </c>
      <c r="B21" s="11" t="n">
        <f aca="false">Test1_Hand!$B$18+A21*$E$47</f>
        <v>5.6</v>
      </c>
      <c r="C21" s="12" t="n">
        <f aca="false">1-BETADIST(B21,Test1_Hand!$B$21,Test1_Hand!$B$22,Test1_Hand!$B$9,Test1_Hand!$B$11)</f>
        <v>0.0648257371374417</v>
      </c>
      <c r="D21" s="19" t="n">
        <v>2</v>
      </c>
      <c r="E21" s="12" t="n">
        <f aca="false">D21*C21</f>
        <v>0.129651474274883</v>
      </c>
    </row>
    <row r="22" customFormat="false" ht="15" hidden="false" customHeight="false" outlineLevel="0" collapsed="false">
      <c r="A22" s="17" t="n">
        <v>17</v>
      </c>
      <c r="B22" s="11" t="n">
        <f aca="false">Test1_Hand!$B$18+A22*$E$47</f>
        <v>5.7</v>
      </c>
      <c r="C22" s="12" t="n">
        <f aca="false">1-BETADIST(B22,Test1_Hand!$B$21,Test1_Hand!$B$22,Test1_Hand!$B$9,Test1_Hand!$B$11)</f>
        <v>0.0559897616132654</v>
      </c>
      <c r="D22" s="19" t="n">
        <v>4</v>
      </c>
      <c r="E22" s="12" t="n">
        <f aca="false">D22*C22</f>
        <v>0.223959046453062</v>
      </c>
    </row>
    <row r="23" customFormat="false" ht="15" hidden="false" customHeight="false" outlineLevel="0" collapsed="false">
      <c r="A23" s="17" t="n">
        <v>18</v>
      </c>
      <c r="B23" s="11" t="n">
        <f aca="false">Test1_Hand!$B$18+A23*$E$47</f>
        <v>5.8</v>
      </c>
      <c r="C23" s="12" t="n">
        <f aca="false">1-BETADIST(B23,Test1_Hand!$B$21,Test1_Hand!$B$22,Test1_Hand!$B$9,Test1_Hand!$B$11)</f>
        <v>0.0479938048308887</v>
      </c>
      <c r="D23" s="19" t="n">
        <v>2</v>
      </c>
      <c r="E23" s="12" t="n">
        <f aca="false">D23*C23</f>
        <v>0.0959876096617773</v>
      </c>
    </row>
    <row r="24" customFormat="false" ht="15" hidden="false" customHeight="false" outlineLevel="0" collapsed="false">
      <c r="A24" s="17" t="n">
        <v>19</v>
      </c>
      <c r="B24" s="11" t="n">
        <f aca="false">Test1_Hand!$B$18+A24*$E$47</f>
        <v>5.9</v>
      </c>
      <c r="C24" s="12" t="n">
        <f aca="false">1-BETADIST(B24,Test1_Hand!$B$21,Test1_Hand!$B$22,Test1_Hand!$B$9,Test1_Hand!$B$11)</f>
        <v>0.0408023823914097</v>
      </c>
      <c r="D24" s="19" t="n">
        <v>4</v>
      </c>
      <c r="E24" s="12" t="n">
        <f aca="false">D24*C24</f>
        <v>0.163209529565639</v>
      </c>
    </row>
    <row r="25" customFormat="false" ht="15" hidden="false" customHeight="false" outlineLevel="0" collapsed="false">
      <c r="A25" s="17" t="n">
        <v>20</v>
      </c>
      <c r="B25" s="11" t="n">
        <f aca="false">Test1_Hand!$B$18+A25*$E$47</f>
        <v>6</v>
      </c>
      <c r="C25" s="12" t="n">
        <f aca="false">1-BETADIST(B25,Test1_Hand!$B$21,Test1_Hand!$B$22,Test1_Hand!$B$9,Test1_Hand!$B$11)</f>
        <v>0.0343775294371131</v>
      </c>
      <c r="D25" s="19" t="n">
        <v>2</v>
      </c>
      <c r="E25" s="12" t="n">
        <f aca="false">D25*C25</f>
        <v>0.0687550588742263</v>
      </c>
    </row>
    <row r="26" customFormat="false" ht="15" hidden="false" customHeight="false" outlineLevel="0" collapsed="false">
      <c r="A26" s="17" t="n">
        <v>21</v>
      </c>
      <c r="B26" s="11" t="n">
        <f aca="false">Test1_Hand!$B$18+A26*$E$47</f>
        <v>6.1</v>
      </c>
      <c r="C26" s="12" t="n">
        <f aca="false">1-BETADIST(B26,Test1_Hand!$B$21,Test1_Hand!$B$22,Test1_Hand!$B$9,Test1_Hand!$B$11)</f>
        <v>0.0286790932790924</v>
      </c>
      <c r="D26" s="19" t="n">
        <v>4</v>
      </c>
      <c r="E26" s="12" t="n">
        <f aca="false">D26*C26</f>
        <v>0.114716373116369</v>
      </c>
    </row>
    <row r="27" customFormat="false" ht="15" hidden="false" customHeight="false" outlineLevel="0" collapsed="false">
      <c r="A27" s="17" t="n">
        <v>22</v>
      </c>
      <c r="B27" s="11" t="n">
        <f aca="false">Test1_Hand!$B$18+A27*$E$47</f>
        <v>6.2</v>
      </c>
      <c r="C27" s="12" t="n">
        <f aca="false">1-BETADIST(B27,Test1_Hand!$B$21,Test1_Hand!$B$22,Test1_Hand!$B$9,Test1_Hand!$B$11)</f>
        <v>0.0236650333956547</v>
      </c>
      <c r="D27" s="19" t="n">
        <v>2</v>
      </c>
      <c r="E27" s="12" t="n">
        <f aca="false">D27*C27</f>
        <v>0.0473300667913095</v>
      </c>
    </row>
    <row r="28" customFormat="false" ht="15" hidden="false" customHeight="false" outlineLevel="0" collapsed="false">
      <c r="A28" s="17" t="n">
        <v>23</v>
      </c>
      <c r="B28" s="11" t="n">
        <f aca="false">Test1_Hand!$B$18+A28*$E$47</f>
        <v>6.3</v>
      </c>
      <c r="C28" s="12" t="n">
        <f aca="false">1-BETADIST(B28,Test1_Hand!$B$21,Test1_Hand!$B$22,Test1_Hand!$B$9,Test1_Hand!$B$11)</f>
        <v>0.0192917290019057</v>
      </c>
      <c r="D28" s="19" t="n">
        <v>4</v>
      </c>
      <c r="E28" s="12" t="n">
        <f aca="false">D28*C28</f>
        <v>0.0771669160076227</v>
      </c>
    </row>
    <row r="29" customFormat="false" ht="15" hidden="false" customHeight="false" outlineLevel="0" collapsed="false">
      <c r="A29" s="17" t="n">
        <v>24</v>
      </c>
      <c r="B29" s="11" t="n">
        <f aca="false">Test1_Hand!$B$18+A29*$E$47</f>
        <v>6.4</v>
      </c>
      <c r="C29" s="12" t="n">
        <f aca="false">1-BETADIST(B29,Test1_Hand!$B$21,Test1_Hand!$B$22,Test1_Hand!$B$9,Test1_Hand!$B$11)</f>
        <v>0.0155142944506679</v>
      </c>
      <c r="D29" s="19" t="n">
        <v>2</v>
      </c>
      <c r="E29" s="12" t="n">
        <f aca="false">D29*C29</f>
        <v>0.0310285889013358</v>
      </c>
    </row>
    <row r="30" customFormat="false" ht="15" hidden="false" customHeight="false" outlineLevel="0" collapsed="false">
      <c r="A30" s="17" t="n">
        <v>25</v>
      </c>
      <c r="B30" s="11" t="n">
        <f aca="false">Test1_Hand!$B$18+A30*$E$47</f>
        <v>6.5</v>
      </c>
      <c r="C30" s="12" t="n">
        <f aca="false">1-BETADIST(B30,Test1_Hand!$B$21,Test1_Hand!$B$22,Test1_Hand!$B$9,Test1_Hand!$B$11)</f>
        <v>0.0122869027947563</v>
      </c>
      <c r="D30" s="19" t="n">
        <v>4</v>
      </c>
      <c r="E30" s="12" t="n">
        <f aca="false">D30*C30</f>
        <v>0.0491476111790252</v>
      </c>
    </row>
    <row r="31" customFormat="false" ht="15" hidden="false" customHeight="false" outlineLevel="0" collapsed="false">
      <c r="A31" s="17" t="n">
        <v>26</v>
      </c>
      <c r="B31" s="11" t="n">
        <f aca="false">Test1_Hand!$B$18+A31*$E$47</f>
        <v>6.6</v>
      </c>
      <c r="C31" s="12" t="n">
        <f aca="false">1-BETADIST(B31,Test1_Hand!$B$21,Test1_Hand!$B$22,Test1_Hand!$B$9,Test1_Hand!$B$11)</f>
        <v>0.00956311792396836</v>
      </c>
      <c r="D31" s="19" t="n">
        <v>2</v>
      </c>
      <c r="E31" s="12" t="n">
        <f aca="false">D31*C31</f>
        <v>0.0191262358479367</v>
      </c>
    </row>
    <row r="32" customFormat="false" ht="15" hidden="false" customHeight="false" outlineLevel="0" collapsed="false">
      <c r="A32" s="17" t="n">
        <v>27</v>
      </c>
      <c r="B32" s="11" t="n">
        <f aca="false">Test1_Hand!$B$18+A32*$E$47</f>
        <v>6.7</v>
      </c>
      <c r="C32" s="12" t="n">
        <f aca="false">1-BETADIST(B32,Test1_Hand!$B$21,Test1_Hand!$B$22,Test1_Hand!$B$9,Test1_Hand!$B$11)</f>
        <v>0.00729623579165617</v>
      </c>
      <c r="D32" s="19" t="n">
        <v>4</v>
      </c>
      <c r="E32" s="12" t="n">
        <f aca="false">D32*C32</f>
        <v>0.0291849431666247</v>
      </c>
    </row>
    <row r="33" customFormat="false" ht="15" hidden="false" customHeight="false" outlineLevel="0" collapsed="false">
      <c r="A33" s="17" t="n">
        <v>28</v>
      </c>
      <c r="B33" s="11" t="n">
        <f aca="false">Test1_Hand!$B$18+A33*$E$47</f>
        <v>6.8</v>
      </c>
      <c r="C33" s="12" t="n">
        <f aca="false">1-BETADIST(B33,Test1_Hand!$B$21,Test1_Hand!$B$22,Test1_Hand!$B$9,Test1_Hand!$B$11)</f>
        <v>0.00543963537195102</v>
      </c>
      <c r="D33" s="19" t="n">
        <v>2</v>
      </c>
      <c r="E33" s="12" t="n">
        <f aca="false">D33*C33</f>
        <v>0.010879270743902</v>
      </c>
    </row>
    <row r="34" customFormat="false" ht="15" hidden="false" customHeight="false" outlineLevel="0" collapsed="false">
      <c r="A34" s="17" t="n">
        <v>29</v>
      </c>
      <c r="B34" s="11" t="n">
        <f aca="false">Test1_Hand!$B$18+A34*$E$47</f>
        <v>6.9</v>
      </c>
      <c r="C34" s="12" t="n">
        <f aca="false">1-BETADIST(B34,Test1_Hand!$B$21,Test1_Hand!$B$22,Test1_Hand!$B$9,Test1_Hand!$B$11)</f>
        <v>0.00394714014906405</v>
      </c>
      <c r="D34" s="19" t="n">
        <v>4</v>
      </c>
      <c r="E34" s="12" t="n">
        <f aca="false">D34*C34</f>
        <v>0.0157885605962562</v>
      </c>
    </row>
    <row r="35" customFormat="false" ht="15" hidden="false" customHeight="false" outlineLevel="0" collapsed="false">
      <c r="A35" s="17" t="n">
        <v>30</v>
      </c>
      <c r="B35" s="11" t="n">
        <f aca="false">Test1_Hand!$B$18+A35*$E$47</f>
        <v>7</v>
      </c>
      <c r="C35" s="12" t="n">
        <f aca="false">1-BETADIST(B35,Test1_Hand!$B$21,Test1_Hand!$B$22,Test1_Hand!$B$9,Test1_Hand!$B$11)</f>
        <v>0.00277339114856723</v>
      </c>
      <c r="D35" s="19" t="n">
        <v>2</v>
      </c>
      <c r="E35" s="12" t="n">
        <f aca="false">D35*C35</f>
        <v>0.00554678229713446</v>
      </c>
    </row>
    <row r="36" customFormat="false" ht="15" hidden="false" customHeight="false" outlineLevel="0" collapsed="false">
      <c r="A36" s="17" t="n">
        <v>31</v>
      </c>
      <c r="B36" s="11" t="n">
        <f aca="false">Test1_Hand!$B$18+A36*$E$47</f>
        <v>7.1</v>
      </c>
      <c r="C36" s="12" t="n">
        <f aca="false">1-BETADIST(B36,Test1_Hand!$B$21,Test1_Hand!$B$22,Test1_Hand!$B$9,Test1_Hand!$B$11)</f>
        <v>0.00187423279853816</v>
      </c>
      <c r="D36" s="19" t="n">
        <v>4</v>
      </c>
      <c r="E36" s="12" t="n">
        <f aca="false">D36*C36</f>
        <v>0.00749693119415262</v>
      </c>
    </row>
    <row r="37" customFormat="false" ht="15" hidden="false" customHeight="false" outlineLevel="0" collapsed="false">
      <c r="A37" s="17" t="n">
        <v>32</v>
      </c>
      <c r="B37" s="11" t="n">
        <f aca="false">Test1_Hand!$B$18+A37*$E$47</f>
        <v>7.2</v>
      </c>
      <c r="C37" s="12" t="n">
        <f aca="false">1-BETADIST(B37,Test1_Hand!$B$21,Test1_Hand!$B$22,Test1_Hand!$B$9,Test1_Hand!$B$11)</f>
        <v>0.00120711328973577</v>
      </c>
      <c r="D37" s="19" t="n">
        <v>2</v>
      </c>
      <c r="E37" s="12" t="n">
        <f aca="false">D37*C37</f>
        <v>0.00241422657947155</v>
      </c>
    </row>
    <row r="38" customFormat="false" ht="15" hidden="false" customHeight="false" outlineLevel="0" collapsed="false">
      <c r="A38" s="17" t="n">
        <v>33</v>
      </c>
      <c r="B38" s="11" t="n">
        <f aca="false">Test1_Hand!$B$18+A38*$E$47</f>
        <v>7.3</v>
      </c>
      <c r="C38" s="12" t="n">
        <f aca="false">1-BETADIST(B38,Test1_Hand!$B$21,Test1_Hand!$B$22,Test1_Hand!$B$9,Test1_Hand!$B$11)</f>
        <v>0.000731501644285704</v>
      </c>
      <c r="D38" s="19" t="n">
        <v>4</v>
      </c>
      <c r="E38" s="12" t="n">
        <f aca="false">D38*C38</f>
        <v>0.00292600657714281</v>
      </c>
    </row>
    <row r="39" customFormat="false" ht="15" hidden="false" customHeight="false" outlineLevel="0" collapsed="false">
      <c r="A39" s="17" t="n">
        <v>34</v>
      </c>
      <c r="B39" s="11" t="n">
        <f aca="false">Test1_Hand!$B$18+A39*$E$47</f>
        <v>7.4</v>
      </c>
      <c r="C39" s="12" t="n">
        <f aca="false">1-BETADIST(B39,Test1_Hand!$B$21,Test1_Hand!$B$22,Test1_Hand!$B$9,Test1_Hand!$B$11)</f>
        <v>0.000409324498249264</v>
      </c>
      <c r="D39" s="19" t="n">
        <v>2</v>
      </c>
      <c r="E39" s="12" t="n">
        <f aca="false">D39*C39</f>
        <v>0.000818648996498528</v>
      </c>
    </row>
    <row r="40" customFormat="false" ht="15" hidden="false" customHeight="false" outlineLevel="0" collapsed="false">
      <c r="A40" s="17" t="n">
        <v>35</v>
      </c>
      <c r="B40" s="11" t="n">
        <f aca="false">Test1_Hand!$B$18+A40*$E$47</f>
        <v>7.5</v>
      </c>
      <c r="C40" s="12" t="n">
        <f aca="false">1-BETADIST(B40,Test1_Hand!$B$21,Test1_Hand!$B$22,Test1_Hand!$B$9,Test1_Hand!$B$11)</f>
        <v>0.00020542683239122</v>
      </c>
      <c r="D40" s="19" t="n">
        <v>4</v>
      </c>
      <c r="E40" s="12" t="n">
        <f aca="false">D40*C40</f>
        <v>0.00082170732956488</v>
      </c>
    </row>
    <row r="41" customFormat="false" ht="15" hidden="false" customHeight="false" outlineLevel="0" collapsed="false">
      <c r="A41" s="17" t="n">
        <v>36</v>
      </c>
      <c r="B41" s="11" t="n">
        <f aca="false">Test1_Hand!$B$18+A41*$E$47</f>
        <v>7.6</v>
      </c>
      <c r="C41" s="12" t="n">
        <f aca="false">1-BETADIST(B41,Test1_Hand!$B$21,Test1_Hand!$B$22,Test1_Hand!$B$9,Test1_Hand!$B$11)</f>
        <v>8.80628994142096E-005</v>
      </c>
      <c r="D41" s="19" t="n">
        <v>2</v>
      </c>
      <c r="E41" s="12" t="n">
        <f aca="false">D41*C41</f>
        <v>0.000176125798828419</v>
      </c>
    </row>
    <row r="42" customFormat="false" ht="15" hidden="false" customHeight="false" outlineLevel="0" collapsed="false">
      <c r="A42" s="17" t="n">
        <v>37</v>
      </c>
      <c r="B42" s="11" t="n">
        <f aca="false">Test1_Hand!$B$18+A42*$E$47</f>
        <v>7.7</v>
      </c>
      <c r="C42" s="12" t="n">
        <f aca="false">1-BETADIST(B42,Test1_Hand!$B$21,Test1_Hand!$B$22,Test1_Hand!$B$9,Test1_Hand!$B$11)</f>
        <v>2.94271651297695E-005</v>
      </c>
      <c r="D42" s="19" t="n">
        <v>4</v>
      </c>
      <c r="E42" s="12" t="n">
        <f aca="false">D42*C42</f>
        <v>0.000117708660519078</v>
      </c>
    </row>
    <row r="43" customFormat="false" ht="15" hidden="false" customHeight="false" outlineLevel="0" collapsed="false">
      <c r="A43" s="17" t="n">
        <v>38</v>
      </c>
      <c r="B43" s="11" t="n">
        <f aca="false">Test1_Hand!$B$18+A43*$E$47</f>
        <v>7.8</v>
      </c>
      <c r="C43" s="12" t="n">
        <f aca="false">1-BETADIST(B43,Test1_Hand!$B$21,Test1_Hand!$B$22,Test1_Hand!$B$9,Test1_Hand!$B$11)</f>
        <v>6.24213727695722E-006</v>
      </c>
      <c r="D43" s="19" t="n">
        <v>2</v>
      </c>
      <c r="E43" s="12" t="n">
        <f aca="false">D43*C43</f>
        <v>1.24842745539144E-005</v>
      </c>
    </row>
    <row r="44" customFormat="false" ht="15" hidden="false" customHeight="false" outlineLevel="0" collapsed="false">
      <c r="A44" s="17" t="n">
        <v>39</v>
      </c>
      <c r="B44" s="11" t="n">
        <f aca="false">Test1_Hand!$B$18+A44*$E$47</f>
        <v>7.9</v>
      </c>
      <c r="C44" s="12" t="n">
        <f aca="false">1-BETADIST(B44,Test1_Hand!$B$21,Test1_Hand!$B$22,Test1_Hand!$B$9,Test1_Hand!$B$11)</f>
        <v>4.36460783070913E-007</v>
      </c>
      <c r="D44" s="19" t="n">
        <v>4</v>
      </c>
      <c r="E44" s="12" t="n">
        <f aca="false">D44*C44</f>
        <v>1.74584313228365E-006</v>
      </c>
    </row>
    <row r="45" customFormat="false" ht="15" hidden="false" customHeight="false" outlineLevel="0" collapsed="false">
      <c r="A45" s="17" t="n">
        <v>40</v>
      </c>
      <c r="B45" s="11" t="n">
        <f aca="false">Test1_Hand!$B$18+A45*$E$47</f>
        <v>8</v>
      </c>
      <c r="C45" s="12" t="n">
        <f aca="false">1-BETADIST(B45,Test1_Hand!$B$21,Test1_Hand!$B$22,Test1_Hand!$B$9,Test1_Hand!$B$11)</f>
        <v>0</v>
      </c>
      <c r="D45" s="19" t="n">
        <v>1</v>
      </c>
      <c r="E45" s="12" t="n">
        <f aca="false">D45*C45</f>
        <v>0</v>
      </c>
    </row>
    <row r="47" customFormat="false" ht="15" hidden="false" customHeight="false" outlineLevel="0" collapsed="false">
      <c r="D47" s="4" t="s">
        <v>76</v>
      </c>
      <c r="E47" s="12" t="n">
        <f aca="false">(Test1_Hand!B11-Test1_Hand!B18)/40</f>
        <v>0.1</v>
      </c>
    </row>
    <row r="48" customFormat="false" ht="15" hidden="false" customHeight="false" outlineLevel="0" collapsed="false">
      <c r="D48" s="4" t="s">
        <v>77</v>
      </c>
      <c r="E48" s="12" t="n">
        <f aca="false">SUM(E5:E45)</f>
        <v>9.64776067427296</v>
      </c>
    </row>
    <row r="49" customFormat="false" ht="15" hidden="false" customHeight="false" outlineLevel="0" collapsed="false">
      <c r="D49" s="4" t="s">
        <v>78</v>
      </c>
      <c r="E49" s="20" t="n">
        <f aca="false">E47/3*E48</f>
        <v>0.321592022475765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20"/>
  </cols>
  <sheetData>
    <row r="1" customFormat="false" ht="17.35" hidden="false" customHeight="false" outlineLevel="0" collapsed="false">
      <c r="A1" s="1" t="s">
        <v>79</v>
      </c>
    </row>
    <row r="3" customFormat="false" ht="24" hidden="false" customHeight="true" outlineLevel="0" collapsed="false">
      <c r="A3" s="3" t="s">
        <v>80</v>
      </c>
      <c r="B3" s="3" t="s">
        <v>81</v>
      </c>
      <c r="C3" s="3" t="s">
        <v>42</v>
      </c>
    </row>
    <row r="4" customFormat="false" ht="15" hidden="false" customHeight="false" outlineLevel="0" collapsed="false">
      <c r="A4" s="4" t="s">
        <v>82</v>
      </c>
      <c r="B4" s="21" t="n">
        <f aca="false">COUNT(B13:B2012)</f>
        <v>2000</v>
      </c>
      <c r="C4" s="21" t="n">
        <f aca="false">COUNT(B13:B2012)</f>
        <v>2000</v>
      </c>
    </row>
    <row r="5" customFormat="false" ht="15" hidden="false" customHeight="false" outlineLevel="0" collapsed="false">
      <c r="A5" s="4" t="s">
        <v>83</v>
      </c>
      <c r="B5" s="11" t="n">
        <f aca="false">AVERAGE(E13:E2012)</f>
        <v>0.512</v>
      </c>
      <c r="C5" s="11" t="n">
        <f aca="false">AVERAGE(H13:H2012)</f>
        <v>0.189</v>
      </c>
    </row>
    <row r="6" customFormat="false" ht="15" hidden="false" customHeight="false" outlineLevel="0" collapsed="false">
      <c r="A6" s="4" t="s">
        <v>46</v>
      </c>
      <c r="B6" s="11" t="n">
        <f aca="false">AVERAGE(F13:F2012)-Test1_Hand!$B$4</f>
        <v>1.7860842234026</v>
      </c>
      <c r="C6" s="11" t="n">
        <f aca="false">AVERAGE(I13:I2012)-Test1_Hand!$B$4</f>
        <v>0.657573964791748</v>
      </c>
    </row>
    <row r="7" customFormat="false" ht="15" hidden="false" customHeight="false" outlineLevel="0" collapsed="false">
      <c r="A7" s="4" t="s">
        <v>50</v>
      </c>
      <c r="B7" s="11" t="n">
        <f aca="false">COUNTIF(F13:F2012,"&gt;"&amp;Test1_Hand!$B$5)/B4</f>
        <v>0.1655</v>
      </c>
      <c r="C7" s="11" t="n">
        <f aca="false">COUNTIF(I13:I2012,"&gt;"&amp;Test1_Hand!$B$5)/C4</f>
        <v>0.0625</v>
      </c>
    </row>
    <row r="8" customFormat="false" ht="15" hidden="false" customHeight="false" outlineLevel="0" collapsed="false">
      <c r="A8" s="4" t="s">
        <v>84</v>
      </c>
      <c r="B8" s="11" t="n">
        <f aca="false">PERCENTILE(F13:F2012,0.9)</f>
        <v>20.6200579677156</v>
      </c>
      <c r="C8" s="11" t="n">
        <f aca="false">PERCENTILE(I13:I2012,0.9)</f>
        <v>19.211217666069</v>
      </c>
    </row>
    <row r="9" customFormat="false" ht="15" hidden="false" customHeight="false" outlineLevel="0" collapsed="false">
      <c r="A9" s="4" t="s">
        <v>85</v>
      </c>
      <c r="B9" s="14" t="n">
        <f aca="false">AVERAGE(G13:G2012)</f>
        <v>15078.4257912864</v>
      </c>
      <c r="C9" s="14" t="n">
        <f aca="false">AVERAGE(J13:J2012)</f>
        <v>11559.3577276764</v>
      </c>
    </row>
    <row r="10" customFormat="false" ht="15" hidden="false" customHeight="false" outlineLevel="0" collapsed="false">
      <c r="A10" s="4" t="s">
        <v>86</v>
      </c>
      <c r="B10" s="14" t="n">
        <f aca="false">STDEV(G13:G2012)/SQRT(B4)</f>
        <v>385.048542211798</v>
      </c>
      <c r="C10" s="14" t="n">
        <f aca="false">STDEV(J13:J2012)/SQRT(C4)</f>
        <v>285.272173681828</v>
      </c>
    </row>
    <row r="12" customFormat="false" ht="54" hidden="false" customHeight="true" outlineLevel="0" collapsed="false">
      <c r="A12" s="3" t="s">
        <v>87</v>
      </c>
      <c r="B12" s="3" t="s">
        <v>88</v>
      </c>
      <c r="C12" s="3" t="s">
        <v>89</v>
      </c>
      <c r="D12" s="3" t="s">
        <v>90</v>
      </c>
      <c r="E12" s="3" t="s">
        <v>91</v>
      </c>
      <c r="F12" s="3" t="s">
        <v>92</v>
      </c>
      <c r="G12" s="3" t="s">
        <v>93</v>
      </c>
      <c r="H12" s="3" t="s">
        <v>94</v>
      </c>
      <c r="I12" s="3" t="s">
        <v>95</v>
      </c>
      <c r="J12" s="3" t="s">
        <v>96</v>
      </c>
    </row>
    <row r="13" customFormat="false" ht="15" hidden="false" customHeight="false" outlineLevel="0" collapsed="false">
      <c r="A13" s="2" t="n">
        <v>1</v>
      </c>
      <c r="B13" s="22" t="n">
        <v>0.22733602246717</v>
      </c>
      <c r="C13" s="22" t="n">
        <v>0.316758339709753</v>
      </c>
      <c r="D13" s="23" t="n">
        <f aca="false">BETAINV(C13,Test1_Hand!$B$21,Test1_Hand!$B$22,Test1_Hand!$B$9,Test1_Hand!$B$11)</f>
        <v>2.74884160603594</v>
      </c>
      <c r="E13" s="2" t="n">
        <f aca="false">IF(B13&lt;Test1_Hand!$B$12,1,0)</f>
        <v>1</v>
      </c>
      <c r="F13" s="23" t="n">
        <f aca="false">Test1_Hand!$B$4+E13*D13</f>
        <v>18.7488416060359</v>
      </c>
      <c r="G13" s="24" t="n">
        <f aca="false">Test1_Hand!$B$6*E13*D13+Test1_Hand!$B$7*MAX(0,F13-Test1_Hand!$B$5)</f>
        <v>21990.7328482875</v>
      </c>
      <c r="H13" s="2" t="n">
        <f aca="false">IF(B13&lt;Test1_Hand!$B$13,1,0)</f>
        <v>0</v>
      </c>
      <c r="I13" s="23" t="n">
        <f aca="false">Test1_Hand!$B$4+H13*D13</f>
        <v>16</v>
      </c>
      <c r="J13" s="24" t="n">
        <f aca="false">Test1_Hand!$B$6*H13*D13+Test1_Hand!$B$7*MAX(0,I13-Test1_Hand!$B$5)+Test1_Hand!$B$14</f>
        <v>6000</v>
      </c>
    </row>
    <row r="14" customFormat="false" ht="15" hidden="false" customHeight="false" outlineLevel="0" collapsed="false">
      <c r="A14" s="2" t="n">
        <v>2</v>
      </c>
      <c r="B14" s="22" t="n">
        <v>0.797365457332734</v>
      </c>
      <c r="C14" s="22" t="n">
        <v>0.676254670750975</v>
      </c>
      <c r="D14" s="23" t="n">
        <f aca="false">BETAINV(C14,Test1_Hand!$B$21,Test1_Hand!$B$22,Test1_Hand!$B$9,Test1_Hand!$B$11)</f>
        <v>4.04899674236067</v>
      </c>
      <c r="E14" s="2" t="n">
        <f aca="false">IF(B14&lt;Test1_Hand!$B$12,1,0)</f>
        <v>0</v>
      </c>
      <c r="F14" s="23" t="n">
        <f aca="false">Test1_Hand!$B$4+E14*D14</f>
        <v>16</v>
      </c>
      <c r="G14" s="24" t="n">
        <f aca="false">Test1_Hand!$B$6*E14*D14+Test1_Hand!$B$7*MAX(0,F14-Test1_Hand!$B$5)</f>
        <v>0</v>
      </c>
      <c r="H14" s="2" t="n">
        <f aca="false">IF(B14&lt;Test1_Hand!$B$13,1,0)</f>
        <v>0</v>
      </c>
      <c r="I14" s="23" t="n">
        <f aca="false">Test1_Hand!$B$4+H14*D14</f>
        <v>16</v>
      </c>
      <c r="J14" s="24" t="n">
        <f aca="false">Test1_Hand!$B$6*H14*D14+Test1_Hand!$B$7*MAX(0,I14-Test1_Hand!$B$5)+Test1_Hand!$B$14</f>
        <v>6000</v>
      </c>
    </row>
    <row r="15" customFormat="false" ht="15" hidden="false" customHeight="false" outlineLevel="0" collapsed="false">
      <c r="A15" s="2" t="n">
        <v>3</v>
      </c>
      <c r="B15" s="22" t="n">
        <v>0.391109550601909</v>
      </c>
      <c r="C15" s="22" t="n">
        <v>0.332813927866385</v>
      </c>
      <c r="D15" s="23" t="n">
        <f aca="false">BETAINV(C15,Test1_Hand!$B$21,Test1_Hand!$B$22,Test1_Hand!$B$9,Test1_Hand!$B$11)</f>
        <v>2.80454957581615</v>
      </c>
      <c r="E15" s="2" t="n">
        <f aca="false">IF(B15&lt;Test1_Hand!$B$12,1,0)</f>
        <v>1</v>
      </c>
      <c r="F15" s="23" t="n">
        <f aca="false">Test1_Hand!$B$4+E15*D15</f>
        <v>18.8045495758162</v>
      </c>
      <c r="G15" s="24" t="n">
        <f aca="false">Test1_Hand!$B$6*E15*D15+Test1_Hand!$B$7*MAX(0,F15-Test1_Hand!$B$5)</f>
        <v>22436.3966065292</v>
      </c>
      <c r="H15" s="2" t="n">
        <f aca="false">IF(B15&lt;Test1_Hand!$B$13,1,0)</f>
        <v>0</v>
      </c>
      <c r="I15" s="23" t="n">
        <f aca="false">Test1_Hand!$B$4+H15*D15</f>
        <v>16</v>
      </c>
      <c r="J15" s="24" t="n">
        <f aca="false">Test1_Hand!$B$6*H15*D15+Test1_Hand!$B$7*MAX(0,I15-Test1_Hand!$B$5)+Test1_Hand!$B$14</f>
        <v>6000</v>
      </c>
    </row>
    <row r="16" customFormat="false" ht="15" hidden="false" customHeight="false" outlineLevel="0" collapsed="false">
      <c r="A16" s="2" t="n">
        <v>4</v>
      </c>
      <c r="B16" s="22" t="n">
        <v>0.59830875358719</v>
      </c>
      <c r="C16" s="22" t="n">
        <v>0.186734185603713</v>
      </c>
      <c r="D16" s="23" t="n">
        <f aca="false">BETAINV(C16,Test1_Hand!$B$21,Test1_Hand!$B$22,Test1_Hand!$B$9,Test1_Hand!$B$11)</f>
        <v>2.27547796436636</v>
      </c>
      <c r="E16" s="2" t="n">
        <f aca="false">IF(B16&lt;Test1_Hand!$B$12,1,0)</f>
        <v>0</v>
      </c>
      <c r="F16" s="23" t="n">
        <f aca="false">Test1_Hand!$B$4+E16*D16</f>
        <v>16</v>
      </c>
      <c r="G16" s="24" t="n">
        <f aca="false">Test1_Hand!$B$6*E16*D16+Test1_Hand!$B$7*MAX(0,F16-Test1_Hand!$B$5)</f>
        <v>0</v>
      </c>
      <c r="H16" s="2" t="n">
        <f aca="false">IF(B16&lt;Test1_Hand!$B$13,1,0)</f>
        <v>0</v>
      </c>
      <c r="I16" s="23" t="n">
        <f aca="false">Test1_Hand!$B$4+H16*D16</f>
        <v>16</v>
      </c>
      <c r="J16" s="24" t="n">
        <f aca="false">Test1_Hand!$B$6*H16*D16+Test1_Hand!$B$7*MAX(0,I16-Test1_Hand!$B$5)+Test1_Hand!$B$14</f>
        <v>6000</v>
      </c>
    </row>
    <row r="17" customFormat="false" ht="15" hidden="false" customHeight="false" outlineLevel="0" collapsed="false">
      <c r="A17" s="2" t="n">
        <v>5</v>
      </c>
      <c r="B17" s="22" t="n">
        <v>0.672756044014621</v>
      </c>
      <c r="C17" s="22" t="n">
        <v>0.941802865269937</v>
      </c>
      <c r="D17" s="23" t="n">
        <f aca="false">BETAINV(C17,Test1_Hand!$B$21,Test1_Hand!$B$22,Test1_Hand!$B$9,Test1_Hand!$B$11)</f>
        <v>5.67409036337158</v>
      </c>
      <c r="E17" s="2" t="n">
        <f aca="false">IF(B17&lt;Test1_Hand!$B$12,1,0)</f>
        <v>0</v>
      </c>
      <c r="F17" s="23" t="n">
        <f aca="false">Test1_Hand!$B$4+E17*D17</f>
        <v>16</v>
      </c>
      <c r="G17" s="24" t="n">
        <f aca="false">Test1_Hand!$B$6*E17*D17+Test1_Hand!$B$7*MAX(0,F17-Test1_Hand!$B$5)</f>
        <v>0</v>
      </c>
      <c r="H17" s="2" t="n">
        <f aca="false">IF(B17&lt;Test1_Hand!$B$13,1,0)</f>
        <v>0</v>
      </c>
      <c r="I17" s="23" t="n">
        <f aca="false">Test1_Hand!$B$4+H17*D17</f>
        <v>16</v>
      </c>
      <c r="J17" s="24" t="n">
        <f aca="false">Test1_Hand!$B$6*H17*D17+Test1_Hand!$B$7*MAX(0,I17-Test1_Hand!$B$5)+Test1_Hand!$B$14</f>
        <v>6000</v>
      </c>
    </row>
    <row r="18" customFormat="false" ht="15" hidden="false" customHeight="false" outlineLevel="0" collapsed="false">
      <c r="A18" s="2" t="n">
        <v>6</v>
      </c>
      <c r="B18" s="22" t="n">
        <v>0.248245714629571</v>
      </c>
      <c r="C18" s="22" t="n">
        <v>0.948881151833318</v>
      </c>
      <c r="D18" s="23" t="n">
        <f aca="false">BETAINV(C18,Test1_Hand!$B$21,Test1_Hand!$B$22,Test1_Hand!$B$9,Test1_Hand!$B$11)</f>
        <v>5.75968092549134</v>
      </c>
      <c r="E18" s="2" t="n">
        <f aca="false">IF(B18&lt;Test1_Hand!$B$12,1,0)</f>
        <v>1</v>
      </c>
      <c r="F18" s="23" t="n">
        <f aca="false">Test1_Hand!$B$4+E18*D18</f>
        <v>21.7596809254913</v>
      </c>
      <c r="G18" s="24" t="n">
        <f aca="false">Test1_Hand!$B$6*E18*D18+Test1_Hand!$B$7*MAX(0,F18-Test1_Hand!$B$5)</f>
        <v>54875.8520313875</v>
      </c>
      <c r="H18" s="2" t="n">
        <f aca="false">IF(B18&lt;Test1_Hand!$B$13,1,0)</f>
        <v>0</v>
      </c>
      <c r="I18" s="23" t="n">
        <f aca="false">Test1_Hand!$B$4+H18*D18</f>
        <v>16</v>
      </c>
      <c r="J18" s="24" t="n">
        <f aca="false">Test1_Hand!$B$6*H18*D18+Test1_Hand!$B$7*MAX(0,I18-Test1_Hand!$B$5)+Test1_Hand!$B$14</f>
        <v>6000</v>
      </c>
    </row>
    <row r="19" customFormat="false" ht="15" hidden="false" customHeight="false" outlineLevel="0" collapsed="false">
      <c r="A19" s="2" t="n">
        <v>7</v>
      </c>
      <c r="B19" s="22" t="n">
        <v>0.667237453100372</v>
      </c>
      <c r="C19" s="22" t="n">
        <v>0.0958979355941121</v>
      </c>
      <c r="D19" s="23" t="n">
        <f aca="false">BETAINV(C19,Test1_Hand!$B$21,Test1_Hand!$B$22,Test1_Hand!$B$9,Test1_Hand!$B$11)</f>
        <v>1.88438783639363</v>
      </c>
      <c r="E19" s="2" t="n">
        <f aca="false">IF(B19&lt;Test1_Hand!$B$12,1,0)</f>
        <v>0</v>
      </c>
      <c r="F19" s="23" t="n">
        <f aca="false">Test1_Hand!$B$4+E19*D19</f>
        <v>16</v>
      </c>
      <c r="G19" s="24" t="n">
        <f aca="false">Test1_Hand!$B$6*E19*D19+Test1_Hand!$B$7*MAX(0,F19-Test1_Hand!$B$5)</f>
        <v>0</v>
      </c>
      <c r="H19" s="2" t="n">
        <f aca="false">IF(B19&lt;Test1_Hand!$B$13,1,0)</f>
        <v>0</v>
      </c>
      <c r="I19" s="23" t="n">
        <f aca="false">Test1_Hand!$B$4+H19*D19</f>
        <v>16</v>
      </c>
      <c r="J19" s="24" t="n">
        <f aca="false">Test1_Hand!$B$6*H19*D19+Test1_Hand!$B$7*MAX(0,I19-Test1_Hand!$B$5)+Test1_Hand!$B$14</f>
        <v>6000</v>
      </c>
    </row>
    <row r="20" customFormat="false" ht="15" hidden="false" customHeight="false" outlineLevel="0" collapsed="false">
      <c r="A20" s="2" t="n">
        <v>8</v>
      </c>
      <c r="B20" s="22" t="n">
        <v>0.441839666167813</v>
      </c>
      <c r="C20" s="22" t="n">
        <v>0.886479919327518</v>
      </c>
      <c r="D20" s="23" t="n">
        <f aca="false">BETAINV(C20,Test1_Hand!$B$21,Test1_Hand!$B$22,Test1_Hand!$B$9,Test1_Hand!$B$11)</f>
        <v>5.16693359934161</v>
      </c>
      <c r="E20" s="2" t="n">
        <f aca="false">IF(B20&lt;Test1_Hand!$B$12,1,0)</f>
        <v>1</v>
      </c>
      <c r="F20" s="23" t="n">
        <f aca="false">Test1_Hand!$B$4+E20*D20</f>
        <v>21.1669335993416</v>
      </c>
      <c r="G20" s="24" t="n">
        <f aca="false">Test1_Hand!$B$6*E20*D20+Test1_Hand!$B$7*MAX(0,F20-Test1_Hand!$B$5)</f>
        <v>47170.1367914409</v>
      </c>
      <c r="H20" s="2" t="n">
        <f aca="false">IF(B20&lt;Test1_Hand!$B$13,1,0)</f>
        <v>0</v>
      </c>
      <c r="I20" s="23" t="n">
        <f aca="false">Test1_Hand!$B$4+H20*D20</f>
        <v>16</v>
      </c>
      <c r="J20" s="24" t="n">
        <f aca="false">Test1_Hand!$B$6*H20*D20+Test1_Hand!$B$7*MAX(0,I20-Test1_Hand!$B$5)+Test1_Hand!$B$14</f>
        <v>6000</v>
      </c>
    </row>
    <row r="21" customFormat="false" ht="15" hidden="false" customHeight="false" outlineLevel="0" collapsed="false">
      <c r="A21" s="2" t="n">
        <v>9</v>
      </c>
      <c r="B21" s="22" t="n">
        <v>0.697453499882022</v>
      </c>
      <c r="C21" s="22" t="n">
        <v>0.326472864070112</v>
      </c>
      <c r="D21" s="23" t="n">
        <f aca="false">BETAINV(C21,Test1_Hand!$B$21,Test1_Hand!$B$22,Test1_Hand!$B$9,Test1_Hand!$B$11)</f>
        <v>2.78258337226665</v>
      </c>
      <c r="E21" s="2" t="n">
        <f aca="false">IF(B21&lt;Test1_Hand!$B$12,1,0)</f>
        <v>0</v>
      </c>
      <c r="F21" s="23" t="n">
        <f aca="false">Test1_Hand!$B$4+E21*D21</f>
        <v>16</v>
      </c>
      <c r="G21" s="24" t="n">
        <f aca="false">Test1_Hand!$B$6*E21*D21+Test1_Hand!$B$7*MAX(0,F21-Test1_Hand!$B$5)</f>
        <v>0</v>
      </c>
      <c r="H21" s="2" t="n">
        <f aca="false">IF(B21&lt;Test1_Hand!$B$13,1,0)</f>
        <v>0</v>
      </c>
      <c r="I21" s="23" t="n">
        <f aca="false">Test1_Hand!$B$4+H21*D21</f>
        <v>16</v>
      </c>
      <c r="J21" s="24" t="n">
        <f aca="false">Test1_Hand!$B$6*H21*D21+Test1_Hand!$B$7*MAX(0,I21-Test1_Hand!$B$5)+Test1_Hand!$B$14</f>
        <v>6000</v>
      </c>
    </row>
    <row r="22" customFormat="false" ht="15" hidden="false" customHeight="false" outlineLevel="0" collapsed="false">
      <c r="A22" s="2" t="n">
        <v>10</v>
      </c>
      <c r="B22" s="22" t="n">
        <v>0.733928163330067</v>
      </c>
      <c r="C22" s="22" t="n">
        <v>0.220134955545486</v>
      </c>
      <c r="D22" s="23" t="n">
        <f aca="false">BETAINV(C22,Test1_Hand!$B$21,Test1_Hand!$B$22,Test1_Hand!$B$9,Test1_Hand!$B$11)</f>
        <v>2.40274368613078</v>
      </c>
      <c r="E22" s="2" t="n">
        <f aca="false">IF(B22&lt;Test1_Hand!$B$12,1,0)</f>
        <v>0</v>
      </c>
      <c r="F22" s="23" t="n">
        <f aca="false">Test1_Hand!$B$4+E22*D22</f>
        <v>16</v>
      </c>
      <c r="G22" s="24" t="n">
        <f aca="false">Test1_Hand!$B$6*E22*D22+Test1_Hand!$B$7*MAX(0,F22-Test1_Hand!$B$5)</f>
        <v>0</v>
      </c>
      <c r="H22" s="2" t="n">
        <f aca="false">IF(B22&lt;Test1_Hand!$B$13,1,0)</f>
        <v>0</v>
      </c>
      <c r="I22" s="23" t="n">
        <f aca="false">Test1_Hand!$B$4+H22*D22</f>
        <v>16</v>
      </c>
      <c r="J22" s="24" t="n">
        <f aca="false">Test1_Hand!$B$6*H22*D22+Test1_Hand!$B$7*MAX(0,I22-Test1_Hand!$B$5)+Test1_Hand!$B$14</f>
        <v>6000</v>
      </c>
    </row>
    <row r="23" customFormat="false" ht="15" hidden="false" customHeight="false" outlineLevel="0" collapsed="false">
      <c r="A23" s="2" t="n">
        <v>11</v>
      </c>
      <c r="B23" s="22" t="n">
        <v>0.0815945695422081</v>
      </c>
      <c r="C23" s="22" t="n">
        <v>0.159895601075048</v>
      </c>
      <c r="D23" s="23" t="n">
        <f aca="false">BETAINV(C23,Test1_Hand!$B$21,Test1_Hand!$B$22,Test1_Hand!$B$9,Test1_Hand!$B$11)</f>
        <v>2.16839997979063</v>
      </c>
      <c r="E23" s="2" t="n">
        <f aca="false">IF(B23&lt;Test1_Hand!$B$12,1,0)</f>
        <v>1</v>
      </c>
      <c r="F23" s="23" t="n">
        <f aca="false">Test1_Hand!$B$4+E23*D23</f>
        <v>18.1683999797906</v>
      </c>
      <c r="G23" s="24" t="n">
        <f aca="false">Test1_Hand!$B$6*E23*D23+Test1_Hand!$B$7*MAX(0,F23-Test1_Hand!$B$5)</f>
        <v>17347.199838325</v>
      </c>
      <c r="H23" s="2" t="n">
        <f aca="false">IF(B23&lt;Test1_Hand!$B$13,1,0)</f>
        <v>1</v>
      </c>
      <c r="I23" s="23" t="n">
        <f aca="false">Test1_Hand!$B$4+H23*D23</f>
        <v>18.1683999797906</v>
      </c>
      <c r="J23" s="24" t="n">
        <f aca="false">Test1_Hand!$B$6*H23*D23+Test1_Hand!$B$7*MAX(0,I23-Test1_Hand!$B$5)+Test1_Hand!$B$14</f>
        <v>23347.199838325</v>
      </c>
    </row>
    <row r="24" customFormat="false" ht="15" hidden="false" customHeight="false" outlineLevel="0" collapsed="false">
      <c r="A24" s="2" t="n">
        <v>12</v>
      </c>
      <c r="B24" s="22" t="n">
        <v>0.340100184954705</v>
      </c>
      <c r="C24" s="22" t="n">
        <v>0.465193153702051</v>
      </c>
      <c r="D24" s="23" t="n">
        <f aca="false">BETAINV(C24,Test1_Hand!$B$21,Test1_Hand!$B$22,Test1_Hand!$B$9,Test1_Hand!$B$11)</f>
        <v>3.26070127208311</v>
      </c>
      <c r="E24" s="2" t="n">
        <f aca="false">IF(B24&lt;Test1_Hand!$B$12,1,0)</f>
        <v>1</v>
      </c>
      <c r="F24" s="23" t="n">
        <f aca="false">Test1_Hand!$B$4+E24*D24</f>
        <v>19.2607012720831</v>
      </c>
      <c r="G24" s="24" t="n">
        <f aca="false">Test1_Hand!$B$6*E24*D24+Test1_Hand!$B$7*MAX(0,F24-Test1_Hand!$B$5)</f>
        <v>26085.6101766649</v>
      </c>
      <c r="H24" s="2" t="n">
        <f aca="false">IF(B24&lt;Test1_Hand!$B$13,1,0)</f>
        <v>0</v>
      </c>
      <c r="I24" s="23" t="n">
        <f aca="false">Test1_Hand!$B$4+H24*D24</f>
        <v>16</v>
      </c>
      <c r="J24" s="24" t="n">
        <f aca="false">Test1_Hand!$B$6*H24*D24+Test1_Hand!$B$7*MAX(0,I24-Test1_Hand!$B$5)+Test1_Hand!$B$14</f>
        <v>6000</v>
      </c>
    </row>
    <row r="25" customFormat="false" ht="15" hidden="false" customHeight="false" outlineLevel="0" collapsed="false">
      <c r="A25" s="2" t="n">
        <v>13</v>
      </c>
      <c r="B25" s="22" t="n">
        <v>0.266421028290771</v>
      </c>
      <c r="C25" s="22" t="n">
        <v>0.815776403424807</v>
      </c>
      <c r="D25" s="23" t="n">
        <f aca="false">BETAINV(C25,Test1_Hand!$B$21,Test1_Hand!$B$22,Test1_Hand!$B$9,Test1_Hand!$B$11)</f>
        <v>4.71229210589278</v>
      </c>
      <c r="E25" s="2" t="n">
        <f aca="false">IF(B25&lt;Test1_Hand!$B$12,1,0)</f>
        <v>1</v>
      </c>
      <c r="F25" s="23" t="n">
        <f aca="false">Test1_Hand!$B$4+E25*D25</f>
        <v>20.7122921058928</v>
      </c>
      <c r="G25" s="24" t="n">
        <f aca="false">Test1_Hand!$B$6*E25*D25+Test1_Hand!$B$7*MAX(0,F25-Test1_Hand!$B$5)</f>
        <v>41259.7973766061</v>
      </c>
      <c r="H25" s="2" t="n">
        <f aca="false">IF(B25&lt;Test1_Hand!$B$13,1,0)</f>
        <v>0</v>
      </c>
      <c r="I25" s="23" t="n">
        <f aca="false">Test1_Hand!$B$4+H25*D25</f>
        <v>16</v>
      </c>
      <c r="J25" s="24" t="n">
        <f aca="false">Test1_Hand!$B$6*H25*D25+Test1_Hand!$B$7*MAX(0,I25-Test1_Hand!$B$5)+Test1_Hand!$B$14</f>
        <v>6000</v>
      </c>
    </row>
    <row r="26" customFormat="false" ht="15" hidden="false" customHeight="false" outlineLevel="0" collapsed="false">
      <c r="A26" s="2" t="n">
        <v>14</v>
      </c>
      <c r="B26" s="22" t="n">
        <v>0.193294389289495</v>
      </c>
      <c r="C26" s="22" t="n">
        <v>0.1294690761772</v>
      </c>
      <c r="D26" s="23" t="n">
        <f aca="false">BETAINV(C26,Test1_Hand!$B$21,Test1_Hand!$B$22,Test1_Hand!$B$9,Test1_Hand!$B$11)</f>
        <v>2.03970421419084</v>
      </c>
      <c r="E26" s="2" t="n">
        <f aca="false">IF(B26&lt;Test1_Hand!$B$12,1,0)</f>
        <v>1</v>
      </c>
      <c r="F26" s="23" t="n">
        <f aca="false">Test1_Hand!$B$4+E26*D26</f>
        <v>18.0397042141908</v>
      </c>
      <c r="G26" s="24" t="n">
        <f aca="false">Test1_Hand!$B$6*E26*D26+Test1_Hand!$B$7*MAX(0,F26-Test1_Hand!$B$5)</f>
        <v>16317.6337135267</v>
      </c>
      <c r="H26" s="2" t="n">
        <f aca="false">IF(B26&lt;Test1_Hand!$B$13,1,0)</f>
        <v>1</v>
      </c>
      <c r="I26" s="23" t="n">
        <f aca="false">Test1_Hand!$B$4+H26*D26</f>
        <v>18.0397042141908</v>
      </c>
      <c r="J26" s="24" t="n">
        <f aca="false">Test1_Hand!$B$6*H26*D26+Test1_Hand!$B$7*MAX(0,I26-Test1_Hand!$B$5)+Test1_Hand!$B$14</f>
        <v>22317.6337135267</v>
      </c>
    </row>
    <row r="27" customFormat="false" ht="15" hidden="false" customHeight="false" outlineLevel="0" collapsed="false">
      <c r="A27" s="2" t="n">
        <v>15</v>
      </c>
      <c r="B27" s="22" t="n">
        <v>0.0916647515449359</v>
      </c>
      <c r="C27" s="22" t="n">
        <v>0.598568013664913</v>
      </c>
      <c r="D27" s="23" t="n">
        <f aca="false">BETAINV(C27,Test1_Hand!$B$21,Test1_Hand!$B$22,Test1_Hand!$B$9,Test1_Hand!$B$11)</f>
        <v>3.74163900296949</v>
      </c>
      <c r="E27" s="2" t="n">
        <f aca="false">IF(B27&lt;Test1_Hand!$B$12,1,0)</f>
        <v>1</v>
      </c>
      <c r="F27" s="23" t="n">
        <f aca="false">Test1_Hand!$B$4+E27*D27</f>
        <v>19.7416390029695</v>
      </c>
      <c r="G27" s="24" t="n">
        <f aca="false">Test1_Hand!$B$6*E27*D27+Test1_Hand!$B$7*MAX(0,F27-Test1_Hand!$B$5)</f>
        <v>29933.1120237559</v>
      </c>
      <c r="H27" s="2" t="n">
        <f aca="false">IF(B27&lt;Test1_Hand!$B$13,1,0)</f>
        <v>1</v>
      </c>
      <c r="I27" s="23" t="n">
        <f aca="false">Test1_Hand!$B$4+H27*D27</f>
        <v>19.7416390029695</v>
      </c>
      <c r="J27" s="24" t="n">
        <f aca="false">Test1_Hand!$B$6*H27*D27+Test1_Hand!$B$7*MAX(0,I27-Test1_Hand!$B$5)+Test1_Hand!$B$14</f>
        <v>35933.1120237559</v>
      </c>
    </row>
    <row r="28" customFormat="false" ht="15" hidden="false" customHeight="false" outlineLevel="0" collapsed="false">
      <c r="A28" s="2" t="n">
        <v>16</v>
      </c>
      <c r="B28" s="22" t="n">
        <v>0.854741904374001</v>
      </c>
      <c r="C28" s="22" t="n">
        <v>0.601621241693713</v>
      </c>
      <c r="D28" s="23" t="n">
        <f aca="false">BETAINV(C28,Test1_Hand!$B$21,Test1_Hand!$B$22,Test1_Hand!$B$9,Test1_Hand!$B$11)</f>
        <v>3.75322123289268</v>
      </c>
      <c r="E28" s="2" t="n">
        <f aca="false">IF(B28&lt;Test1_Hand!$B$12,1,0)</f>
        <v>0</v>
      </c>
      <c r="F28" s="23" t="n">
        <f aca="false">Test1_Hand!$B$4+E28*D28</f>
        <v>16</v>
      </c>
      <c r="G28" s="24" t="n">
        <f aca="false">Test1_Hand!$B$6*E28*D28+Test1_Hand!$B$7*MAX(0,F28-Test1_Hand!$B$5)</f>
        <v>0</v>
      </c>
      <c r="H28" s="2" t="n">
        <f aca="false">IF(B28&lt;Test1_Hand!$B$13,1,0)</f>
        <v>0</v>
      </c>
      <c r="I28" s="23" t="n">
        <f aca="false">Test1_Hand!$B$4+H28*D28</f>
        <v>16</v>
      </c>
      <c r="J28" s="24" t="n">
        <f aca="false">Test1_Hand!$B$6*H28*D28+Test1_Hand!$B$7*MAX(0,I28-Test1_Hand!$B$5)+Test1_Hand!$B$14</f>
        <v>6000</v>
      </c>
    </row>
    <row r="29" customFormat="false" ht="15" hidden="false" customHeight="false" outlineLevel="0" collapsed="false">
      <c r="A29" s="2" t="n">
        <v>17</v>
      </c>
      <c r="B29" s="22" t="n">
        <v>0.931988361135984</v>
      </c>
      <c r="C29" s="22" t="n">
        <v>0.72478136109202</v>
      </c>
      <c r="D29" s="23" t="n">
        <f aca="false">BETAINV(C29,Test1_Hand!$B$21,Test1_Hand!$B$22,Test1_Hand!$B$9,Test1_Hand!$B$11)</f>
        <v>4.25855287222753</v>
      </c>
      <c r="E29" s="2" t="n">
        <f aca="false">IF(B29&lt;Test1_Hand!$B$12,1,0)</f>
        <v>0</v>
      </c>
      <c r="F29" s="23" t="n">
        <f aca="false">Test1_Hand!$B$4+E29*D29</f>
        <v>16</v>
      </c>
      <c r="G29" s="24" t="n">
        <f aca="false">Test1_Hand!$B$6*E29*D29+Test1_Hand!$B$7*MAX(0,F29-Test1_Hand!$B$5)</f>
        <v>0</v>
      </c>
      <c r="H29" s="2" t="n">
        <f aca="false">IF(B29&lt;Test1_Hand!$B$13,1,0)</f>
        <v>0</v>
      </c>
      <c r="I29" s="23" t="n">
        <f aca="false">Test1_Hand!$B$4+H29*D29</f>
        <v>16</v>
      </c>
      <c r="J29" s="24" t="n">
        <f aca="false">Test1_Hand!$B$6*H29*D29+Test1_Hand!$B$7*MAX(0,I29-Test1_Hand!$B$5)+Test1_Hand!$B$14</f>
        <v>6000</v>
      </c>
    </row>
    <row r="30" customFormat="false" ht="15" hidden="false" customHeight="false" outlineLevel="0" collapsed="false">
      <c r="A30" s="2" t="n">
        <v>18</v>
      </c>
      <c r="B30" s="22" t="n">
        <v>0.860551317393292</v>
      </c>
      <c r="C30" s="22" t="n">
        <v>0.929337801575316</v>
      </c>
      <c r="D30" s="23" t="n">
        <f aca="false">BETAINV(C30,Test1_Hand!$B$21,Test1_Hand!$B$22,Test1_Hand!$B$9,Test1_Hand!$B$11)</f>
        <v>5.53879682797699</v>
      </c>
      <c r="E30" s="2" t="n">
        <f aca="false">IF(B30&lt;Test1_Hand!$B$12,1,0)</f>
        <v>0</v>
      </c>
      <c r="F30" s="23" t="n">
        <f aca="false">Test1_Hand!$B$4+E30*D30</f>
        <v>16</v>
      </c>
      <c r="G30" s="24" t="n">
        <f aca="false">Test1_Hand!$B$6*E30*D30+Test1_Hand!$B$7*MAX(0,F30-Test1_Hand!$B$5)</f>
        <v>0</v>
      </c>
      <c r="H30" s="2" t="n">
        <f aca="false">IF(B30&lt;Test1_Hand!$B$13,1,0)</f>
        <v>0</v>
      </c>
      <c r="I30" s="23" t="n">
        <f aca="false">Test1_Hand!$B$4+H30*D30</f>
        <v>16</v>
      </c>
      <c r="J30" s="24" t="n">
        <f aca="false">Test1_Hand!$B$6*H30*D30+Test1_Hand!$B$7*MAX(0,I30-Test1_Hand!$B$5)+Test1_Hand!$B$14</f>
        <v>6000</v>
      </c>
    </row>
    <row r="31" customFormat="false" ht="15" hidden="false" customHeight="false" outlineLevel="0" collapsed="false">
      <c r="A31" s="2" t="n">
        <v>19</v>
      </c>
      <c r="B31" s="22" t="n">
        <v>0.546186009082353</v>
      </c>
      <c r="C31" s="22" t="n">
        <v>0.937672958767757</v>
      </c>
      <c r="D31" s="23" t="n">
        <f aca="false">BETAINV(C31,Test1_Hand!$B$21,Test1_Hand!$B$22,Test1_Hand!$B$9,Test1_Hand!$B$11)</f>
        <v>5.62731320873025</v>
      </c>
      <c r="E31" s="2" t="n">
        <f aca="false">IF(B31&lt;Test1_Hand!$B$12,1,0)</f>
        <v>0</v>
      </c>
      <c r="F31" s="23" t="n">
        <f aca="false">Test1_Hand!$B$4+E31*D31</f>
        <v>16</v>
      </c>
      <c r="G31" s="24" t="n">
        <f aca="false">Test1_Hand!$B$6*E31*D31+Test1_Hand!$B$7*MAX(0,F31-Test1_Hand!$B$5)</f>
        <v>0</v>
      </c>
      <c r="H31" s="2" t="n">
        <f aca="false">IF(B31&lt;Test1_Hand!$B$13,1,0)</f>
        <v>0</v>
      </c>
      <c r="I31" s="23" t="n">
        <f aca="false">Test1_Hand!$B$4+H31*D31</f>
        <v>16</v>
      </c>
      <c r="J31" s="24" t="n">
        <f aca="false">Test1_Hand!$B$6*H31*D31+Test1_Hand!$B$7*MAX(0,I31-Test1_Hand!$B$5)+Test1_Hand!$B$14</f>
        <v>6000</v>
      </c>
    </row>
    <row r="32" customFormat="false" ht="15" hidden="false" customHeight="false" outlineLevel="0" collapsed="false">
      <c r="A32" s="2" t="n">
        <v>20</v>
      </c>
      <c r="B32" s="22" t="n">
        <v>0.494987940078824</v>
      </c>
      <c r="C32" s="22" t="n">
        <v>0.273773182489988</v>
      </c>
      <c r="D32" s="23" t="n">
        <f aca="false">BETAINV(C32,Test1_Hand!$B$21,Test1_Hand!$B$22,Test1_Hand!$B$9,Test1_Hand!$B$11)</f>
        <v>2.59775642079634</v>
      </c>
      <c r="E32" s="2" t="n">
        <f aca="false">IF(B32&lt;Test1_Hand!$B$12,1,0)</f>
        <v>1</v>
      </c>
      <c r="F32" s="23" t="n">
        <f aca="false">Test1_Hand!$B$4+E32*D32</f>
        <v>18.5977564207963</v>
      </c>
      <c r="G32" s="24" t="n">
        <f aca="false">Test1_Hand!$B$6*E32*D32+Test1_Hand!$B$7*MAX(0,F32-Test1_Hand!$B$5)</f>
        <v>20782.0513663707</v>
      </c>
      <c r="H32" s="2" t="n">
        <f aca="false">IF(B32&lt;Test1_Hand!$B$13,1,0)</f>
        <v>0</v>
      </c>
      <c r="I32" s="23" t="n">
        <f aca="false">Test1_Hand!$B$4+H32*D32</f>
        <v>16</v>
      </c>
      <c r="J32" s="24" t="n">
        <f aca="false">Test1_Hand!$B$6*H32*D32+Test1_Hand!$B$7*MAX(0,I32-Test1_Hand!$B$5)+Test1_Hand!$B$14</f>
        <v>6000</v>
      </c>
    </row>
    <row r="33" customFormat="false" ht="15" hidden="false" customHeight="false" outlineLevel="0" collapsed="false">
      <c r="A33" s="2" t="n">
        <v>21</v>
      </c>
      <c r="B33" s="22" t="n">
        <v>0.451778707474761</v>
      </c>
      <c r="C33" s="22" t="n">
        <v>0.66503892339953</v>
      </c>
      <c r="D33" s="23" t="n">
        <f aca="false">BETAINV(C33,Test1_Hand!$B$21,Test1_Hand!$B$22,Test1_Hand!$B$9,Test1_Hand!$B$11)</f>
        <v>4.00276041920241</v>
      </c>
      <c r="E33" s="2" t="n">
        <f aca="false">IF(B33&lt;Test1_Hand!$B$12,1,0)</f>
        <v>1</v>
      </c>
      <c r="F33" s="23" t="n">
        <f aca="false">Test1_Hand!$B$4+E33*D33</f>
        <v>20.0027604192024</v>
      </c>
      <c r="G33" s="24" t="n">
        <f aca="false">Test1_Hand!$B$6*E33*D33+Test1_Hand!$B$7*MAX(0,F33-Test1_Hand!$B$5)</f>
        <v>32035.8854496313</v>
      </c>
      <c r="H33" s="2" t="n">
        <f aca="false">IF(B33&lt;Test1_Hand!$B$13,1,0)</f>
        <v>0</v>
      </c>
      <c r="I33" s="23" t="n">
        <f aca="false">Test1_Hand!$B$4+H33*D33</f>
        <v>16</v>
      </c>
      <c r="J33" s="24" t="n">
        <f aca="false">Test1_Hand!$B$6*H33*D33+Test1_Hand!$B$7*MAX(0,I33-Test1_Hand!$B$5)+Test1_Hand!$B$14</f>
        <v>6000</v>
      </c>
    </row>
    <row r="34" customFormat="false" ht="15" hidden="false" customHeight="false" outlineLevel="0" collapsed="false">
      <c r="A34" s="2" t="n">
        <v>22</v>
      </c>
      <c r="B34" s="22" t="n">
        <v>0.330890930467055</v>
      </c>
      <c r="C34" s="22" t="n">
        <v>0.903454006808239</v>
      </c>
      <c r="D34" s="23" t="n">
        <f aca="false">BETAINV(C34,Test1_Hand!$B$21,Test1_Hand!$B$22,Test1_Hand!$B$9,Test1_Hand!$B$11)</f>
        <v>5.30116165858802</v>
      </c>
      <c r="E34" s="2" t="n">
        <f aca="false">IF(B34&lt;Test1_Hand!$B$12,1,0)</f>
        <v>1</v>
      </c>
      <c r="F34" s="23" t="n">
        <f aca="false">Test1_Hand!$B$4+E34*D34</f>
        <v>21.301161658588</v>
      </c>
      <c r="G34" s="24" t="n">
        <f aca="false">Test1_Hand!$B$6*E34*D34+Test1_Hand!$B$7*MAX(0,F34-Test1_Hand!$B$5)</f>
        <v>48915.1015616443</v>
      </c>
      <c r="H34" s="2" t="n">
        <f aca="false">IF(B34&lt;Test1_Hand!$B$13,1,0)</f>
        <v>0</v>
      </c>
      <c r="I34" s="23" t="n">
        <f aca="false">Test1_Hand!$B$4+H34*D34</f>
        <v>16</v>
      </c>
      <c r="J34" s="24" t="n">
        <f aca="false">Test1_Hand!$B$6*H34*D34+Test1_Hand!$B$7*MAX(0,I34-Test1_Hand!$B$5)+Test1_Hand!$B$14</f>
        <v>6000</v>
      </c>
    </row>
    <row r="35" customFormat="false" ht="15" hidden="false" customHeight="false" outlineLevel="0" collapsed="false">
      <c r="A35" s="2" t="n">
        <v>23</v>
      </c>
      <c r="B35" s="22" t="n">
        <v>0.257074175276534</v>
      </c>
      <c r="C35" s="22" t="n">
        <v>0.33982833761032</v>
      </c>
      <c r="D35" s="23" t="n">
        <f aca="false">BETAINV(C35,Test1_Hand!$B$21,Test1_Hand!$B$22,Test1_Hand!$B$9,Test1_Hand!$B$11)</f>
        <v>2.82880173741522</v>
      </c>
      <c r="E35" s="2" t="n">
        <f aca="false">IF(B35&lt;Test1_Hand!$B$12,1,0)</f>
        <v>1</v>
      </c>
      <c r="F35" s="23" t="n">
        <f aca="false">Test1_Hand!$B$4+E35*D35</f>
        <v>18.8288017374152</v>
      </c>
      <c r="G35" s="24" t="n">
        <f aca="false">Test1_Hand!$B$6*E35*D35+Test1_Hand!$B$7*MAX(0,F35-Test1_Hand!$B$5)</f>
        <v>22630.4138993217</v>
      </c>
      <c r="H35" s="2" t="n">
        <f aca="false">IF(B35&lt;Test1_Hand!$B$13,1,0)</f>
        <v>0</v>
      </c>
      <c r="I35" s="23" t="n">
        <f aca="false">Test1_Hand!$B$4+H35*D35</f>
        <v>16</v>
      </c>
      <c r="J35" s="24" t="n">
        <f aca="false">Test1_Hand!$B$6*H35*D35+Test1_Hand!$B$7*MAX(0,I35-Test1_Hand!$B$5)+Test1_Hand!$B$14</f>
        <v>6000</v>
      </c>
    </row>
    <row r="36" customFormat="false" ht="15" hidden="false" customHeight="false" outlineLevel="0" collapsed="false">
      <c r="A36" s="2" t="n">
        <v>24</v>
      </c>
      <c r="B36" s="22" t="n">
        <v>0.258853398642927</v>
      </c>
      <c r="C36" s="22" t="n">
        <v>0.355446479944286</v>
      </c>
      <c r="D36" s="23" t="n">
        <f aca="false">BETAINV(C36,Test1_Hand!$B$21,Test1_Hand!$B$22,Test1_Hand!$B$9,Test1_Hand!$B$11)</f>
        <v>2.88265778586895</v>
      </c>
      <c r="E36" s="2" t="n">
        <f aca="false">IF(B36&lt;Test1_Hand!$B$12,1,0)</f>
        <v>1</v>
      </c>
      <c r="F36" s="23" t="n">
        <f aca="false">Test1_Hand!$B$4+E36*D36</f>
        <v>18.8826577858689</v>
      </c>
      <c r="G36" s="24" t="n">
        <f aca="false">Test1_Hand!$B$6*E36*D36+Test1_Hand!$B$7*MAX(0,F36-Test1_Hand!$B$5)</f>
        <v>23061.2622869516</v>
      </c>
      <c r="H36" s="2" t="n">
        <f aca="false">IF(B36&lt;Test1_Hand!$B$13,1,0)</f>
        <v>0</v>
      </c>
      <c r="I36" s="23" t="n">
        <f aca="false">Test1_Hand!$B$4+H36*D36</f>
        <v>16</v>
      </c>
      <c r="J36" s="24" t="n">
        <f aca="false">Test1_Hand!$B$6*H36*D36+Test1_Hand!$B$7*MAX(0,I36-Test1_Hand!$B$5)+Test1_Hand!$B$14</f>
        <v>6000</v>
      </c>
    </row>
    <row r="37" customFormat="false" ht="15" hidden="false" customHeight="false" outlineLevel="0" collapsed="false">
      <c r="A37" s="2" t="n">
        <v>25</v>
      </c>
      <c r="B37" s="22" t="n">
        <v>0.00502233371713179</v>
      </c>
      <c r="C37" s="22" t="n">
        <v>0.628604544099679</v>
      </c>
      <c r="D37" s="23" t="n">
        <f aca="false">BETAINV(C37,Test1_Hand!$B$21,Test1_Hand!$B$22,Test1_Hand!$B$9,Test1_Hand!$B$11)</f>
        <v>3.85716924369918</v>
      </c>
      <c r="E37" s="2" t="n">
        <f aca="false">IF(B37&lt;Test1_Hand!$B$12,1,0)</f>
        <v>1</v>
      </c>
      <c r="F37" s="23" t="n">
        <f aca="false">Test1_Hand!$B$4+E37*D37</f>
        <v>19.8571692436992</v>
      </c>
      <c r="G37" s="24" t="n">
        <f aca="false">Test1_Hand!$B$6*E37*D37+Test1_Hand!$B$7*MAX(0,F37-Test1_Hand!$B$5)</f>
        <v>30857.3539495935</v>
      </c>
      <c r="H37" s="2" t="n">
        <f aca="false">IF(B37&lt;Test1_Hand!$B$13,1,0)</f>
        <v>1</v>
      </c>
      <c r="I37" s="23" t="n">
        <f aca="false">Test1_Hand!$B$4+H37*D37</f>
        <v>19.8571692436992</v>
      </c>
      <c r="J37" s="24" t="n">
        <f aca="false">Test1_Hand!$B$6*H37*D37+Test1_Hand!$B$7*MAX(0,I37-Test1_Hand!$B$5)+Test1_Hand!$B$14</f>
        <v>36857.3539495935</v>
      </c>
    </row>
    <row r="38" customFormat="false" ht="15" hidden="false" customHeight="false" outlineLevel="0" collapsed="false">
      <c r="A38" s="2" t="n">
        <v>26</v>
      </c>
      <c r="B38" s="22" t="n">
        <v>0.282382707425118</v>
      </c>
      <c r="C38" s="22" t="n">
        <v>0.0680876894879458</v>
      </c>
      <c r="D38" s="23" t="n">
        <f aca="false">BETAINV(C38,Test1_Hand!$B$21,Test1_Hand!$B$22,Test1_Hand!$B$9,Test1_Hand!$B$11)</f>
        <v>1.73872813235795</v>
      </c>
      <c r="E38" s="2" t="n">
        <f aca="false">IF(B38&lt;Test1_Hand!$B$12,1,0)</f>
        <v>1</v>
      </c>
      <c r="F38" s="23" t="n">
        <f aca="false">Test1_Hand!$B$4+E38*D38</f>
        <v>17.738728132358</v>
      </c>
      <c r="G38" s="24" t="n">
        <f aca="false">Test1_Hand!$B$6*E38*D38+Test1_Hand!$B$7*MAX(0,F38-Test1_Hand!$B$5)</f>
        <v>13909.8250588636</v>
      </c>
      <c r="H38" s="2" t="n">
        <f aca="false">IF(B38&lt;Test1_Hand!$B$13,1,0)</f>
        <v>0</v>
      </c>
      <c r="I38" s="23" t="n">
        <f aca="false">Test1_Hand!$B$4+H38*D38</f>
        <v>16</v>
      </c>
      <c r="J38" s="24" t="n">
        <f aca="false">Test1_Hand!$B$6*H38*D38+Test1_Hand!$B$7*MAX(0,I38-Test1_Hand!$B$5)+Test1_Hand!$B$14</f>
        <v>6000</v>
      </c>
    </row>
    <row r="39" customFormat="false" ht="15" hidden="false" customHeight="false" outlineLevel="0" collapsed="false">
      <c r="A39" s="2" t="n">
        <v>27</v>
      </c>
      <c r="B39" s="22" t="n">
        <v>0.616828977256381</v>
      </c>
      <c r="C39" s="22" t="n">
        <v>0.176326320281203</v>
      </c>
      <c r="D39" s="23" t="n">
        <f aca="false">BETAINV(C39,Test1_Hand!$B$21,Test1_Hand!$B$22,Test1_Hand!$B$9,Test1_Hand!$B$11)</f>
        <v>2.23454691002707</v>
      </c>
      <c r="E39" s="2" t="n">
        <f aca="false">IF(B39&lt;Test1_Hand!$B$12,1,0)</f>
        <v>0</v>
      </c>
      <c r="F39" s="23" t="n">
        <f aca="false">Test1_Hand!$B$4+E39*D39</f>
        <v>16</v>
      </c>
      <c r="G39" s="24" t="n">
        <f aca="false">Test1_Hand!$B$6*E39*D39+Test1_Hand!$B$7*MAX(0,F39-Test1_Hand!$B$5)</f>
        <v>0</v>
      </c>
      <c r="H39" s="2" t="n">
        <f aca="false">IF(B39&lt;Test1_Hand!$B$13,1,0)</f>
        <v>0</v>
      </c>
      <c r="I39" s="23" t="n">
        <f aca="false">Test1_Hand!$B$4+H39*D39</f>
        <v>16</v>
      </c>
      <c r="J39" s="24" t="n">
        <f aca="false">Test1_Hand!$B$6*H39*D39+Test1_Hand!$B$7*MAX(0,I39-Test1_Hand!$B$5)+Test1_Hand!$B$14</f>
        <v>6000</v>
      </c>
    </row>
    <row r="40" customFormat="false" ht="15" hidden="false" customHeight="false" outlineLevel="0" collapsed="false">
      <c r="A40" s="2" t="n">
        <v>28</v>
      </c>
      <c r="B40" s="22" t="n">
        <v>0.30438838721959</v>
      </c>
      <c r="C40" s="22" t="n">
        <v>0.440886810876118</v>
      </c>
      <c r="D40" s="23" t="n">
        <f aca="false">BETAINV(C40,Test1_Hand!$B$21,Test1_Hand!$B$22,Test1_Hand!$B$9,Test1_Hand!$B$11)</f>
        <v>3.17647081848269</v>
      </c>
      <c r="E40" s="2" t="n">
        <f aca="false">IF(B40&lt;Test1_Hand!$B$12,1,0)</f>
        <v>1</v>
      </c>
      <c r="F40" s="23" t="n">
        <f aca="false">Test1_Hand!$B$4+E40*D40</f>
        <v>19.1764708184827</v>
      </c>
      <c r="G40" s="24" t="n">
        <f aca="false">Test1_Hand!$B$6*E40*D40+Test1_Hand!$B$7*MAX(0,F40-Test1_Hand!$B$5)</f>
        <v>25411.7665478615</v>
      </c>
      <c r="H40" s="2" t="n">
        <f aca="false">IF(B40&lt;Test1_Hand!$B$13,1,0)</f>
        <v>0</v>
      </c>
      <c r="I40" s="23" t="n">
        <f aca="false">Test1_Hand!$B$4+H40*D40</f>
        <v>16</v>
      </c>
      <c r="J40" s="24" t="n">
        <f aca="false">Test1_Hand!$B$6*H40*D40+Test1_Hand!$B$7*MAX(0,I40-Test1_Hand!$B$5)+Test1_Hand!$B$14</f>
        <v>6000</v>
      </c>
    </row>
    <row r="41" customFormat="false" ht="15" hidden="false" customHeight="false" outlineLevel="0" collapsed="false">
      <c r="A41" s="2" t="n">
        <v>29</v>
      </c>
      <c r="B41" s="22" t="n">
        <v>0.150202341062701</v>
      </c>
      <c r="C41" s="22" t="n">
        <v>0.217928863085435</v>
      </c>
      <c r="D41" s="23" t="n">
        <f aca="false">BETAINV(C41,Test1_Hand!$B$21,Test1_Hand!$B$22,Test1_Hand!$B$9,Test1_Hand!$B$11)</f>
        <v>2.39450355773641</v>
      </c>
      <c r="E41" s="2" t="n">
        <f aca="false">IF(B41&lt;Test1_Hand!$B$12,1,0)</f>
        <v>1</v>
      </c>
      <c r="F41" s="23" t="n">
        <f aca="false">Test1_Hand!$B$4+E41*D41</f>
        <v>18.3945035577364</v>
      </c>
      <c r="G41" s="24" t="n">
        <f aca="false">Test1_Hand!$B$6*E41*D41+Test1_Hand!$B$7*MAX(0,F41-Test1_Hand!$B$5)</f>
        <v>19156.0284618913</v>
      </c>
      <c r="H41" s="2" t="n">
        <f aca="false">IF(B41&lt;Test1_Hand!$B$13,1,0)</f>
        <v>1</v>
      </c>
      <c r="I41" s="23" t="n">
        <f aca="false">Test1_Hand!$B$4+H41*D41</f>
        <v>18.3945035577364</v>
      </c>
      <c r="J41" s="24" t="n">
        <f aca="false">Test1_Hand!$B$6*H41*D41+Test1_Hand!$B$7*MAX(0,I41-Test1_Hand!$B$5)+Test1_Hand!$B$14</f>
        <v>25156.0284618913</v>
      </c>
    </row>
    <row r="42" customFormat="false" ht="15" hidden="false" customHeight="false" outlineLevel="0" collapsed="false">
      <c r="A42" s="2" t="n">
        <v>30</v>
      </c>
      <c r="B42" s="22" t="n">
        <v>0.474333115333545</v>
      </c>
      <c r="C42" s="22" t="n">
        <v>0.476368855081192</v>
      </c>
      <c r="D42" s="23" t="n">
        <f aca="false">BETAINV(C42,Test1_Hand!$B$21,Test1_Hand!$B$22,Test1_Hand!$B$9,Test1_Hand!$B$11)</f>
        <v>3.29964924354669</v>
      </c>
      <c r="E42" s="2" t="n">
        <f aca="false">IF(B42&lt;Test1_Hand!$B$12,1,0)</f>
        <v>1</v>
      </c>
      <c r="F42" s="23" t="n">
        <f aca="false">Test1_Hand!$B$4+E42*D42</f>
        <v>19.2996492435467</v>
      </c>
      <c r="G42" s="24" t="n">
        <f aca="false">Test1_Hand!$B$6*E42*D42+Test1_Hand!$B$7*MAX(0,F42-Test1_Hand!$B$5)</f>
        <v>26397.1939483735</v>
      </c>
      <c r="H42" s="2" t="n">
        <f aca="false">IF(B42&lt;Test1_Hand!$B$13,1,0)</f>
        <v>0</v>
      </c>
      <c r="I42" s="23" t="n">
        <f aca="false">Test1_Hand!$B$4+H42*D42</f>
        <v>16</v>
      </c>
      <c r="J42" s="24" t="n">
        <f aca="false">Test1_Hand!$B$6*H42*D42+Test1_Hand!$B$7*MAX(0,I42-Test1_Hand!$B$5)+Test1_Hand!$B$14</f>
        <v>6000</v>
      </c>
    </row>
    <row r="43" customFormat="false" ht="15" hidden="false" customHeight="false" outlineLevel="0" collapsed="false">
      <c r="A43" s="2" t="n">
        <v>31</v>
      </c>
      <c r="B43" s="22" t="n">
        <v>0.2552323538195</v>
      </c>
      <c r="C43" s="22" t="n">
        <v>0.297565268148048</v>
      </c>
      <c r="D43" s="23" t="n">
        <f aca="false">BETAINV(C43,Test1_Hand!$B$21,Test1_Hand!$B$22,Test1_Hand!$B$9,Test1_Hand!$B$11)</f>
        <v>2.68179104266504</v>
      </c>
      <c r="E43" s="2" t="n">
        <f aca="false">IF(B43&lt;Test1_Hand!$B$12,1,0)</f>
        <v>1</v>
      </c>
      <c r="F43" s="23" t="n">
        <f aca="false">Test1_Hand!$B$4+E43*D43</f>
        <v>18.681791042665</v>
      </c>
      <c r="G43" s="24" t="n">
        <f aca="false">Test1_Hand!$B$6*E43*D43+Test1_Hand!$B$7*MAX(0,F43-Test1_Hand!$B$5)</f>
        <v>21454.3283413203</v>
      </c>
      <c r="H43" s="2" t="n">
        <f aca="false">IF(B43&lt;Test1_Hand!$B$13,1,0)</f>
        <v>0</v>
      </c>
      <c r="I43" s="23" t="n">
        <f aca="false">Test1_Hand!$B$4+H43*D43</f>
        <v>16</v>
      </c>
      <c r="J43" s="24" t="n">
        <f aca="false">Test1_Hand!$B$6*H43*D43+Test1_Hand!$B$7*MAX(0,I43-Test1_Hand!$B$5)+Test1_Hand!$B$14</f>
        <v>6000</v>
      </c>
    </row>
    <row r="44" customFormat="false" ht="15" hidden="false" customHeight="false" outlineLevel="0" collapsed="false">
      <c r="A44" s="2" t="n">
        <v>32</v>
      </c>
      <c r="B44" s="22" t="n">
        <v>0.279067119813767</v>
      </c>
      <c r="C44" s="22" t="n">
        <v>0.260579212491298</v>
      </c>
      <c r="D44" s="23" t="n">
        <f aca="false">BETAINV(C44,Test1_Hand!$B$21,Test1_Hand!$B$22,Test1_Hand!$B$9,Test1_Hand!$B$11)</f>
        <v>2.55060131179781</v>
      </c>
      <c r="E44" s="2" t="n">
        <f aca="false">IF(B44&lt;Test1_Hand!$B$12,1,0)</f>
        <v>1</v>
      </c>
      <c r="F44" s="23" t="n">
        <f aca="false">Test1_Hand!$B$4+E44*D44</f>
        <v>18.5506013117978</v>
      </c>
      <c r="G44" s="24" t="n">
        <f aca="false">Test1_Hand!$B$6*E44*D44+Test1_Hand!$B$7*MAX(0,F44-Test1_Hand!$B$5)</f>
        <v>20404.8104943825</v>
      </c>
      <c r="H44" s="2" t="n">
        <f aca="false">IF(B44&lt;Test1_Hand!$B$13,1,0)</f>
        <v>0</v>
      </c>
      <c r="I44" s="23" t="n">
        <f aca="false">Test1_Hand!$B$4+H44*D44</f>
        <v>16</v>
      </c>
      <c r="J44" s="24" t="n">
        <f aca="false">Test1_Hand!$B$6*H44*D44+Test1_Hand!$B$7*MAX(0,I44-Test1_Hand!$B$5)+Test1_Hand!$B$14</f>
        <v>6000</v>
      </c>
    </row>
    <row r="45" customFormat="false" ht="15" hidden="false" customHeight="false" outlineLevel="0" collapsed="false">
      <c r="A45" s="2" t="n">
        <v>33</v>
      </c>
      <c r="B45" s="22" t="n">
        <v>0.482761592799316</v>
      </c>
      <c r="C45" s="22" t="n">
        <v>0.211979036351511</v>
      </c>
      <c r="D45" s="23" t="n">
        <f aca="false">BETAINV(C45,Test1_Hand!$B$21,Test1_Hand!$B$22,Test1_Hand!$B$9,Test1_Hand!$B$11)</f>
        <v>2.37217339318489</v>
      </c>
      <c r="E45" s="2" t="n">
        <f aca="false">IF(B45&lt;Test1_Hand!$B$12,1,0)</f>
        <v>1</v>
      </c>
      <c r="F45" s="23" t="n">
        <f aca="false">Test1_Hand!$B$4+E45*D45</f>
        <v>18.3721733931849</v>
      </c>
      <c r="G45" s="24" t="n">
        <f aca="false">Test1_Hand!$B$6*E45*D45+Test1_Hand!$B$7*MAX(0,F45-Test1_Hand!$B$5)</f>
        <v>18977.3871454791</v>
      </c>
      <c r="H45" s="2" t="n">
        <f aca="false">IF(B45&lt;Test1_Hand!$B$13,1,0)</f>
        <v>0</v>
      </c>
      <c r="I45" s="23" t="n">
        <f aca="false">Test1_Hand!$B$4+H45*D45</f>
        <v>16</v>
      </c>
      <c r="J45" s="24" t="n">
        <f aca="false">Test1_Hand!$B$6*H45*D45+Test1_Hand!$B$7*MAX(0,I45-Test1_Hand!$B$5)+Test1_Hand!$B$14</f>
        <v>6000</v>
      </c>
    </row>
    <row r="46" customFormat="false" ht="15" hidden="false" customHeight="false" outlineLevel="0" collapsed="false">
      <c r="A46" s="2" t="n">
        <v>34</v>
      </c>
      <c r="B46" s="22" t="n">
        <v>0.495630596673041</v>
      </c>
      <c r="C46" s="22" t="n">
        <v>0.246261325830738</v>
      </c>
      <c r="D46" s="23" t="n">
        <f aca="false">BETAINV(C46,Test1_Hand!$B$21,Test1_Hand!$B$22,Test1_Hand!$B$9,Test1_Hand!$B$11)</f>
        <v>2.49888591933003</v>
      </c>
      <c r="E46" s="2" t="n">
        <f aca="false">IF(B46&lt;Test1_Hand!$B$12,1,0)</f>
        <v>1</v>
      </c>
      <c r="F46" s="23" t="n">
        <f aca="false">Test1_Hand!$B$4+E46*D46</f>
        <v>18.49888591933</v>
      </c>
      <c r="G46" s="24" t="n">
        <f aca="false">Test1_Hand!$B$6*E46*D46+Test1_Hand!$B$7*MAX(0,F46-Test1_Hand!$B$5)</f>
        <v>19991.0873546402</v>
      </c>
      <c r="H46" s="2" t="n">
        <f aca="false">IF(B46&lt;Test1_Hand!$B$13,1,0)</f>
        <v>0</v>
      </c>
      <c r="I46" s="23" t="n">
        <f aca="false">Test1_Hand!$B$4+H46*D46</f>
        <v>16</v>
      </c>
      <c r="J46" s="24" t="n">
        <f aca="false">Test1_Hand!$B$6*H46*D46+Test1_Hand!$B$7*MAX(0,I46-Test1_Hand!$B$5)+Test1_Hand!$B$14</f>
        <v>6000</v>
      </c>
    </row>
    <row r="47" customFormat="false" ht="15" hidden="false" customHeight="false" outlineLevel="0" collapsed="false">
      <c r="A47" s="2" t="n">
        <v>35</v>
      </c>
      <c r="B47" s="22" t="n">
        <v>0.838482652466945</v>
      </c>
      <c r="C47" s="22" t="n">
        <v>0.180130590095035</v>
      </c>
      <c r="D47" s="23" t="n">
        <f aca="false">BETAINV(C47,Test1_Hand!$B$21,Test1_Hand!$B$22,Test1_Hand!$B$9,Test1_Hand!$B$11)</f>
        <v>2.24958868316203</v>
      </c>
      <c r="E47" s="2" t="n">
        <f aca="false">IF(B47&lt;Test1_Hand!$B$12,1,0)</f>
        <v>0</v>
      </c>
      <c r="F47" s="23" t="n">
        <f aca="false">Test1_Hand!$B$4+E47*D47</f>
        <v>16</v>
      </c>
      <c r="G47" s="24" t="n">
        <f aca="false">Test1_Hand!$B$6*E47*D47+Test1_Hand!$B$7*MAX(0,F47-Test1_Hand!$B$5)</f>
        <v>0</v>
      </c>
      <c r="H47" s="2" t="n">
        <f aca="false">IF(B47&lt;Test1_Hand!$B$13,1,0)</f>
        <v>0</v>
      </c>
      <c r="I47" s="23" t="n">
        <f aca="false">Test1_Hand!$B$4+H47*D47</f>
        <v>16</v>
      </c>
      <c r="J47" s="24" t="n">
        <f aca="false">Test1_Hand!$B$6*H47*D47+Test1_Hand!$B$7*MAX(0,I47-Test1_Hand!$B$5)+Test1_Hand!$B$14</f>
        <v>6000</v>
      </c>
    </row>
    <row r="48" customFormat="false" ht="15" hidden="false" customHeight="false" outlineLevel="0" collapsed="false">
      <c r="A48" s="2" t="n">
        <v>36</v>
      </c>
      <c r="B48" s="22" t="n">
        <v>0.862156291509236</v>
      </c>
      <c r="C48" s="22" t="n">
        <v>0.178299444845187</v>
      </c>
      <c r="D48" s="23" t="n">
        <f aca="false">BETAINV(C48,Test1_Hand!$B$21,Test1_Hand!$B$22,Test1_Hand!$B$9,Test1_Hand!$B$11)</f>
        <v>2.24236045318052</v>
      </c>
      <c r="E48" s="2" t="n">
        <f aca="false">IF(B48&lt;Test1_Hand!$B$12,1,0)</f>
        <v>0</v>
      </c>
      <c r="F48" s="23" t="n">
        <f aca="false">Test1_Hand!$B$4+E48*D48</f>
        <v>16</v>
      </c>
      <c r="G48" s="24" t="n">
        <f aca="false">Test1_Hand!$B$6*E48*D48+Test1_Hand!$B$7*MAX(0,F48-Test1_Hand!$B$5)</f>
        <v>0</v>
      </c>
      <c r="H48" s="2" t="n">
        <f aca="false">IF(B48&lt;Test1_Hand!$B$13,1,0)</f>
        <v>0</v>
      </c>
      <c r="I48" s="23" t="n">
        <f aca="false">Test1_Hand!$B$4+H48*D48</f>
        <v>16</v>
      </c>
      <c r="J48" s="24" t="n">
        <f aca="false">Test1_Hand!$B$6*H48*D48+Test1_Hand!$B$7*MAX(0,I48-Test1_Hand!$B$5)+Test1_Hand!$B$14</f>
        <v>6000</v>
      </c>
    </row>
    <row r="49" customFormat="false" ht="15" hidden="false" customHeight="false" outlineLevel="0" collapsed="false">
      <c r="A49" s="2" t="n">
        <v>37</v>
      </c>
      <c r="B49" s="22" t="n">
        <v>0.750531331937244</v>
      </c>
      <c r="C49" s="22" t="n">
        <v>0.611120403830565</v>
      </c>
      <c r="D49" s="23" t="n">
        <f aca="false">BETAINV(C49,Test1_Hand!$B$21,Test1_Hand!$B$22,Test1_Hand!$B$9,Test1_Hand!$B$11)</f>
        <v>3.78948059020621</v>
      </c>
      <c r="E49" s="2" t="n">
        <f aca="false">IF(B49&lt;Test1_Hand!$B$12,1,0)</f>
        <v>0</v>
      </c>
      <c r="F49" s="23" t="n">
        <f aca="false">Test1_Hand!$B$4+E49*D49</f>
        <v>16</v>
      </c>
      <c r="G49" s="24" t="n">
        <f aca="false">Test1_Hand!$B$6*E49*D49+Test1_Hand!$B$7*MAX(0,F49-Test1_Hand!$B$5)</f>
        <v>0</v>
      </c>
      <c r="H49" s="2" t="n">
        <f aca="false">IF(B49&lt;Test1_Hand!$B$13,1,0)</f>
        <v>0</v>
      </c>
      <c r="I49" s="23" t="n">
        <f aca="false">Test1_Hand!$B$4+H49*D49</f>
        <v>16</v>
      </c>
      <c r="J49" s="24" t="n">
        <f aca="false">Test1_Hand!$B$6*H49*D49+Test1_Hand!$B$7*MAX(0,I49-Test1_Hand!$B$5)+Test1_Hand!$B$14</f>
        <v>6000</v>
      </c>
    </row>
    <row r="50" customFormat="false" ht="15" hidden="false" customHeight="false" outlineLevel="0" collapsed="false">
      <c r="A50" s="2" t="n">
        <v>38</v>
      </c>
      <c r="B50" s="22" t="n">
        <v>0.209155034928607</v>
      </c>
      <c r="C50" s="22" t="n">
        <v>0.759872421123995</v>
      </c>
      <c r="D50" s="23" t="n">
        <f aca="false">BETAINV(C50,Test1_Hand!$B$21,Test1_Hand!$B$22,Test1_Hand!$B$9,Test1_Hand!$B$11)</f>
        <v>4.42208905070088</v>
      </c>
      <c r="E50" s="2" t="n">
        <f aca="false">IF(B50&lt;Test1_Hand!$B$12,1,0)</f>
        <v>1</v>
      </c>
      <c r="F50" s="23" t="n">
        <f aca="false">Test1_Hand!$B$4+E50*D50</f>
        <v>20.4220890507009</v>
      </c>
      <c r="G50" s="24" t="n">
        <f aca="false">Test1_Hand!$B$6*E50*D50+Test1_Hand!$B$7*MAX(0,F50-Test1_Hand!$B$5)</f>
        <v>37487.1576591114</v>
      </c>
      <c r="H50" s="2" t="n">
        <f aca="false">IF(B50&lt;Test1_Hand!$B$13,1,0)</f>
        <v>0</v>
      </c>
      <c r="I50" s="23" t="n">
        <f aca="false">Test1_Hand!$B$4+H50*D50</f>
        <v>16</v>
      </c>
      <c r="J50" s="24" t="n">
        <f aca="false">Test1_Hand!$B$6*H50*D50+Test1_Hand!$B$7*MAX(0,I50-Test1_Hand!$B$5)+Test1_Hand!$B$14</f>
        <v>6000</v>
      </c>
    </row>
    <row r="51" customFormat="false" ht="15" hidden="false" customHeight="false" outlineLevel="0" collapsed="false">
      <c r="A51" s="2" t="n">
        <v>39</v>
      </c>
      <c r="B51" s="22" t="n">
        <v>0.249260569534913</v>
      </c>
      <c r="C51" s="22" t="n">
        <v>0.085571731986558</v>
      </c>
      <c r="D51" s="23" t="n">
        <f aca="false">BETAINV(C51,Test1_Hand!$B$21,Test1_Hand!$B$22,Test1_Hand!$B$9,Test1_Hand!$B$11)</f>
        <v>1.83259021205318</v>
      </c>
      <c r="E51" s="2" t="n">
        <f aca="false">IF(B51&lt;Test1_Hand!$B$12,1,0)</f>
        <v>1</v>
      </c>
      <c r="F51" s="23" t="n">
        <f aca="false">Test1_Hand!$B$4+E51*D51</f>
        <v>17.8325902120532</v>
      </c>
      <c r="G51" s="24" t="n">
        <f aca="false">Test1_Hand!$B$6*E51*D51+Test1_Hand!$B$7*MAX(0,F51-Test1_Hand!$B$5)</f>
        <v>14660.7216964254</v>
      </c>
      <c r="H51" s="2" t="n">
        <f aca="false">IF(B51&lt;Test1_Hand!$B$13,1,0)</f>
        <v>0</v>
      </c>
      <c r="I51" s="23" t="n">
        <f aca="false">Test1_Hand!$B$4+H51*D51</f>
        <v>16</v>
      </c>
      <c r="J51" s="24" t="n">
        <f aca="false">Test1_Hand!$B$6*H51*D51+Test1_Hand!$B$7*MAX(0,I51-Test1_Hand!$B$5)+Test1_Hand!$B$14</f>
        <v>6000</v>
      </c>
    </row>
    <row r="52" customFormat="false" ht="15" hidden="false" customHeight="false" outlineLevel="0" collapsed="false">
      <c r="A52" s="2" t="n">
        <v>40</v>
      </c>
      <c r="B52" s="22" t="n">
        <v>0.618056722318091</v>
      </c>
      <c r="C52" s="22" t="n">
        <v>0.536968331032336</v>
      </c>
      <c r="D52" s="23" t="n">
        <f aca="false">BETAINV(C52,Test1_Hand!$B$21,Test1_Hand!$B$22,Test1_Hand!$B$9,Test1_Hand!$B$11)</f>
        <v>3.514363989564</v>
      </c>
      <c r="E52" s="2" t="n">
        <f aca="false">IF(B52&lt;Test1_Hand!$B$12,1,0)</f>
        <v>0</v>
      </c>
      <c r="F52" s="23" t="n">
        <f aca="false">Test1_Hand!$B$4+E52*D52</f>
        <v>16</v>
      </c>
      <c r="G52" s="24" t="n">
        <f aca="false">Test1_Hand!$B$6*E52*D52+Test1_Hand!$B$7*MAX(0,F52-Test1_Hand!$B$5)</f>
        <v>0</v>
      </c>
      <c r="H52" s="2" t="n">
        <f aca="false">IF(B52&lt;Test1_Hand!$B$13,1,0)</f>
        <v>0</v>
      </c>
      <c r="I52" s="23" t="n">
        <f aca="false">Test1_Hand!$B$4+H52*D52</f>
        <v>16</v>
      </c>
      <c r="J52" s="24" t="n">
        <f aca="false">Test1_Hand!$B$6*H52*D52+Test1_Hand!$B$7*MAX(0,I52-Test1_Hand!$B$5)+Test1_Hand!$B$14</f>
        <v>6000</v>
      </c>
    </row>
    <row r="53" customFormat="false" ht="15" hidden="false" customHeight="false" outlineLevel="0" collapsed="false">
      <c r="A53" s="2" t="n">
        <v>41</v>
      </c>
      <c r="B53" s="22" t="n">
        <v>0.634526711215276</v>
      </c>
      <c r="C53" s="22" t="n">
        <v>0.174374108691388</v>
      </c>
      <c r="D53" s="23" t="n">
        <f aca="false">BETAINV(C53,Test1_Hand!$B$21,Test1_Hand!$B$22,Test1_Hand!$B$9,Test1_Hand!$B$11)</f>
        <v>2.22679024977138</v>
      </c>
      <c r="E53" s="2" t="n">
        <f aca="false">IF(B53&lt;Test1_Hand!$B$12,1,0)</f>
        <v>0</v>
      </c>
      <c r="F53" s="23" t="n">
        <f aca="false">Test1_Hand!$B$4+E53*D53</f>
        <v>16</v>
      </c>
      <c r="G53" s="24" t="n">
        <f aca="false">Test1_Hand!$B$6*E53*D53+Test1_Hand!$B$7*MAX(0,F53-Test1_Hand!$B$5)</f>
        <v>0</v>
      </c>
      <c r="H53" s="2" t="n">
        <f aca="false">IF(B53&lt;Test1_Hand!$B$13,1,0)</f>
        <v>0</v>
      </c>
      <c r="I53" s="23" t="n">
        <f aca="false">Test1_Hand!$B$4+H53*D53</f>
        <v>16</v>
      </c>
      <c r="J53" s="24" t="n">
        <f aca="false">Test1_Hand!$B$6*H53*D53+Test1_Hand!$B$7*MAX(0,I53-Test1_Hand!$B$5)+Test1_Hand!$B$14</f>
        <v>6000</v>
      </c>
    </row>
    <row r="54" customFormat="false" ht="15" hidden="false" customHeight="false" outlineLevel="0" collapsed="false">
      <c r="A54" s="2" t="n">
        <v>42</v>
      </c>
      <c r="B54" s="22" t="n">
        <v>0.248164489856453</v>
      </c>
      <c r="C54" s="22" t="n">
        <v>0.684822984639399</v>
      </c>
      <c r="D54" s="23" t="n">
        <f aca="false">BETAINV(C54,Test1_Hand!$B$21,Test1_Hand!$B$22,Test1_Hand!$B$9,Test1_Hand!$B$11)</f>
        <v>4.08482619858726</v>
      </c>
      <c r="E54" s="2" t="n">
        <f aca="false">IF(B54&lt;Test1_Hand!$B$12,1,0)</f>
        <v>1</v>
      </c>
      <c r="F54" s="23" t="n">
        <f aca="false">Test1_Hand!$B$4+E54*D54</f>
        <v>20.0848261985873</v>
      </c>
      <c r="G54" s="24" t="n">
        <f aca="false">Test1_Hand!$B$6*E54*D54+Test1_Hand!$B$7*MAX(0,F54-Test1_Hand!$B$5)</f>
        <v>33102.7405816344</v>
      </c>
      <c r="H54" s="2" t="n">
        <f aca="false">IF(B54&lt;Test1_Hand!$B$13,1,0)</f>
        <v>0</v>
      </c>
      <c r="I54" s="23" t="n">
        <f aca="false">Test1_Hand!$B$4+H54*D54</f>
        <v>16</v>
      </c>
      <c r="J54" s="24" t="n">
        <f aca="false">Test1_Hand!$B$6*H54*D54+Test1_Hand!$B$7*MAX(0,I54-Test1_Hand!$B$5)+Test1_Hand!$B$14</f>
        <v>6000</v>
      </c>
    </row>
    <row r="55" customFormat="false" ht="15" hidden="false" customHeight="false" outlineLevel="0" collapsed="false">
      <c r="A55" s="2" t="n">
        <v>43</v>
      </c>
      <c r="B55" s="22" t="n">
        <v>0.0808716462509075</v>
      </c>
      <c r="C55" s="22" t="n">
        <v>0.875073600756126</v>
      </c>
      <c r="D55" s="23" t="n">
        <f aca="false">BETAINV(C55,Test1_Hand!$B$21,Test1_Hand!$B$22,Test1_Hand!$B$9,Test1_Hand!$B$11)</f>
        <v>5.08369867772975</v>
      </c>
      <c r="E55" s="2" t="n">
        <f aca="false">IF(B55&lt;Test1_Hand!$B$12,1,0)</f>
        <v>1</v>
      </c>
      <c r="F55" s="23" t="n">
        <f aca="false">Test1_Hand!$B$4+E55*D55</f>
        <v>21.0836986777297</v>
      </c>
      <c r="G55" s="24" t="n">
        <f aca="false">Test1_Hand!$B$6*E55*D55+Test1_Hand!$B$7*MAX(0,F55-Test1_Hand!$B$5)</f>
        <v>46088.0828104867</v>
      </c>
      <c r="H55" s="2" t="n">
        <f aca="false">IF(B55&lt;Test1_Hand!$B$13,1,0)</f>
        <v>1</v>
      </c>
      <c r="I55" s="23" t="n">
        <f aca="false">Test1_Hand!$B$4+H55*D55</f>
        <v>21.0836986777297</v>
      </c>
      <c r="J55" s="24" t="n">
        <f aca="false">Test1_Hand!$B$6*H55*D55+Test1_Hand!$B$7*MAX(0,I55-Test1_Hand!$B$5)+Test1_Hand!$B$14</f>
        <v>52088.0828104867</v>
      </c>
    </row>
    <row r="56" customFormat="false" ht="15" hidden="false" customHeight="false" outlineLevel="0" collapsed="false">
      <c r="A56" s="2" t="n">
        <v>44</v>
      </c>
      <c r="B56" s="22" t="n">
        <v>0.428694381539992</v>
      </c>
      <c r="C56" s="22" t="n">
        <v>0.618394195397378</v>
      </c>
      <c r="D56" s="23" t="n">
        <f aca="false">BETAINV(C56,Test1_Hand!$B$21,Test1_Hand!$B$22,Test1_Hand!$B$9,Test1_Hand!$B$11)</f>
        <v>3.81748564442919</v>
      </c>
      <c r="E56" s="2" t="n">
        <f aca="false">IF(B56&lt;Test1_Hand!$B$12,1,0)</f>
        <v>1</v>
      </c>
      <c r="F56" s="23" t="n">
        <f aca="false">Test1_Hand!$B$4+E56*D56</f>
        <v>19.8174856444292</v>
      </c>
      <c r="G56" s="24" t="n">
        <f aca="false">Test1_Hand!$B$6*E56*D56+Test1_Hand!$B$7*MAX(0,F56-Test1_Hand!$B$5)</f>
        <v>30539.8851554335</v>
      </c>
      <c r="H56" s="2" t="n">
        <f aca="false">IF(B56&lt;Test1_Hand!$B$13,1,0)</f>
        <v>0</v>
      </c>
      <c r="I56" s="23" t="n">
        <f aca="false">Test1_Hand!$B$4+H56*D56</f>
        <v>16</v>
      </c>
      <c r="J56" s="24" t="n">
        <f aca="false">Test1_Hand!$B$6*H56*D56+Test1_Hand!$B$7*MAX(0,I56-Test1_Hand!$B$5)+Test1_Hand!$B$14</f>
        <v>6000</v>
      </c>
    </row>
    <row r="57" customFormat="false" ht="15" hidden="false" customHeight="false" outlineLevel="0" collapsed="false">
      <c r="A57" s="2" t="n">
        <v>45</v>
      </c>
      <c r="B57" s="22" t="n">
        <v>0.31310550418512</v>
      </c>
      <c r="C57" s="22" t="n">
        <v>0.178962855292868</v>
      </c>
      <c r="D57" s="23" t="n">
        <f aca="false">BETAINV(C57,Test1_Hand!$B$21,Test1_Hand!$B$22,Test1_Hand!$B$9,Test1_Hand!$B$11)</f>
        <v>2.24498172916472</v>
      </c>
      <c r="E57" s="2" t="n">
        <f aca="false">IF(B57&lt;Test1_Hand!$B$12,1,0)</f>
        <v>1</v>
      </c>
      <c r="F57" s="23" t="n">
        <f aca="false">Test1_Hand!$B$4+E57*D57</f>
        <v>18.2449817291647</v>
      </c>
      <c r="G57" s="24" t="n">
        <f aca="false">Test1_Hand!$B$6*E57*D57+Test1_Hand!$B$7*MAX(0,F57-Test1_Hand!$B$5)</f>
        <v>17959.8538333178</v>
      </c>
      <c r="H57" s="2" t="n">
        <f aca="false">IF(B57&lt;Test1_Hand!$B$13,1,0)</f>
        <v>0</v>
      </c>
      <c r="I57" s="23" t="n">
        <f aca="false">Test1_Hand!$B$4+H57*D57</f>
        <v>16</v>
      </c>
      <c r="J57" s="24" t="n">
        <f aca="false">Test1_Hand!$B$6*H57*D57+Test1_Hand!$B$7*MAX(0,I57-Test1_Hand!$B$5)+Test1_Hand!$B$14</f>
        <v>6000</v>
      </c>
    </row>
    <row r="58" customFormat="false" ht="15" hidden="false" customHeight="false" outlineLevel="0" collapsed="false">
      <c r="A58" s="2" t="n">
        <v>46</v>
      </c>
      <c r="B58" s="22" t="n">
        <v>0.00971212779545261</v>
      </c>
      <c r="C58" s="22" t="n">
        <v>0.210042958448453</v>
      </c>
      <c r="D58" s="23" t="n">
        <f aca="false">BETAINV(C58,Test1_Hand!$B$21,Test1_Hand!$B$22,Test1_Hand!$B$9,Test1_Hand!$B$11)</f>
        <v>2.36487240945578</v>
      </c>
      <c r="E58" s="2" t="n">
        <f aca="false">IF(B58&lt;Test1_Hand!$B$12,1,0)</f>
        <v>1</v>
      </c>
      <c r="F58" s="23" t="n">
        <f aca="false">Test1_Hand!$B$4+E58*D58</f>
        <v>18.3648724094558</v>
      </c>
      <c r="G58" s="24" t="n">
        <f aca="false">Test1_Hand!$B$6*E58*D58+Test1_Hand!$B$7*MAX(0,F58-Test1_Hand!$B$5)</f>
        <v>18918.9792756463</v>
      </c>
      <c r="H58" s="2" t="n">
        <f aca="false">IF(B58&lt;Test1_Hand!$B$13,1,0)</f>
        <v>1</v>
      </c>
      <c r="I58" s="23" t="n">
        <f aca="false">Test1_Hand!$B$4+H58*D58</f>
        <v>18.3648724094558</v>
      </c>
      <c r="J58" s="24" t="n">
        <f aca="false">Test1_Hand!$B$6*H58*D58+Test1_Hand!$B$7*MAX(0,I58-Test1_Hand!$B$5)+Test1_Hand!$B$14</f>
        <v>24918.9792756463</v>
      </c>
    </row>
    <row r="59" customFormat="false" ht="15" hidden="false" customHeight="false" outlineLevel="0" collapsed="false">
      <c r="A59" s="2" t="n">
        <v>47</v>
      </c>
      <c r="B59" s="22" t="n">
        <v>0.870000678771652</v>
      </c>
      <c r="C59" s="22" t="n">
        <v>0.972829802397559</v>
      </c>
      <c r="D59" s="23" t="n">
        <f aca="false">BETAINV(C59,Test1_Hand!$B$21,Test1_Hand!$B$22,Test1_Hand!$B$9,Test1_Hand!$B$11)</f>
        <v>6.12873348322273</v>
      </c>
      <c r="E59" s="2" t="n">
        <f aca="false">IF(B59&lt;Test1_Hand!$B$12,1,0)</f>
        <v>0</v>
      </c>
      <c r="F59" s="23" t="n">
        <f aca="false">Test1_Hand!$B$4+E59*D59</f>
        <v>16</v>
      </c>
      <c r="G59" s="24" t="n">
        <f aca="false">Test1_Hand!$B$6*E59*D59+Test1_Hand!$B$7*MAX(0,F59-Test1_Hand!$B$5)</f>
        <v>0</v>
      </c>
      <c r="H59" s="2" t="n">
        <f aca="false">IF(B59&lt;Test1_Hand!$B$13,1,0)</f>
        <v>0</v>
      </c>
      <c r="I59" s="23" t="n">
        <f aca="false">Test1_Hand!$B$4+H59*D59</f>
        <v>16</v>
      </c>
      <c r="J59" s="24" t="n">
        <f aca="false">Test1_Hand!$B$6*H59*D59+Test1_Hand!$B$7*MAX(0,I59-Test1_Hand!$B$5)+Test1_Hand!$B$14</f>
        <v>6000</v>
      </c>
    </row>
    <row r="60" customFormat="false" ht="15" hidden="false" customHeight="false" outlineLevel="0" collapsed="false">
      <c r="A60" s="2" t="n">
        <v>48</v>
      </c>
      <c r="B60" s="22" t="n">
        <v>0.441792343191102</v>
      </c>
      <c r="C60" s="22" t="n">
        <v>0.378749494809253</v>
      </c>
      <c r="D60" s="23" t="n">
        <f aca="false">BETAINV(C60,Test1_Hand!$B$21,Test1_Hand!$B$22,Test1_Hand!$B$9,Test1_Hand!$B$11)</f>
        <v>2.96277139738561</v>
      </c>
      <c r="E60" s="2" t="n">
        <f aca="false">IF(B60&lt;Test1_Hand!$B$12,1,0)</f>
        <v>1</v>
      </c>
      <c r="F60" s="23" t="n">
        <f aca="false">Test1_Hand!$B$4+E60*D60</f>
        <v>18.9627713973856</v>
      </c>
      <c r="G60" s="24" t="n">
        <f aca="false">Test1_Hand!$B$6*E60*D60+Test1_Hand!$B$7*MAX(0,F60-Test1_Hand!$B$5)</f>
        <v>23702.1711790849</v>
      </c>
      <c r="H60" s="2" t="n">
        <f aca="false">IF(B60&lt;Test1_Hand!$B$13,1,0)</f>
        <v>0</v>
      </c>
      <c r="I60" s="23" t="n">
        <f aca="false">Test1_Hand!$B$4+H60*D60</f>
        <v>16</v>
      </c>
      <c r="J60" s="24" t="n">
        <f aca="false">Test1_Hand!$B$6*H60*D60+Test1_Hand!$B$7*MAX(0,I60-Test1_Hand!$B$5)+Test1_Hand!$B$14</f>
        <v>6000</v>
      </c>
    </row>
    <row r="61" customFormat="false" ht="15" hidden="false" customHeight="false" outlineLevel="0" collapsed="false">
      <c r="A61" s="2" t="n">
        <v>49</v>
      </c>
      <c r="B61" s="22" t="n">
        <v>0.27594708126815</v>
      </c>
      <c r="C61" s="22" t="n">
        <v>0.966104109234442</v>
      </c>
      <c r="D61" s="23" t="n">
        <f aca="false">BETAINV(C61,Test1_Hand!$B$21,Test1_Hand!$B$22,Test1_Hand!$B$9,Test1_Hand!$B$11)</f>
        <v>6.00799295280405</v>
      </c>
      <c r="E61" s="2" t="n">
        <f aca="false">IF(B61&lt;Test1_Hand!$B$12,1,0)</f>
        <v>1</v>
      </c>
      <c r="F61" s="23" t="n">
        <f aca="false">Test1_Hand!$B$4+E61*D61</f>
        <v>22.007992952804</v>
      </c>
      <c r="G61" s="24" t="n">
        <f aca="false">Test1_Hand!$B$6*E61*D61+Test1_Hand!$B$7*MAX(0,F61-Test1_Hand!$B$5)</f>
        <v>58103.9083864526</v>
      </c>
      <c r="H61" s="2" t="n">
        <f aca="false">IF(B61&lt;Test1_Hand!$B$13,1,0)</f>
        <v>0</v>
      </c>
      <c r="I61" s="23" t="n">
        <f aca="false">Test1_Hand!$B$4+H61*D61</f>
        <v>16</v>
      </c>
      <c r="J61" s="24" t="n">
        <f aca="false">Test1_Hand!$B$6*H61*D61+Test1_Hand!$B$7*MAX(0,I61-Test1_Hand!$B$5)+Test1_Hand!$B$14</f>
        <v>6000</v>
      </c>
    </row>
    <row r="62" customFormat="false" ht="15" hidden="false" customHeight="false" outlineLevel="0" collapsed="false">
      <c r="A62" s="2" t="n">
        <v>50</v>
      </c>
      <c r="B62" s="22" t="n">
        <v>0.058202605265844</v>
      </c>
      <c r="C62" s="22" t="n">
        <v>0.408733898861855</v>
      </c>
      <c r="D62" s="23" t="n">
        <f aca="false">BETAINV(C62,Test1_Hand!$B$21,Test1_Hand!$B$22,Test1_Hand!$B$9,Test1_Hand!$B$11)</f>
        <v>3.06574064111195</v>
      </c>
      <c r="E62" s="2" t="n">
        <f aca="false">IF(B62&lt;Test1_Hand!$B$12,1,0)</f>
        <v>1</v>
      </c>
      <c r="F62" s="23" t="n">
        <f aca="false">Test1_Hand!$B$4+E62*D62</f>
        <v>19.065740641112</v>
      </c>
      <c r="G62" s="24" t="n">
        <f aca="false">Test1_Hand!$B$6*E62*D62+Test1_Hand!$B$7*MAX(0,F62-Test1_Hand!$B$5)</f>
        <v>24525.9251288956</v>
      </c>
      <c r="H62" s="2" t="n">
        <f aca="false">IF(B62&lt;Test1_Hand!$B$13,1,0)</f>
        <v>1</v>
      </c>
      <c r="I62" s="23" t="n">
        <f aca="false">Test1_Hand!$B$4+H62*D62</f>
        <v>19.065740641112</v>
      </c>
      <c r="J62" s="24" t="n">
        <f aca="false">Test1_Hand!$B$6*H62*D62+Test1_Hand!$B$7*MAX(0,I62-Test1_Hand!$B$5)+Test1_Hand!$B$14</f>
        <v>30525.9251288956</v>
      </c>
    </row>
    <row r="63" customFormat="false" ht="15" hidden="false" customHeight="false" outlineLevel="0" collapsed="false">
      <c r="A63" s="2" t="n">
        <v>51</v>
      </c>
      <c r="B63" s="22" t="n">
        <v>0.168628844528486</v>
      </c>
      <c r="C63" s="22" t="n">
        <v>0.240144058401688</v>
      </c>
      <c r="D63" s="23" t="n">
        <f aca="false">BETAINV(C63,Test1_Hand!$B$21,Test1_Hand!$B$22,Test1_Hand!$B$9,Test1_Hand!$B$11)</f>
        <v>2.47659574107947</v>
      </c>
      <c r="E63" s="2" t="n">
        <f aca="false">IF(B63&lt;Test1_Hand!$B$12,1,0)</f>
        <v>1</v>
      </c>
      <c r="F63" s="23" t="n">
        <f aca="false">Test1_Hand!$B$4+E63*D63</f>
        <v>18.4765957410795</v>
      </c>
      <c r="G63" s="24" t="n">
        <f aca="false">Test1_Hand!$B$6*E63*D63+Test1_Hand!$B$7*MAX(0,F63-Test1_Hand!$B$5)</f>
        <v>19812.7659286358</v>
      </c>
      <c r="H63" s="2" t="n">
        <f aca="false">IF(B63&lt;Test1_Hand!$B$13,1,0)</f>
        <v>1</v>
      </c>
      <c r="I63" s="23" t="n">
        <f aca="false">Test1_Hand!$B$4+H63*D63</f>
        <v>18.4765957410795</v>
      </c>
      <c r="J63" s="24" t="n">
        <f aca="false">Test1_Hand!$B$6*H63*D63+Test1_Hand!$B$7*MAX(0,I63-Test1_Hand!$B$5)+Test1_Hand!$B$14</f>
        <v>25812.7659286358</v>
      </c>
    </row>
    <row r="64" customFormat="false" ht="15" hidden="false" customHeight="false" outlineLevel="0" collapsed="false">
      <c r="A64" s="2" t="n">
        <v>52</v>
      </c>
      <c r="B64" s="22" t="n">
        <v>0.780007856334212</v>
      </c>
      <c r="C64" s="22" t="n">
        <v>0.203767596155612</v>
      </c>
      <c r="D64" s="23" t="n">
        <f aca="false">BETAINV(C64,Test1_Hand!$B$21,Test1_Hand!$B$22,Test1_Hand!$B$9,Test1_Hand!$B$11)</f>
        <v>2.34108470772181</v>
      </c>
      <c r="E64" s="2" t="n">
        <f aca="false">IF(B64&lt;Test1_Hand!$B$12,1,0)</f>
        <v>0</v>
      </c>
      <c r="F64" s="23" t="n">
        <f aca="false">Test1_Hand!$B$4+E64*D64</f>
        <v>16</v>
      </c>
      <c r="G64" s="24" t="n">
        <f aca="false">Test1_Hand!$B$6*E64*D64+Test1_Hand!$B$7*MAX(0,F64-Test1_Hand!$B$5)</f>
        <v>0</v>
      </c>
      <c r="H64" s="2" t="n">
        <f aca="false">IF(B64&lt;Test1_Hand!$B$13,1,0)</f>
        <v>0</v>
      </c>
      <c r="I64" s="23" t="n">
        <f aca="false">Test1_Hand!$B$4+H64*D64</f>
        <v>16</v>
      </c>
      <c r="J64" s="24" t="n">
        <f aca="false">Test1_Hand!$B$6*H64*D64+Test1_Hand!$B$7*MAX(0,I64-Test1_Hand!$B$5)+Test1_Hand!$B$14</f>
        <v>6000</v>
      </c>
    </row>
    <row r="65" customFormat="false" ht="15" hidden="false" customHeight="false" outlineLevel="0" collapsed="false">
      <c r="A65" s="2" t="n">
        <v>53</v>
      </c>
      <c r="B65" s="22" t="n">
        <v>0.552050954761622</v>
      </c>
      <c r="C65" s="22" t="n">
        <v>0.366994142051668</v>
      </c>
      <c r="D65" s="23" t="n">
        <f aca="false">BETAINV(C65,Test1_Hand!$B$21,Test1_Hand!$B$22,Test1_Hand!$B$9,Test1_Hand!$B$11)</f>
        <v>2.92238305063983</v>
      </c>
      <c r="E65" s="2" t="n">
        <f aca="false">IF(B65&lt;Test1_Hand!$B$12,1,0)</f>
        <v>0</v>
      </c>
      <c r="F65" s="23" t="n">
        <f aca="false">Test1_Hand!$B$4+E65*D65</f>
        <v>16</v>
      </c>
      <c r="G65" s="24" t="n">
        <f aca="false">Test1_Hand!$B$6*E65*D65+Test1_Hand!$B$7*MAX(0,F65-Test1_Hand!$B$5)</f>
        <v>0</v>
      </c>
      <c r="H65" s="2" t="n">
        <f aca="false">IF(B65&lt;Test1_Hand!$B$13,1,0)</f>
        <v>0</v>
      </c>
      <c r="I65" s="23" t="n">
        <f aca="false">Test1_Hand!$B$4+H65*D65</f>
        <v>16</v>
      </c>
      <c r="J65" s="24" t="n">
        <f aca="false">Test1_Hand!$B$6*H65*D65+Test1_Hand!$B$7*MAX(0,I65-Test1_Hand!$B$5)+Test1_Hand!$B$14</f>
        <v>6000</v>
      </c>
    </row>
    <row r="66" customFormat="false" ht="15" hidden="false" customHeight="false" outlineLevel="0" collapsed="false">
      <c r="A66" s="2" t="n">
        <v>54</v>
      </c>
      <c r="B66" s="22" t="n">
        <v>0.507281721392357</v>
      </c>
      <c r="C66" s="22" t="n">
        <v>0.333437796696286</v>
      </c>
      <c r="D66" s="23" t="n">
        <f aca="false">BETAINV(C66,Test1_Hand!$B$21,Test1_Hand!$B$22,Test1_Hand!$B$9,Test1_Hand!$B$11)</f>
        <v>2.80670848077163</v>
      </c>
      <c r="E66" s="2" t="n">
        <f aca="false">IF(B66&lt;Test1_Hand!$B$12,1,0)</f>
        <v>0</v>
      </c>
      <c r="F66" s="23" t="n">
        <f aca="false">Test1_Hand!$B$4+E66*D66</f>
        <v>16</v>
      </c>
      <c r="G66" s="24" t="n">
        <f aca="false">Test1_Hand!$B$6*E66*D66+Test1_Hand!$B$7*MAX(0,F66-Test1_Hand!$B$5)</f>
        <v>0</v>
      </c>
      <c r="H66" s="2" t="n">
        <f aca="false">IF(B66&lt;Test1_Hand!$B$13,1,0)</f>
        <v>0</v>
      </c>
      <c r="I66" s="23" t="n">
        <f aca="false">Test1_Hand!$B$4+H66*D66</f>
        <v>16</v>
      </c>
      <c r="J66" s="24" t="n">
        <f aca="false">Test1_Hand!$B$6*H66*D66+Test1_Hand!$B$7*MAX(0,I66-Test1_Hand!$B$5)+Test1_Hand!$B$14</f>
        <v>6000</v>
      </c>
    </row>
    <row r="67" customFormat="false" ht="15" hidden="false" customHeight="false" outlineLevel="0" collapsed="false">
      <c r="A67" s="2" t="n">
        <v>55</v>
      </c>
      <c r="B67" s="22" t="n">
        <v>0.282721674107878</v>
      </c>
      <c r="C67" s="22" t="n">
        <v>0.281830301305207</v>
      </c>
      <c r="D67" s="23" t="n">
        <f aca="false">BETAINV(C67,Test1_Hand!$B$21,Test1_Hand!$B$22,Test1_Hand!$B$9,Test1_Hand!$B$11)</f>
        <v>2.62634623882324</v>
      </c>
      <c r="E67" s="2" t="n">
        <f aca="false">IF(B67&lt;Test1_Hand!$B$12,1,0)</f>
        <v>1</v>
      </c>
      <c r="F67" s="23" t="n">
        <f aca="false">Test1_Hand!$B$4+E67*D67</f>
        <v>18.6263462388232</v>
      </c>
      <c r="G67" s="24" t="n">
        <f aca="false">Test1_Hand!$B$6*E67*D67+Test1_Hand!$B$7*MAX(0,F67-Test1_Hand!$B$5)</f>
        <v>21010.7699105859</v>
      </c>
      <c r="H67" s="2" t="n">
        <f aca="false">IF(B67&lt;Test1_Hand!$B$13,1,0)</f>
        <v>0</v>
      </c>
      <c r="I67" s="23" t="n">
        <f aca="false">Test1_Hand!$B$4+H67*D67</f>
        <v>16</v>
      </c>
      <c r="J67" s="24" t="n">
        <f aca="false">Test1_Hand!$B$6*H67*D67+Test1_Hand!$B$7*MAX(0,I67-Test1_Hand!$B$5)+Test1_Hand!$B$14</f>
        <v>6000</v>
      </c>
    </row>
    <row r="68" customFormat="false" ht="15" hidden="false" customHeight="false" outlineLevel="0" collapsed="false">
      <c r="A68" s="2" t="n">
        <v>56</v>
      </c>
      <c r="B68" s="22" t="n">
        <v>0.0853812921212878</v>
      </c>
      <c r="C68" s="22" t="n">
        <v>0.481813655780685</v>
      </c>
      <c r="D68" s="23" t="n">
        <f aca="false">BETAINV(C68,Test1_Hand!$B$21,Test1_Hand!$B$22,Test1_Hand!$B$9,Test1_Hand!$B$11)</f>
        <v>3.3186845290327</v>
      </c>
      <c r="E68" s="2" t="n">
        <f aca="false">IF(B68&lt;Test1_Hand!$B$12,1,0)</f>
        <v>1</v>
      </c>
      <c r="F68" s="23" t="n">
        <f aca="false">Test1_Hand!$B$4+E68*D68</f>
        <v>19.3186845290327</v>
      </c>
      <c r="G68" s="24" t="n">
        <f aca="false">Test1_Hand!$B$6*E68*D68+Test1_Hand!$B$7*MAX(0,F68-Test1_Hand!$B$5)</f>
        <v>26549.4762322616</v>
      </c>
      <c r="H68" s="2" t="n">
        <f aca="false">IF(B68&lt;Test1_Hand!$B$13,1,0)</f>
        <v>1</v>
      </c>
      <c r="I68" s="23" t="n">
        <f aca="false">Test1_Hand!$B$4+H68*D68</f>
        <v>19.3186845290327</v>
      </c>
      <c r="J68" s="24" t="n">
        <f aca="false">Test1_Hand!$B$6*H68*D68+Test1_Hand!$B$7*MAX(0,I68-Test1_Hand!$B$5)+Test1_Hand!$B$14</f>
        <v>32549.4762322616</v>
      </c>
    </row>
    <row r="69" customFormat="false" ht="15" hidden="false" customHeight="false" outlineLevel="0" collapsed="false">
      <c r="A69" s="2" t="n">
        <v>57</v>
      </c>
      <c r="B69" s="22" t="n">
        <v>0.883342894514554</v>
      </c>
      <c r="C69" s="22" t="n">
        <v>0.947227766010021</v>
      </c>
      <c r="D69" s="23" t="n">
        <f aca="false">BETAINV(C69,Test1_Hand!$B$21,Test1_Hand!$B$22,Test1_Hand!$B$9,Test1_Hand!$B$11)</f>
        <v>5.73901337707183</v>
      </c>
      <c r="E69" s="2" t="n">
        <f aca="false">IF(B69&lt;Test1_Hand!$B$12,1,0)</f>
        <v>0</v>
      </c>
      <c r="F69" s="23" t="n">
        <f aca="false">Test1_Hand!$B$4+E69*D69</f>
        <v>16</v>
      </c>
      <c r="G69" s="24" t="n">
        <f aca="false">Test1_Hand!$B$6*E69*D69+Test1_Hand!$B$7*MAX(0,F69-Test1_Hand!$B$5)</f>
        <v>0</v>
      </c>
      <c r="H69" s="2" t="n">
        <f aca="false">IF(B69&lt;Test1_Hand!$B$13,1,0)</f>
        <v>0</v>
      </c>
      <c r="I69" s="23" t="n">
        <f aca="false">Test1_Hand!$B$4+H69*D69</f>
        <v>16</v>
      </c>
      <c r="J69" s="24" t="n">
        <f aca="false">Test1_Hand!$B$6*H69*D69+Test1_Hand!$B$7*MAX(0,I69-Test1_Hand!$B$5)+Test1_Hand!$B$14</f>
        <v>6000</v>
      </c>
    </row>
    <row r="70" customFormat="false" ht="15" hidden="false" customHeight="false" outlineLevel="0" collapsed="false">
      <c r="A70" s="2" t="n">
        <v>58</v>
      </c>
      <c r="B70" s="22" t="n">
        <v>0.0273837219271188</v>
      </c>
      <c r="C70" s="22" t="n">
        <v>0.917752244502557</v>
      </c>
      <c r="D70" s="23" t="n">
        <f aca="false">BETAINV(C70,Test1_Hand!$B$21,Test1_Hand!$B$22,Test1_Hand!$B$9,Test1_Hand!$B$11)</f>
        <v>5.42646712659805</v>
      </c>
      <c r="E70" s="2" t="n">
        <f aca="false">IF(B70&lt;Test1_Hand!$B$12,1,0)</f>
        <v>1</v>
      </c>
      <c r="F70" s="23" t="n">
        <f aca="false">Test1_Hand!$B$4+E70*D70</f>
        <v>21.4264671265981</v>
      </c>
      <c r="G70" s="24" t="n">
        <f aca="false">Test1_Hand!$B$6*E70*D70+Test1_Hand!$B$7*MAX(0,F70-Test1_Hand!$B$5)</f>
        <v>50544.0726457747</v>
      </c>
      <c r="H70" s="2" t="n">
        <f aca="false">IF(B70&lt;Test1_Hand!$B$13,1,0)</f>
        <v>1</v>
      </c>
      <c r="I70" s="23" t="n">
        <f aca="false">Test1_Hand!$B$4+H70*D70</f>
        <v>21.4264671265981</v>
      </c>
      <c r="J70" s="24" t="n">
        <f aca="false">Test1_Hand!$B$6*H70*D70+Test1_Hand!$B$7*MAX(0,I70-Test1_Hand!$B$5)+Test1_Hand!$B$14</f>
        <v>56544.0726457747</v>
      </c>
    </row>
    <row r="71" customFormat="false" ht="15" hidden="false" customHeight="false" outlineLevel="0" collapsed="false">
      <c r="A71" s="2" t="n">
        <v>59</v>
      </c>
      <c r="B71" s="22" t="n">
        <v>0.12152452948541</v>
      </c>
      <c r="C71" s="22" t="n">
        <v>0.747847759785809</v>
      </c>
      <c r="D71" s="23" t="n">
        <f aca="false">BETAINV(C71,Test1_Hand!$B$21,Test1_Hand!$B$22,Test1_Hand!$B$9,Test1_Hand!$B$11)</f>
        <v>4.36471165512528</v>
      </c>
      <c r="E71" s="2" t="n">
        <f aca="false">IF(B71&lt;Test1_Hand!$B$12,1,0)</f>
        <v>1</v>
      </c>
      <c r="F71" s="23" t="n">
        <f aca="false">Test1_Hand!$B$4+E71*D71</f>
        <v>20.3647116551253</v>
      </c>
      <c r="G71" s="24" t="n">
        <f aca="false">Test1_Hand!$B$6*E71*D71+Test1_Hand!$B$7*MAX(0,F71-Test1_Hand!$B$5)</f>
        <v>36741.2515166286</v>
      </c>
      <c r="H71" s="2" t="n">
        <f aca="false">IF(B71&lt;Test1_Hand!$B$13,1,0)</f>
        <v>1</v>
      </c>
      <c r="I71" s="23" t="n">
        <f aca="false">Test1_Hand!$B$4+H71*D71</f>
        <v>20.3647116551253</v>
      </c>
      <c r="J71" s="24" t="n">
        <f aca="false">Test1_Hand!$B$6*H71*D71+Test1_Hand!$B$7*MAX(0,I71-Test1_Hand!$B$5)+Test1_Hand!$B$14</f>
        <v>42741.2515166286</v>
      </c>
    </row>
    <row r="72" customFormat="false" ht="15" hidden="false" customHeight="false" outlineLevel="0" collapsed="false">
      <c r="A72" s="2" t="n">
        <v>60</v>
      </c>
      <c r="B72" s="22" t="n">
        <v>0.896520742049695</v>
      </c>
      <c r="C72" s="22" t="n">
        <v>0.167929799937156</v>
      </c>
      <c r="D72" s="23" t="n">
        <f aca="false">BETAINV(C72,Test1_Hand!$B$21,Test1_Hand!$B$22,Test1_Hand!$B$9,Test1_Hand!$B$11)</f>
        <v>2.20099492494172</v>
      </c>
      <c r="E72" s="2" t="n">
        <f aca="false">IF(B72&lt;Test1_Hand!$B$12,1,0)</f>
        <v>0</v>
      </c>
      <c r="F72" s="23" t="n">
        <f aca="false">Test1_Hand!$B$4+E72*D72</f>
        <v>16</v>
      </c>
      <c r="G72" s="24" t="n">
        <f aca="false">Test1_Hand!$B$6*E72*D72+Test1_Hand!$B$7*MAX(0,F72-Test1_Hand!$B$5)</f>
        <v>0</v>
      </c>
      <c r="H72" s="2" t="n">
        <f aca="false">IF(B72&lt;Test1_Hand!$B$13,1,0)</f>
        <v>0</v>
      </c>
      <c r="I72" s="23" t="n">
        <f aca="false">Test1_Hand!$B$4+H72*D72</f>
        <v>16</v>
      </c>
      <c r="J72" s="24" t="n">
        <f aca="false">Test1_Hand!$B$6*H72*D72+Test1_Hand!$B$7*MAX(0,I72-Test1_Hand!$B$5)+Test1_Hand!$B$14</f>
        <v>6000</v>
      </c>
    </row>
    <row r="73" customFormat="false" ht="15" hidden="false" customHeight="false" outlineLevel="0" collapsed="false">
      <c r="A73" s="2" t="n">
        <v>61</v>
      </c>
      <c r="B73" s="22" t="n">
        <v>0.331463219266811</v>
      </c>
      <c r="C73" s="22" t="n">
        <v>0.378156625615803</v>
      </c>
      <c r="D73" s="23" t="n">
        <f aca="false">BETAINV(C73,Test1_Hand!$B$21,Test1_Hand!$B$22,Test1_Hand!$B$9,Test1_Hand!$B$11)</f>
        <v>2.96073526803435</v>
      </c>
      <c r="E73" s="2" t="n">
        <f aca="false">IF(B73&lt;Test1_Hand!$B$12,1,0)</f>
        <v>1</v>
      </c>
      <c r="F73" s="23" t="n">
        <f aca="false">Test1_Hand!$B$4+E73*D73</f>
        <v>18.9607352680343</v>
      </c>
      <c r="G73" s="24" t="n">
        <f aca="false">Test1_Hand!$B$6*E73*D73+Test1_Hand!$B$7*MAX(0,F73-Test1_Hand!$B$5)</f>
        <v>23685.8821442748</v>
      </c>
      <c r="H73" s="2" t="n">
        <f aca="false">IF(B73&lt;Test1_Hand!$B$13,1,0)</f>
        <v>0</v>
      </c>
      <c r="I73" s="23" t="n">
        <f aca="false">Test1_Hand!$B$4+H73*D73</f>
        <v>16</v>
      </c>
      <c r="J73" s="24" t="n">
        <f aca="false">Test1_Hand!$B$6*H73*D73+Test1_Hand!$B$7*MAX(0,I73-Test1_Hand!$B$5)+Test1_Hand!$B$14</f>
        <v>6000</v>
      </c>
    </row>
    <row r="74" customFormat="false" ht="15" hidden="false" customHeight="false" outlineLevel="0" collapsed="false">
      <c r="A74" s="2" t="n">
        <v>62</v>
      </c>
      <c r="B74" s="22" t="n">
        <v>0.346848957674191</v>
      </c>
      <c r="C74" s="22" t="n">
        <v>0.516255701115363</v>
      </c>
      <c r="D74" s="23" t="n">
        <f aca="false">BETAINV(C74,Test1_Hand!$B$21,Test1_Hand!$B$22,Test1_Hand!$B$9,Test1_Hand!$B$11)</f>
        <v>3.44019085715153</v>
      </c>
      <c r="E74" s="2" t="n">
        <f aca="false">IF(B74&lt;Test1_Hand!$B$12,1,0)</f>
        <v>1</v>
      </c>
      <c r="F74" s="23" t="n">
        <f aca="false">Test1_Hand!$B$4+E74*D74</f>
        <v>19.4401908571515</v>
      </c>
      <c r="G74" s="24" t="n">
        <f aca="false">Test1_Hand!$B$6*E74*D74+Test1_Hand!$B$7*MAX(0,F74-Test1_Hand!$B$5)</f>
        <v>27521.5268572122</v>
      </c>
      <c r="H74" s="2" t="n">
        <f aca="false">IF(B74&lt;Test1_Hand!$B$13,1,0)</f>
        <v>0</v>
      </c>
      <c r="I74" s="23" t="n">
        <f aca="false">Test1_Hand!$B$4+H74*D74</f>
        <v>16</v>
      </c>
      <c r="J74" s="24" t="n">
        <f aca="false">Test1_Hand!$B$6*H74*D74+Test1_Hand!$B$7*MAX(0,I74-Test1_Hand!$B$5)+Test1_Hand!$B$14</f>
        <v>6000</v>
      </c>
    </row>
    <row r="75" customFormat="false" ht="15" hidden="false" customHeight="false" outlineLevel="0" collapsed="false">
      <c r="A75" s="2" t="n">
        <v>63</v>
      </c>
      <c r="B75" s="22" t="n">
        <v>0.00899402737133037</v>
      </c>
      <c r="C75" s="22" t="n">
        <v>0.422678204482384</v>
      </c>
      <c r="D75" s="23" t="n">
        <f aca="false">BETAINV(C75,Test1_Hand!$B$21,Test1_Hand!$B$22,Test1_Hand!$B$9,Test1_Hand!$B$11)</f>
        <v>3.11369390597805</v>
      </c>
      <c r="E75" s="2" t="n">
        <f aca="false">IF(B75&lt;Test1_Hand!$B$12,1,0)</f>
        <v>1</v>
      </c>
      <c r="F75" s="23" t="n">
        <f aca="false">Test1_Hand!$B$4+E75*D75</f>
        <v>19.113693905978</v>
      </c>
      <c r="G75" s="24" t="n">
        <f aca="false">Test1_Hand!$B$6*E75*D75+Test1_Hand!$B$7*MAX(0,F75-Test1_Hand!$B$5)</f>
        <v>24909.5512478244</v>
      </c>
      <c r="H75" s="2" t="n">
        <f aca="false">IF(B75&lt;Test1_Hand!$B$13,1,0)</f>
        <v>1</v>
      </c>
      <c r="I75" s="23" t="n">
        <f aca="false">Test1_Hand!$B$4+H75*D75</f>
        <v>19.113693905978</v>
      </c>
      <c r="J75" s="24" t="n">
        <f aca="false">Test1_Hand!$B$6*H75*D75+Test1_Hand!$B$7*MAX(0,I75-Test1_Hand!$B$5)+Test1_Hand!$B$14</f>
        <v>30909.5512478244</v>
      </c>
    </row>
    <row r="76" customFormat="false" ht="15" hidden="false" customHeight="false" outlineLevel="0" collapsed="false">
      <c r="A76" s="2" t="n">
        <v>64</v>
      </c>
      <c r="B76" s="22" t="n">
        <v>0.877657729511617</v>
      </c>
      <c r="C76" s="22" t="n">
        <v>0.0874051528524733</v>
      </c>
      <c r="D76" s="23" t="n">
        <f aca="false">BETAINV(C76,Test1_Hand!$B$21,Test1_Hand!$B$22,Test1_Hand!$B$9,Test1_Hand!$B$11)</f>
        <v>1.84196001410212</v>
      </c>
      <c r="E76" s="2" t="n">
        <f aca="false">IF(B76&lt;Test1_Hand!$B$12,1,0)</f>
        <v>0</v>
      </c>
      <c r="F76" s="23" t="n">
        <f aca="false">Test1_Hand!$B$4+E76*D76</f>
        <v>16</v>
      </c>
      <c r="G76" s="24" t="n">
        <f aca="false">Test1_Hand!$B$6*E76*D76+Test1_Hand!$B$7*MAX(0,F76-Test1_Hand!$B$5)</f>
        <v>0</v>
      </c>
      <c r="H76" s="2" t="n">
        <f aca="false">IF(B76&lt;Test1_Hand!$B$13,1,0)</f>
        <v>0</v>
      </c>
      <c r="I76" s="23" t="n">
        <f aca="false">Test1_Hand!$B$4+H76*D76</f>
        <v>16</v>
      </c>
      <c r="J76" s="24" t="n">
        <f aca="false">Test1_Hand!$B$6*H76*D76+Test1_Hand!$B$7*MAX(0,I76-Test1_Hand!$B$5)+Test1_Hand!$B$14</f>
        <v>6000</v>
      </c>
    </row>
    <row r="77" customFormat="false" ht="15" hidden="false" customHeight="false" outlineLevel="0" collapsed="false">
      <c r="A77" s="2" t="n">
        <v>65</v>
      </c>
      <c r="B77" s="22" t="n">
        <v>0.484084817458037</v>
      </c>
      <c r="C77" s="22" t="n">
        <v>0.48122772734053</v>
      </c>
      <c r="D77" s="23" t="n">
        <f aca="false">BETAINV(C77,Test1_Hand!$B$21,Test1_Hand!$B$22,Test1_Hand!$B$9,Test1_Hand!$B$11)</f>
        <v>3.31663409263292</v>
      </c>
      <c r="E77" s="2" t="n">
        <f aca="false">IF(B77&lt;Test1_Hand!$B$12,1,0)</f>
        <v>1</v>
      </c>
      <c r="F77" s="23" t="n">
        <f aca="false">Test1_Hand!$B$4+E77*D77</f>
        <v>19.3166340926329</v>
      </c>
      <c r="G77" s="24" t="n">
        <f aca="false">Test1_Hand!$B$6*E77*D77+Test1_Hand!$B$7*MAX(0,F77-Test1_Hand!$B$5)</f>
        <v>26533.0727410633</v>
      </c>
      <c r="H77" s="2" t="n">
        <f aca="false">IF(B77&lt;Test1_Hand!$B$13,1,0)</f>
        <v>0</v>
      </c>
      <c r="I77" s="23" t="n">
        <f aca="false">Test1_Hand!$B$4+H77*D77</f>
        <v>16</v>
      </c>
      <c r="J77" s="24" t="n">
        <f aca="false">Test1_Hand!$B$6*H77*D77+Test1_Hand!$B$7*MAX(0,I77-Test1_Hand!$B$5)+Test1_Hand!$B$14</f>
        <v>6000</v>
      </c>
    </row>
    <row r="78" customFormat="false" ht="15" hidden="false" customHeight="false" outlineLevel="0" collapsed="false">
      <c r="A78" s="2" t="n">
        <v>66</v>
      </c>
      <c r="B78" s="22" t="n">
        <v>0.782571490319865</v>
      </c>
      <c r="C78" s="22" t="n">
        <v>0.964559575138391</v>
      </c>
      <c r="D78" s="23" t="n">
        <f aca="false">BETAINV(C78,Test1_Hand!$B$21,Test1_Hand!$B$22,Test1_Hand!$B$9,Test1_Hand!$B$11)</f>
        <v>5.98262704941897</v>
      </c>
      <c r="E78" s="2" t="n">
        <f aca="false">IF(B78&lt;Test1_Hand!$B$12,1,0)</f>
        <v>0</v>
      </c>
      <c r="F78" s="23" t="n">
        <f aca="false">Test1_Hand!$B$4+E78*D78</f>
        <v>16</v>
      </c>
      <c r="G78" s="24" t="n">
        <f aca="false">Test1_Hand!$B$6*E78*D78+Test1_Hand!$B$7*MAX(0,F78-Test1_Hand!$B$5)</f>
        <v>0</v>
      </c>
      <c r="H78" s="2" t="n">
        <f aca="false">IF(B78&lt;Test1_Hand!$B$13,1,0)</f>
        <v>0</v>
      </c>
      <c r="I78" s="23" t="n">
        <f aca="false">Test1_Hand!$B$4+H78*D78</f>
        <v>16</v>
      </c>
      <c r="J78" s="24" t="n">
        <f aca="false">Test1_Hand!$B$6*H78*D78+Test1_Hand!$B$7*MAX(0,I78-Test1_Hand!$B$5)+Test1_Hand!$B$14</f>
        <v>6000</v>
      </c>
    </row>
    <row r="79" customFormat="false" ht="15" hidden="false" customHeight="false" outlineLevel="0" collapsed="false">
      <c r="A79" s="2" t="n">
        <v>67</v>
      </c>
      <c r="B79" s="22" t="n">
        <v>0.707096441635543</v>
      </c>
      <c r="C79" s="22" t="n">
        <v>0.273736720915496</v>
      </c>
      <c r="D79" s="23" t="n">
        <f aca="false">BETAINV(C79,Test1_Hand!$B$21,Test1_Hand!$B$22,Test1_Hand!$B$9,Test1_Hand!$B$11)</f>
        <v>2.59762670347762</v>
      </c>
      <c r="E79" s="2" t="n">
        <f aca="false">IF(B79&lt;Test1_Hand!$B$12,1,0)</f>
        <v>0</v>
      </c>
      <c r="F79" s="23" t="n">
        <f aca="false">Test1_Hand!$B$4+E79*D79</f>
        <v>16</v>
      </c>
      <c r="G79" s="24" t="n">
        <f aca="false">Test1_Hand!$B$6*E79*D79+Test1_Hand!$B$7*MAX(0,F79-Test1_Hand!$B$5)</f>
        <v>0</v>
      </c>
      <c r="H79" s="2" t="n">
        <f aca="false">IF(B79&lt;Test1_Hand!$B$13,1,0)</f>
        <v>0</v>
      </c>
      <c r="I79" s="23" t="n">
        <f aca="false">Test1_Hand!$B$4+H79*D79</f>
        <v>16</v>
      </c>
      <c r="J79" s="24" t="n">
        <f aca="false">Test1_Hand!$B$6*H79*D79+Test1_Hand!$B$7*MAX(0,I79-Test1_Hand!$B$5)+Test1_Hand!$B$14</f>
        <v>6000</v>
      </c>
    </row>
    <row r="80" customFormat="false" ht="15" hidden="false" customHeight="false" outlineLevel="0" collapsed="false">
      <c r="A80" s="2" t="n">
        <v>68</v>
      </c>
      <c r="B80" s="22" t="n">
        <v>0.670113300469858</v>
      </c>
      <c r="C80" s="22" t="n">
        <v>0.347534802748238</v>
      </c>
      <c r="D80" s="23" t="n">
        <f aca="false">BETAINV(C80,Test1_Hand!$B$21,Test1_Hand!$B$22,Test1_Hand!$B$9,Test1_Hand!$B$11)</f>
        <v>2.85539788251401</v>
      </c>
      <c r="E80" s="2" t="n">
        <f aca="false">IF(B80&lt;Test1_Hand!$B$12,1,0)</f>
        <v>0</v>
      </c>
      <c r="F80" s="23" t="n">
        <f aca="false">Test1_Hand!$B$4+E80*D80</f>
        <v>16</v>
      </c>
      <c r="G80" s="24" t="n">
        <f aca="false">Test1_Hand!$B$6*E80*D80+Test1_Hand!$B$7*MAX(0,F80-Test1_Hand!$B$5)</f>
        <v>0</v>
      </c>
      <c r="H80" s="2" t="n">
        <f aca="false">IF(B80&lt;Test1_Hand!$B$13,1,0)</f>
        <v>0</v>
      </c>
      <c r="I80" s="23" t="n">
        <f aca="false">Test1_Hand!$B$4+H80*D80</f>
        <v>16</v>
      </c>
      <c r="J80" s="24" t="n">
        <f aca="false">Test1_Hand!$B$6*H80*D80+Test1_Hand!$B$7*MAX(0,I80-Test1_Hand!$B$5)+Test1_Hand!$B$14</f>
        <v>6000</v>
      </c>
    </row>
    <row r="81" customFormat="false" ht="15" hidden="false" customHeight="false" outlineLevel="0" collapsed="false">
      <c r="A81" s="2" t="n">
        <v>69</v>
      </c>
      <c r="B81" s="22" t="n">
        <v>0.768127836054909</v>
      </c>
      <c r="C81" s="22" t="n">
        <v>0.675771416252486</v>
      </c>
      <c r="D81" s="23" t="n">
        <f aca="false">BETAINV(C81,Test1_Hand!$B$21,Test1_Hand!$B$22,Test1_Hand!$B$9,Test1_Hand!$B$11)</f>
        <v>4.04698934428938</v>
      </c>
      <c r="E81" s="2" t="n">
        <f aca="false">IF(B81&lt;Test1_Hand!$B$12,1,0)</f>
        <v>0</v>
      </c>
      <c r="F81" s="23" t="n">
        <f aca="false">Test1_Hand!$B$4+E81*D81</f>
        <v>16</v>
      </c>
      <c r="G81" s="24" t="n">
        <f aca="false">Test1_Hand!$B$6*E81*D81+Test1_Hand!$B$7*MAX(0,F81-Test1_Hand!$B$5)</f>
        <v>0</v>
      </c>
      <c r="H81" s="2" t="n">
        <f aca="false">IF(B81&lt;Test1_Hand!$B$13,1,0)</f>
        <v>0</v>
      </c>
      <c r="I81" s="23" t="n">
        <f aca="false">Test1_Hand!$B$4+H81*D81</f>
        <v>16</v>
      </c>
      <c r="J81" s="24" t="n">
        <f aca="false">Test1_Hand!$B$6*H81*D81+Test1_Hand!$B$7*MAX(0,I81-Test1_Hand!$B$5)+Test1_Hand!$B$14</f>
        <v>6000</v>
      </c>
    </row>
    <row r="82" customFormat="false" ht="15" hidden="false" customHeight="false" outlineLevel="0" collapsed="false">
      <c r="A82" s="2" t="n">
        <v>70</v>
      </c>
      <c r="B82" s="22" t="n">
        <v>0.97753202802726</v>
      </c>
      <c r="C82" s="22" t="n">
        <v>0.866709789594621</v>
      </c>
      <c r="D82" s="23" t="n">
        <f aca="false">BETAINV(C82,Test1_Hand!$B$21,Test1_Hand!$B$22,Test1_Hand!$B$9,Test1_Hand!$B$11)</f>
        <v>5.0256199290497</v>
      </c>
      <c r="E82" s="2" t="n">
        <f aca="false">IF(B82&lt;Test1_Hand!$B$12,1,0)</f>
        <v>0</v>
      </c>
      <c r="F82" s="23" t="n">
        <f aca="false">Test1_Hand!$B$4+E82*D82</f>
        <v>16</v>
      </c>
      <c r="G82" s="24" t="n">
        <f aca="false">Test1_Hand!$B$6*E82*D82+Test1_Hand!$B$7*MAX(0,F82-Test1_Hand!$B$5)</f>
        <v>0</v>
      </c>
      <c r="H82" s="2" t="n">
        <f aca="false">IF(B82&lt;Test1_Hand!$B$13,1,0)</f>
        <v>0</v>
      </c>
      <c r="I82" s="23" t="n">
        <f aca="false">Test1_Hand!$B$4+H82*D82</f>
        <v>16</v>
      </c>
      <c r="J82" s="24" t="n">
        <f aca="false">Test1_Hand!$B$6*H82*D82+Test1_Hand!$B$7*MAX(0,I82-Test1_Hand!$B$5)+Test1_Hand!$B$14</f>
        <v>6000</v>
      </c>
    </row>
    <row r="83" customFormat="false" ht="15" hidden="false" customHeight="false" outlineLevel="0" collapsed="false">
      <c r="A83" s="2" t="n">
        <v>71</v>
      </c>
      <c r="B83" s="22" t="n">
        <v>0.0461080146459461</v>
      </c>
      <c r="C83" s="22" t="n">
        <v>0.290323713087632</v>
      </c>
      <c r="D83" s="23" t="n">
        <f aca="false">BETAINV(C83,Test1_Hand!$B$21,Test1_Hand!$B$22,Test1_Hand!$B$9,Test1_Hand!$B$11)</f>
        <v>2.65633380232552</v>
      </c>
      <c r="E83" s="2" t="n">
        <f aca="false">IF(B83&lt;Test1_Hand!$B$12,1,0)</f>
        <v>1</v>
      </c>
      <c r="F83" s="23" t="n">
        <f aca="false">Test1_Hand!$B$4+E83*D83</f>
        <v>18.6563338023255</v>
      </c>
      <c r="G83" s="24" t="n">
        <f aca="false">Test1_Hand!$B$6*E83*D83+Test1_Hand!$B$7*MAX(0,F83-Test1_Hand!$B$5)</f>
        <v>21250.6704186041</v>
      </c>
      <c r="H83" s="2" t="n">
        <f aca="false">IF(B83&lt;Test1_Hand!$B$13,1,0)</f>
        <v>1</v>
      </c>
      <c r="I83" s="23" t="n">
        <f aca="false">Test1_Hand!$B$4+H83*D83</f>
        <v>18.6563338023255</v>
      </c>
      <c r="J83" s="24" t="n">
        <f aca="false">Test1_Hand!$B$6*H83*D83+Test1_Hand!$B$7*MAX(0,I83-Test1_Hand!$B$5)+Test1_Hand!$B$14</f>
        <v>27250.6704186041</v>
      </c>
    </row>
    <row r="84" customFormat="false" ht="15" hidden="false" customHeight="false" outlineLevel="0" collapsed="false">
      <c r="A84" s="2" t="n">
        <v>72</v>
      </c>
      <c r="B84" s="22" t="n">
        <v>0.86239109768908</v>
      </c>
      <c r="C84" s="22" t="n">
        <v>0.600847834040765</v>
      </c>
      <c r="D84" s="23" t="n">
        <f aca="false">BETAINV(C84,Test1_Hand!$B$21,Test1_Hand!$B$22,Test1_Hand!$B$9,Test1_Hand!$B$11)</f>
        <v>3.75028410756181</v>
      </c>
      <c r="E84" s="2" t="n">
        <f aca="false">IF(B84&lt;Test1_Hand!$B$12,1,0)</f>
        <v>0</v>
      </c>
      <c r="F84" s="23" t="n">
        <f aca="false">Test1_Hand!$B$4+E84*D84</f>
        <v>16</v>
      </c>
      <c r="G84" s="24" t="n">
        <f aca="false">Test1_Hand!$B$6*E84*D84+Test1_Hand!$B$7*MAX(0,F84-Test1_Hand!$B$5)</f>
        <v>0</v>
      </c>
      <c r="H84" s="2" t="n">
        <f aca="false">IF(B84&lt;Test1_Hand!$B$13,1,0)</f>
        <v>0</v>
      </c>
      <c r="I84" s="23" t="n">
        <f aca="false">Test1_Hand!$B$4+H84*D84</f>
        <v>16</v>
      </c>
      <c r="J84" s="24" t="n">
        <f aca="false">Test1_Hand!$B$6*H84*D84+Test1_Hand!$B$7*MAX(0,I84-Test1_Hand!$B$5)+Test1_Hand!$B$14</f>
        <v>6000</v>
      </c>
    </row>
    <row r="85" customFormat="false" ht="15" hidden="false" customHeight="false" outlineLevel="0" collapsed="false">
      <c r="A85" s="2" t="n">
        <v>73</v>
      </c>
      <c r="B85" s="22" t="n">
        <v>0.344257958485091</v>
      </c>
      <c r="C85" s="22" t="n">
        <v>0.0556025767889454</v>
      </c>
      <c r="D85" s="23" t="n">
        <f aca="false">BETAINV(C85,Test1_Hand!$B$21,Test1_Hand!$B$22,Test1_Hand!$B$9,Test1_Hand!$B$11)</f>
        <v>1.66536891738586</v>
      </c>
      <c r="E85" s="2" t="n">
        <f aca="false">IF(B85&lt;Test1_Hand!$B$12,1,0)</f>
        <v>1</v>
      </c>
      <c r="F85" s="23" t="n">
        <f aca="false">Test1_Hand!$B$4+E85*D85</f>
        <v>17.6653689173859</v>
      </c>
      <c r="G85" s="24" t="n">
        <f aca="false">Test1_Hand!$B$6*E85*D85+Test1_Hand!$B$7*MAX(0,F85-Test1_Hand!$B$5)</f>
        <v>13322.9513390869</v>
      </c>
      <c r="H85" s="2" t="n">
        <f aca="false">IF(B85&lt;Test1_Hand!$B$13,1,0)</f>
        <v>0</v>
      </c>
      <c r="I85" s="23" t="n">
        <f aca="false">Test1_Hand!$B$4+H85*D85</f>
        <v>16</v>
      </c>
      <c r="J85" s="24" t="n">
        <f aca="false">Test1_Hand!$B$6*H85*D85+Test1_Hand!$B$7*MAX(0,I85-Test1_Hand!$B$5)+Test1_Hand!$B$14</f>
        <v>6000</v>
      </c>
    </row>
    <row r="86" customFormat="false" ht="15" hidden="false" customHeight="false" outlineLevel="0" collapsed="false">
      <c r="A86" s="2" t="n">
        <v>74</v>
      </c>
      <c r="B86" s="22" t="n">
        <v>0.762872669982098</v>
      </c>
      <c r="C86" s="22" t="n">
        <v>0.00151878773905478</v>
      </c>
      <c r="D86" s="23" t="n">
        <f aca="false">BETAINV(C86,Test1_Hand!$B$21,Test1_Hand!$B$22,Test1_Hand!$B$9,Test1_Hand!$B$11)</f>
        <v>1.1151865219074</v>
      </c>
      <c r="E86" s="2" t="n">
        <f aca="false">IF(B86&lt;Test1_Hand!$B$12,1,0)</f>
        <v>0</v>
      </c>
      <c r="F86" s="23" t="n">
        <f aca="false">Test1_Hand!$B$4+E86*D86</f>
        <v>16</v>
      </c>
      <c r="G86" s="24" t="n">
        <f aca="false">Test1_Hand!$B$6*E86*D86+Test1_Hand!$B$7*MAX(0,F86-Test1_Hand!$B$5)</f>
        <v>0</v>
      </c>
      <c r="H86" s="2" t="n">
        <f aca="false">IF(B86&lt;Test1_Hand!$B$13,1,0)</f>
        <v>0</v>
      </c>
      <c r="I86" s="23" t="n">
        <f aca="false">Test1_Hand!$B$4+H86*D86</f>
        <v>16</v>
      </c>
      <c r="J86" s="24" t="n">
        <f aca="false">Test1_Hand!$B$6*H86*D86+Test1_Hand!$B$7*MAX(0,I86-Test1_Hand!$B$5)+Test1_Hand!$B$14</f>
        <v>6000</v>
      </c>
    </row>
    <row r="87" customFormat="false" ht="15" hidden="false" customHeight="false" outlineLevel="0" collapsed="false">
      <c r="A87" s="2" t="n">
        <v>75</v>
      </c>
      <c r="B87" s="22" t="n">
        <v>0.092843539239136</v>
      </c>
      <c r="C87" s="22" t="n">
        <v>0.99350415980564</v>
      </c>
      <c r="D87" s="23" t="n">
        <f aca="false">BETAINV(C87,Test1_Hand!$B$21,Test1_Hand!$B$22,Test1_Hand!$B$9,Test1_Hand!$B$11)</f>
        <v>6.74058766957383</v>
      </c>
      <c r="E87" s="2" t="n">
        <f aca="false">IF(B87&lt;Test1_Hand!$B$12,1,0)</f>
        <v>1</v>
      </c>
      <c r="F87" s="23" t="n">
        <f aca="false">Test1_Hand!$B$4+E87*D87</f>
        <v>22.7405876695738</v>
      </c>
      <c r="G87" s="24" t="n">
        <f aca="false">Test1_Hand!$B$6*E87*D87+Test1_Hand!$B$7*MAX(0,F87-Test1_Hand!$B$5)</f>
        <v>67627.6397044598</v>
      </c>
      <c r="H87" s="2" t="n">
        <f aca="false">IF(B87&lt;Test1_Hand!$B$13,1,0)</f>
        <v>1</v>
      </c>
      <c r="I87" s="23" t="n">
        <f aca="false">Test1_Hand!$B$4+H87*D87</f>
        <v>22.7405876695738</v>
      </c>
      <c r="J87" s="24" t="n">
        <f aca="false">Test1_Hand!$B$6*H87*D87+Test1_Hand!$B$7*MAX(0,I87-Test1_Hand!$B$5)+Test1_Hand!$B$14</f>
        <v>73627.6397044598</v>
      </c>
    </row>
    <row r="88" customFormat="false" ht="15" hidden="false" customHeight="false" outlineLevel="0" collapsed="false">
      <c r="A88" s="2" t="n">
        <v>76</v>
      </c>
      <c r="B88" s="22" t="n">
        <v>0.776013077228689</v>
      </c>
      <c r="C88" s="22" t="n">
        <v>0.868270862926248</v>
      </c>
      <c r="D88" s="23" t="n">
        <f aca="false">BETAINV(C88,Test1_Hand!$B$21,Test1_Hand!$B$22,Test1_Hand!$B$9,Test1_Hand!$B$11)</f>
        <v>5.0362859871985</v>
      </c>
      <c r="E88" s="2" t="n">
        <f aca="false">IF(B88&lt;Test1_Hand!$B$12,1,0)</f>
        <v>0</v>
      </c>
      <c r="F88" s="23" t="n">
        <f aca="false">Test1_Hand!$B$4+E88*D88</f>
        <v>16</v>
      </c>
      <c r="G88" s="24" t="n">
        <f aca="false">Test1_Hand!$B$6*E88*D88+Test1_Hand!$B$7*MAX(0,F88-Test1_Hand!$B$5)</f>
        <v>0</v>
      </c>
      <c r="H88" s="2" t="n">
        <f aca="false">IF(B88&lt;Test1_Hand!$B$13,1,0)</f>
        <v>0</v>
      </c>
      <c r="I88" s="23" t="n">
        <f aca="false">Test1_Hand!$B$4+H88*D88</f>
        <v>16</v>
      </c>
      <c r="J88" s="24" t="n">
        <f aca="false">Test1_Hand!$B$6*H88*D88+Test1_Hand!$B$7*MAX(0,I88-Test1_Hand!$B$5)+Test1_Hand!$B$14</f>
        <v>6000</v>
      </c>
    </row>
    <row r="89" customFormat="false" ht="15" hidden="false" customHeight="false" outlineLevel="0" collapsed="false">
      <c r="A89" s="2" t="n">
        <v>77</v>
      </c>
      <c r="B89" s="22" t="n">
        <v>0.477158251586728</v>
      </c>
      <c r="C89" s="22" t="n">
        <v>0.168848640422325</v>
      </c>
      <c r="D89" s="23" t="n">
        <f aca="false">BETAINV(C89,Test1_Hand!$B$21,Test1_Hand!$B$22,Test1_Hand!$B$9,Test1_Hand!$B$11)</f>
        <v>2.20469123402752</v>
      </c>
      <c r="E89" s="2" t="n">
        <f aca="false">IF(B89&lt;Test1_Hand!$B$12,1,0)</f>
        <v>1</v>
      </c>
      <c r="F89" s="23" t="n">
        <f aca="false">Test1_Hand!$B$4+E89*D89</f>
        <v>18.2046912340275</v>
      </c>
      <c r="G89" s="24" t="n">
        <f aca="false">Test1_Hand!$B$6*E89*D89+Test1_Hand!$B$7*MAX(0,F89-Test1_Hand!$B$5)</f>
        <v>17637.5298722202</v>
      </c>
      <c r="H89" s="2" t="n">
        <f aca="false">IF(B89&lt;Test1_Hand!$B$13,1,0)</f>
        <v>0</v>
      </c>
      <c r="I89" s="23" t="n">
        <f aca="false">Test1_Hand!$B$4+H89*D89</f>
        <v>16</v>
      </c>
      <c r="J89" s="24" t="n">
        <f aca="false">Test1_Hand!$B$6*H89*D89+Test1_Hand!$B$7*MAX(0,I89-Test1_Hand!$B$5)+Test1_Hand!$B$14</f>
        <v>6000</v>
      </c>
    </row>
    <row r="90" customFormat="false" ht="15" hidden="false" customHeight="false" outlineLevel="0" collapsed="false">
      <c r="A90" s="2" t="n">
        <v>78</v>
      </c>
      <c r="B90" s="22" t="n">
        <v>0.533977321145166</v>
      </c>
      <c r="C90" s="22" t="n">
        <v>0.425831876826553</v>
      </c>
      <c r="D90" s="23" t="n">
        <f aca="false">BETAINV(C90,Test1_Hand!$B$21,Test1_Hand!$B$22,Test1_Hand!$B$9,Test1_Hand!$B$11)</f>
        <v>3.12455167358097</v>
      </c>
      <c r="E90" s="2" t="n">
        <f aca="false">IF(B90&lt;Test1_Hand!$B$12,1,0)</f>
        <v>0</v>
      </c>
      <c r="F90" s="23" t="n">
        <f aca="false">Test1_Hand!$B$4+E90*D90</f>
        <v>16</v>
      </c>
      <c r="G90" s="24" t="n">
        <f aca="false">Test1_Hand!$B$6*E90*D90+Test1_Hand!$B$7*MAX(0,F90-Test1_Hand!$B$5)</f>
        <v>0</v>
      </c>
      <c r="H90" s="2" t="n">
        <f aca="false">IF(B90&lt;Test1_Hand!$B$13,1,0)</f>
        <v>0</v>
      </c>
      <c r="I90" s="23" t="n">
        <f aca="false">Test1_Hand!$B$4+H90*D90</f>
        <v>16</v>
      </c>
      <c r="J90" s="24" t="n">
        <f aca="false">Test1_Hand!$B$6*H90*D90+Test1_Hand!$B$7*MAX(0,I90-Test1_Hand!$B$5)+Test1_Hand!$B$14</f>
        <v>6000</v>
      </c>
    </row>
    <row r="91" customFormat="false" ht="15" hidden="false" customHeight="false" outlineLevel="0" collapsed="false">
      <c r="A91" s="2" t="n">
        <v>79</v>
      </c>
      <c r="B91" s="22" t="n">
        <v>0.163029596605182</v>
      </c>
      <c r="C91" s="22" t="n">
        <v>0.165877571200715</v>
      </c>
      <c r="D91" s="23" t="n">
        <f aca="false">BETAINV(C91,Test1_Hand!$B$21,Test1_Hand!$B$22,Test1_Hand!$B$9,Test1_Hand!$B$11)</f>
        <v>2.19271644745105</v>
      </c>
      <c r="E91" s="2" t="n">
        <f aca="false">IF(B91&lt;Test1_Hand!$B$12,1,0)</f>
        <v>1</v>
      </c>
      <c r="F91" s="23" t="n">
        <f aca="false">Test1_Hand!$B$4+E91*D91</f>
        <v>18.192716447451</v>
      </c>
      <c r="G91" s="24" t="n">
        <f aca="false">Test1_Hand!$B$6*E91*D91+Test1_Hand!$B$7*MAX(0,F91-Test1_Hand!$B$5)</f>
        <v>17541.7315796084</v>
      </c>
      <c r="H91" s="2" t="n">
        <f aca="false">IF(B91&lt;Test1_Hand!$B$13,1,0)</f>
        <v>1</v>
      </c>
      <c r="I91" s="23" t="n">
        <f aca="false">Test1_Hand!$B$4+H91*D91</f>
        <v>18.192716447451</v>
      </c>
      <c r="J91" s="24" t="n">
        <f aca="false">Test1_Hand!$B$6*H91*D91+Test1_Hand!$B$7*MAX(0,I91-Test1_Hand!$B$5)+Test1_Hand!$B$14</f>
        <v>23541.7315796084</v>
      </c>
    </row>
    <row r="92" customFormat="false" ht="15" hidden="false" customHeight="false" outlineLevel="0" collapsed="false">
      <c r="A92" s="2" t="n">
        <v>80</v>
      </c>
      <c r="B92" s="22" t="n">
        <v>0.258150168325822</v>
      </c>
      <c r="C92" s="22" t="n">
        <v>0.943091569865769</v>
      </c>
      <c r="D92" s="23" t="n">
        <f aca="false">BETAINV(C92,Test1_Hand!$B$21,Test1_Hand!$B$22,Test1_Hand!$B$9,Test1_Hand!$B$11)</f>
        <v>5.6891358756516</v>
      </c>
      <c r="E92" s="2" t="n">
        <f aca="false">IF(B92&lt;Test1_Hand!$B$12,1,0)</f>
        <v>1</v>
      </c>
      <c r="F92" s="23" t="n">
        <f aca="false">Test1_Hand!$B$4+E92*D92</f>
        <v>21.6891358756516</v>
      </c>
      <c r="G92" s="24" t="n">
        <f aca="false">Test1_Hand!$B$6*E92*D92+Test1_Hand!$B$7*MAX(0,F92-Test1_Hand!$B$5)</f>
        <v>53958.7663834709</v>
      </c>
      <c r="H92" s="2" t="n">
        <f aca="false">IF(B92&lt;Test1_Hand!$B$13,1,0)</f>
        <v>0</v>
      </c>
      <c r="I92" s="23" t="n">
        <f aca="false">Test1_Hand!$B$4+H92*D92</f>
        <v>16</v>
      </c>
      <c r="J92" s="24" t="n">
        <f aca="false">Test1_Hand!$B$6*H92*D92+Test1_Hand!$B$7*MAX(0,I92-Test1_Hand!$B$5)+Test1_Hand!$B$14</f>
        <v>6000</v>
      </c>
    </row>
    <row r="93" customFormat="false" ht="15" hidden="false" customHeight="false" outlineLevel="0" collapsed="false">
      <c r="A93" s="2" t="n">
        <v>81</v>
      </c>
      <c r="B93" s="22" t="n">
        <v>0.986806941847621</v>
      </c>
      <c r="C93" s="22" t="n">
        <v>0.703666414860516</v>
      </c>
      <c r="D93" s="23" t="n">
        <f aca="false">BETAINV(C93,Test1_Hand!$B$21,Test1_Hand!$B$22,Test1_Hand!$B$9,Test1_Hand!$B$11)</f>
        <v>4.16530491220681</v>
      </c>
      <c r="E93" s="2" t="n">
        <f aca="false">IF(B93&lt;Test1_Hand!$B$12,1,0)</f>
        <v>0</v>
      </c>
      <c r="F93" s="23" t="n">
        <f aca="false">Test1_Hand!$B$4+E93*D93</f>
        <v>16</v>
      </c>
      <c r="G93" s="24" t="n">
        <f aca="false">Test1_Hand!$B$6*E93*D93+Test1_Hand!$B$7*MAX(0,F93-Test1_Hand!$B$5)</f>
        <v>0</v>
      </c>
      <c r="H93" s="2" t="n">
        <f aca="false">IF(B93&lt;Test1_Hand!$B$13,1,0)</f>
        <v>0</v>
      </c>
      <c r="I93" s="23" t="n">
        <f aca="false">Test1_Hand!$B$4+H93*D93</f>
        <v>16</v>
      </c>
      <c r="J93" s="24" t="n">
        <f aca="false">Test1_Hand!$B$6*H93*D93+Test1_Hand!$B$7*MAX(0,I93-Test1_Hand!$B$5)+Test1_Hand!$B$14</f>
        <v>6000</v>
      </c>
    </row>
    <row r="94" customFormat="false" ht="15" hidden="false" customHeight="false" outlineLevel="0" collapsed="false">
      <c r="A94" s="2" t="n">
        <v>82</v>
      </c>
      <c r="B94" s="22" t="n">
        <v>0.723157413370952</v>
      </c>
      <c r="C94" s="22" t="n">
        <v>0.732497807242168</v>
      </c>
      <c r="D94" s="23" t="n">
        <f aca="false">BETAINV(C94,Test1_Hand!$B$21,Test1_Hand!$B$22,Test1_Hand!$B$9,Test1_Hand!$B$11)</f>
        <v>4.29353267264721</v>
      </c>
      <c r="E94" s="2" t="n">
        <f aca="false">IF(B94&lt;Test1_Hand!$B$12,1,0)</f>
        <v>0</v>
      </c>
      <c r="F94" s="23" t="n">
        <f aca="false">Test1_Hand!$B$4+E94*D94</f>
        <v>16</v>
      </c>
      <c r="G94" s="24" t="n">
        <f aca="false">Test1_Hand!$B$6*E94*D94+Test1_Hand!$B$7*MAX(0,F94-Test1_Hand!$B$5)</f>
        <v>0</v>
      </c>
      <c r="H94" s="2" t="n">
        <f aca="false">IF(B94&lt;Test1_Hand!$B$13,1,0)</f>
        <v>0</v>
      </c>
      <c r="I94" s="23" t="n">
        <f aca="false">Test1_Hand!$B$4+H94*D94</f>
        <v>16</v>
      </c>
      <c r="J94" s="24" t="n">
        <f aca="false">Test1_Hand!$B$6*H94*D94+Test1_Hand!$B$7*MAX(0,I94-Test1_Hand!$B$5)+Test1_Hand!$B$14</f>
        <v>6000</v>
      </c>
    </row>
    <row r="95" customFormat="false" ht="15" hidden="false" customHeight="false" outlineLevel="0" collapsed="false">
      <c r="A95" s="2" t="n">
        <v>83</v>
      </c>
      <c r="B95" s="22" t="n">
        <v>0.517395518514555</v>
      </c>
      <c r="C95" s="22" t="n">
        <v>0.177426308255368</v>
      </c>
      <c r="D95" s="23" t="n">
        <f aca="false">BETAINV(C95,Test1_Hand!$B$21,Test1_Hand!$B$22,Test1_Hand!$B$9,Test1_Hand!$B$11)</f>
        <v>2.23890605914435</v>
      </c>
      <c r="E95" s="2" t="n">
        <f aca="false">IF(B95&lt;Test1_Hand!$B$12,1,0)</f>
        <v>0</v>
      </c>
      <c r="F95" s="23" t="n">
        <f aca="false">Test1_Hand!$B$4+E95*D95</f>
        <v>16</v>
      </c>
      <c r="G95" s="24" t="n">
        <f aca="false">Test1_Hand!$B$6*E95*D95+Test1_Hand!$B$7*MAX(0,F95-Test1_Hand!$B$5)</f>
        <v>0</v>
      </c>
      <c r="H95" s="2" t="n">
        <f aca="false">IF(B95&lt;Test1_Hand!$B$13,1,0)</f>
        <v>0</v>
      </c>
      <c r="I95" s="23" t="n">
        <f aca="false">Test1_Hand!$B$4+H95*D95</f>
        <v>16</v>
      </c>
      <c r="J95" s="24" t="n">
        <f aca="false">Test1_Hand!$B$6*H95*D95+Test1_Hand!$B$7*MAX(0,I95-Test1_Hand!$B$5)+Test1_Hand!$B$14</f>
        <v>6000</v>
      </c>
    </row>
    <row r="96" customFormat="false" ht="15" hidden="false" customHeight="false" outlineLevel="0" collapsed="false">
      <c r="A96" s="2" t="n">
        <v>84</v>
      </c>
      <c r="B96" s="22" t="n">
        <v>0.877646206927569</v>
      </c>
      <c r="C96" s="22" t="n">
        <v>0.880390355749589</v>
      </c>
      <c r="D96" s="23" t="n">
        <f aca="false">BETAINV(C96,Test1_Hand!$B$21,Test1_Hand!$B$22,Test1_Hand!$B$9,Test1_Hand!$B$11)</f>
        <v>5.12187982606976</v>
      </c>
      <c r="E96" s="2" t="n">
        <f aca="false">IF(B96&lt;Test1_Hand!$B$12,1,0)</f>
        <v>0</v>
      </c>
      <c r="F96" s="23" t="n">
        <f aca="false">Test1_Hand!$B$4+E96*D96</f>
        <v>16</v>
      </c>
      <c r="G96" s="24" t="n">
        <f aca="false">Test1_Hand!$B$6*E96*D96+Test1_Hand!$B$7*MAX(0,F96-Test1_Hand!$B$5)</f>
        <v>0</v>
      </c>
      <c r="H96" s="2" t="n">
        <f aca="false">IF(B96&lt;Test1_Hand!$B$13,1,0)</f>
        <v>0</v>
      </c>
      <c r="I96" s="23" t="n">
        <f aca="false">Test1_Hand!$B$4+H96*D96</f>
        <v>16</v>
      </c>
      <c r="J96" s="24" t="n">
        <f aca="false">Test1_Hand!$B$6*H96*D96+Test1_Hand!$B$7*MAX(0,I96-Test1_Hand!$B$5)+Test1_Hand!$B$14</f>
        <v>6000</v>
      </c>
    </row>
    <row r="97" customFormat="false" ht="15" hidden="false" customHeight="false" outlineLevel="0" collapsed="false">
      <c r="A97" s="2" t="n">
        <v>85</v>
      </c>
      <c r="B97" s="22" t="n">
        <v>0.709534552789582</v>
      </c>
      <c r="C97" s="22" t="n">
        <v>0.933428807157086</v>
      </c>
      <c r="D97" s="23" t="n">
        <f aca="false">BETAINV(C97,Test1_Hand!$B$21,Test1_Hand!$B$22,Test1_Hand!$B$9,Test1_Hand!$B$11)</f>
        <v>5.58132965159022</v>
      </c>
      <c r="E97" s="2" t="n">
        <f aca="false">IF(B97&lt;Test1_Hand!$B$12,1,0)</f>
        <v>0</v>
      </c>
      <c r="F97" s="23" t="n">
        <f aca="false">Test1_Hand!$B$4+E97*D97</f>
        <v>16</v>
      </c>
      <c r="G97" s="24" t="n">
        <f aca="false">Test1_Hand!$B$6*E97*D97+Test1_Hand!$B$7*MAX(0,F97-Test1_Hand!$B$5)</f>
        <v>0</v>
      </c>
      <c r="H97" s="2" t="n">
        <f aca="false">IF(B97&lt;Test1_Hand!$B$13,1,0)</f>
        <v>0</v>
      </c>
      <c r="I97" s="23" t="n">
        <f aca="false">Test1_Hand!$B$4+H97*D97</f>
        <v>16</v>
      </c>
      <c r="J97" s="24" t="n">
        <f aca="false">Test1_Hand!$B$6*H97*D97+Test1_Hand!$B$7*MAX(0,I97-Test1_Hand!$B$5)+Test1_Hand!$B$14</f>
        <v>6000</v>
      </c>
    </row>
    <row r="98" customFormat="false" ht="15" hidden="false" customHeight="false" outlineLevel="0" collapsed="false">
      <c r="A98" s="2" t="n">
        <v>86</v>
      </c>
      <c r="B98" s="22" t="n">
        <v>0.979998160399424</v>
      </c>
      <c r="C98" s="22" t="n">
        <v>0.503475782132114</v>
      </c>
      <c r="D98" s="23" t="n">
        <f aca="false">BETAINV(C98,Test1_Hand!$B$21,Test1_Hand!$B$22,Test1_Hand!$B$9,Test1_Hand!$B$11)</f>
        <v>3.39486417920988</v>
      </c>
      <c r="E98" s="2" t="n">
        <f aca="false">IF(B98&lt;Test1_Hand!$B$12,1,0)</f>
        <v>0</v>
      </c>
      <c r="F98" s="23" t="n">
        <f aca="false">Test1_Hand!$B$4+E98*D98</f>
        <v>16</v>
      </c>
      <c r="G98" s="24" t="n">
        <f aca="false">Test1_Hand!$B$6*E98*D98+Test1_Hand!$B$7*MAX(0,F98-Test1_Hand!$B$5)</f>
        <v>0</v>
      </c>
      <c r="H98" s="2" t="n">
        <f aca="false">IF(B98&lt;Test1_Hand!$B$13,1,0)</f>
        <v>0</v>
      </c>
      <c r="I98" s="23" t="n">
        <f aca="false">Test1_Hand!$B$4+H98*D98</f>
        <v>16</v>
      </c>
      <c r="J98" s="24" t="n">
        <f aca="false">Test1_Hand!$B$6*H98*D98+Test1_Hand!$B$7*MAX(0,I98-Test1_Hand!$B$5)+Test1_Hand!$B$14</f>
        <v>6000</v>
      </c>
    </row>
    <row r="99" customFormat="false" ht="15" hidden="false" customHeight="false" outlineLevel="0" collapsed="false">
      <c r="A99" s="2" t="n">
        <v>87</v>
      </c>
      <c r="B99" s="22" t="n">
        <v>0.757569506958494</v>
      </c>
      <c r="C99" s="22" t="n">
        <v>0.616618523439051</v>
      </c>
      <c r="D99" s="23" t="n">
        <f aca="false">BETAINV(C99,Test1_Hand!$B$21,Test1_Hand!$B$22,Test1_Hand!$B$9,Test1_Hand!$B$11)</f>
        <v>3.81062922771288</v>
      </c>
      <c r="E99" s="2" t="n">
        <f aca="false">IF(B99&lt;Test1_Hand!$B$12,1,0)</f>
        <v>0</v>
      </c>
      <c r="F99" s="23" t="n">
        <f aca="false">Test1_Hand!$B$4+E99*D99</f>
        <v>16</v>
      </c>
      <c r="G99" s="24" t="n">
        <f aca="false">Test1_Hand!$B$6*E99*D99+Test1_Hand!$B$7*MAX(0,F99-Test1_Hand!$B$5)</f>
        <v>0</v>
      </c>
      <c r="H99" s="2" t="n">
        <f aca="false">IF(B99&lt;Test1_Hand!$B$13,1,0)</f>
        <v>0</v>
      </c>
      <c r="I99" s="23" t="n">
        <f aca="false">Test1_Hand!$B$4+H99*D99</f>
        <v>16</v>
      </c>
      <c r="J99" s="24" t="n">
        <f aca="false">Test1_Hand!$B$6*H99*D99+Test1_Hand!$B$7*MAX(0,I99-Test1_Hand!$B$5)+Test1_Hand!$B$14</f>
        <v>6000</v>
      </c>
    </row>
    <row r="100" customFormat="false" ht="15" hidden="false" customHeight="false" outlineLevel="0" collapsed="false">
      <c r="A100" s="2" t="n">
        <v>88</v>
      </c>
      <c r="B100" s="22" t="n">
        <v>0.114889068210524</v>
      </c>
      <c r="C100" s="22" t="n">
        <v>0.315988480123631</v>
      </c>
      <c r="D100" s="23" t="n">
        <f aca="false">BETAINV(C100,Test1_Hand!$B$21,Test1_Hand!$B$22,Test1_Hand!$B$9,Test1_Hand!$B$11)</f>
        <v>2.74616253416452</v>
      </c>
      <c r="E100" s="2" t="n">
        <f aca="false">IF(B100&lt;Test1_Hand!$B$12,1,0)</f>
        <v>1</v>
      </c>
      <c r="F100" s="23" t="n">
        <f aca="false">Test1_Hand!$B$4+E100*D100</f>
        <v>18.7461625341645</v>
      </c>
      <c r="G100" s="24" t="n">
        <f aca="false">Test1_Hand!$B$6*E100*D100+Test1_Hand!$B$7*MAX(0,F100-Test1_Hand!$B$5)</f>
        <v>21969.3002733162</v>
      </c>
      <c r="H100" s="2" t="n">
        <f aca="false">IF(B100&lt;Test1_Hand!$B$13,1,0)</f>
        <v>1</v>
      </c>
      <c r="I100" s="23" t="n">
        <f aca="false">Test1_Hand!$B$4+H100*D100</f>
        <v>18.7461625341645</v>
      </c>
      <c r="J100" s="24" t="n">
        <f aca="false">Test1_Hand!$B$6*H100*D100+Test1_Hand!$B$7*MAX(0,I100-Test1_Hand!$B$5)+Test1_Hand!$B$14</f>
        <v>27969.3002733162</v>
      </c>
    </row>
    <row r="101" customFormat="false" ht="15" hidden="false" customHeight="false" outlineLevel="0" collapsed="false">
      <c r="A101" s="2" t="n">
        <v>89</v>
      </c>
      <c r="B101" s="22" t="n">
        <v>0.0677338975298976</v>
      </c>
      <c r="C101" s="22" t="n">
        <v>0.886871178111227</v>
      </c>
      <c r="D101" s="23" t="n">
        <f aca="false">BETAINV(C101,Test1_Hand!$B$21,Test1_Hand!$B$22,Test1_Hand!$B$9,Test1_Hand!$B$11)</f>
        <v>5.1698795118519</v>
      </c>
      <c r="E101" s="2" t="n">
        <f aca="false">IF(B101&lt;Test1_Hand!$B$12,1,0)</f>
        <v>1</v>
      </c>
      <c r="F101" s="23" t="n">
        <f aca="false">Test1_Hand!$B$4+E101*D101</f>
        <v>21.1698795118519</v>
      </c>
      <c r="G101" s="24" t="n">
        <f aca="false">Test1_Hand!$B$6*E101*D101+Test1_Hand!$B$7*MAX(0,F101-Test1_Hand!$B$5)</f>
        <v>47208.4336540747</v>
      </c>
      <c r="H101" s="2" t="n">
        <f aca="false">IF(B101&lt;Test1_Hand!$B$13,1,0)</f>
        <v>1</v>
      </c>
      <c r="I101" s="23" t="n">
        <f aca="false">Test1_Hand!$B$4+H101*D101</f>
        <v>21.1698795118519</v>
      </c>
      <c r="J101" s="24" t="n">
        <f aca="false">Test1_Hand!$B$6*H101*D101+Test1_Hand!$B$7*MAX(0,I101-Test1_Hand!$B$5)+Test1_Hand!$B$14</f>
        <v>53208.4336540747</v>
      </c>
    </row>
    <row r="102" customFormat="false" ht="15" hidden="false" customHeight="false" outlineLevel="0" collapsed="false">
      <c r="A102" s="2" t="n">
        <v>90</v>
      </c>
      <c r="B102" s="22" t="n">
        <v>0.0220703988749191</v>
      </c>
      <c r="C102" s="22" t="n">
        <v>0.537286703404405</v>
      </c>
      <c r="D102" s="23" t="n">
        <f aca="false">BETAINV(C102,Test1_Hand!$B$21,Test1_Hand!$B$22,Test1_Hand!$B$9,Test1_Hand!$B$11)</f>
        <v>3.51551162556167</v>
      </c>
      <c r="E102" s="2" t="n">
        <f aca="false">IF(B102&lt;Test1_Hand!$B$12,1,0)</f>
        <v>1</v>
      </c>
      <c r="F102" s="23" t="n">
        <f aca="false">Test1_Hand!$B$4+E102*D102</f>
        <v>19.5155116255617</v>
      </c>
      <c r="G102" s="24" t="n">
        <f aca="false">Test1_Hand!$B$6*E102*D102+Test1_Hand!$B$7*MAX(0,F102-Test1_Hand!$B$5)</f>
        <v>28124.0930044933</v>
      </c>
      <c r="H102" s="2" t="n">
        <f aca="false">IF(B102&lt;Test1_Hand!$B$13,1,0)</f>
        <v>1</v>
      </c>
      <c r="I102" s="23" t="n">
        <f aca="false">Test1_Hand!$B$4+H102*D102</f>
        <v>19.5155116255617</v>
      </c>
      <c r="J102" s="24" t="n">
        <f aca="false">Test1_Hand!$B$6*H102*D102+Test1_Hand!$B$7*MAX(0,I102-Test1_Hand!$B$5)+Test1_Hand!$B$14</f>
        <v>34124.0930044933</v>
      </c>
    </row>
    <row r="103" customFormat="false" ht="15" hidden="false" customHeight="false" outlineLevel="0" collapsed="false">
      <c r="A103" s="2" t="n">
        <v>91</v>
      </c>
      <c r="B103" s="22" t="n">
        <v>0.17761210649073</v>
      </c>
      <c r="C103" s="22" t="n">
        <v>0.146994909364657</v>
      </c>
      <c r="D103" s="23" t="n">
        <f aca="false">BETAINV(C103,Test1_Hand!$B$21,Test1_Hand!$B$22,Test1_Hand!$B$9,Test1_Hand!$B$11)</f>
        <v>2.11493627014166</v>
      </c>
      <c r="E103" s="2" t="n">
        <f aca="false">IF(B103&lt;Test1_Hand!$B$12,1,0)</f>
        <v>1</v>
      </c>
      <c r="F103" s="23" t="n">
        <f aca="false">Test1_Hand!$B$4+E103*D103</f>
        <v>18.1149362701417</v>
      </c>
      <c r="G103" s="24" t="n">
        <f aca="false">Test1_Hand!$B$6*E103*D103+Test1_Hand!$B$7*MAX(0,F103-Test1_Hand!$B$5)</f>
        <v>16919.4901611333</v>
      </c>
      <c r="H103" s="2" t="n">
        <f aca="false">IF(B103&lt;Test1_Hand!$B$13,1,0)</f>
        <v>1</v>
      </c>
      <c r="I103" s="23" t="n">
        <f aca="false">Test1_Hand!$B$4+H103*D103</f>
        <v>18.1149362701417</v>
      </c>
      <c r="J103" s="24" t="n">
        <f aca="false">Test1_Hand!$B$6*H103*D103+Test1_Hand!$B$7*MAX(0,I103-Test1_Hand!$B$5)+Test1_Hand!$B$14</f>
        <v>22919.4901611333</v>
      </c>
    </row>
    <row r="104" customFormat="false" ht="15" hidden="false" customHeight="false" outlineLevel="0" collapsed="false">
      <c r="A104" s="2" t="n">
        <v>92</v>
      </c>
      <c r="B104" s="22" t="n">
        <v>0.16584448006485</v>
      </c>
      <c r="C104" s="22" t="n">
        <v>0.876953978908901</v>
      </c>
      <c r="D104" s="23" t="n">
        <f aca="false">BETAINV(C104,Test1_Hand!$B$21,Test1_Hand!$B$22,Test1_Hand!$B$9,Test1_Hand!$B$11)</f>
        <v>5.09708475616847</v>
      </c>
      <c r="E104" s="2" t="n">
        <f aca="false">IF(B104&lt;Test1_Hand!$B$12,1,0)</f>
        <v>1</v>
      </c>
      <c r="F104" s="23" t="n">
        <f aca="false">Test1_Hand!$B$4+E104*D104</f>
        <v>21.0970847561685</v>
      </c>
      <c r="G104" s="24" t="n">
        <f aca="false">Test1_Hand!$B$6*E104*D104+Test1_Hand!$B$7*MAX(0,F104-Test1_Hand!$B$5)</f>
        <v>46262.1018301902</v>
      </c>
      <c r="H104" s="2" t="n">
        <f aca="false">IF(B104&lt;Test1_Hand!$B$13,1,0)</f>
        <v>1</v>
      </c>
      <c r="I104" s="23" t="n">
        <f aca="false">Test1_Hand!$B$4+H104*D104</f>
        <v>21.0970847561685</v>
      </c>
      <c r="J104" s="24" t="n">
        <f aca="false">Test1_Hand!$B$6*H104*D104+Test1_Hand!$B$7*MAX(0,I104-Test1_Hand!$B$5)+Test1_Hand!$B$14</f>
        <v>52262.1018301902</v>
      </c>
    </row>
    <row r="105" customFormat="false" ht="15" hidden="false" customHeight="false" outlineLevel="0" collapsed="false">
      <c r="A105" s="2" t="n">
        <v>93</v>
      </c>
      <c r="B105" s="22" t="n">
        <v>0.494470125579058</v>
      </c>
      <c r="C105" s="22" t="n">
        <v>0.34090049533414</v>
      </c>
      <c r="D105" s="23" t="n">
        <f aca="false">BETAINV(C105,Test1_Hand!$B$21,Test1_Hand!$B$22,Test1_Hand!$B$9,Test1_Hand!$B$11)</f>
        <v>2.83250478902912</v>
      </c>
      <c r="E105" s="2" t="n">
        <f aca="false">IF(B105&lt;Test1_Hand!$B$12,1,0)</f>
        <v>1</v>
      </c>
      <c r="F105" s="23" t="n">
        <f aca="false">Test1_Hand!$B$4+E105*D105</f>
        <v>18.8325047890291</v>
      </c>
      <c r="G105" s="24" t="n">
        <f aca="false">Test1_Hand!$B$6*E105*D105+Test1_Hand!$B$7*MAX(0,F105-Test1_Hand!$B$5)</f>
        <v>22660.038312233</v>
      </c>
      <c r="H105" s="2" t="n">
        <f aca="false">IF(B105&lt;Test1_Hand!$B$13,1,0)</f>
        <v>0</v>
      </c>
      <c r="I105" s="23" t="n">
        <f aca="false">Test1_Hand!$B$4+H105*D105</f>
        <v>16</v>
      </c>
      <c r="J105" s="24" t="n">
        <f aca="false">Test1_Hand!$B$6*H105*D105+Test1_Hand!$B$7*MAX(0,I105-Test1_Hand!$B$5)+Test1_Hand!$B$14</f>
        <v>6000</v>
      </c>
    </row>
    <row r="106" customFormat="false" ht="15" hidden="false" customHeight="false" outlineLevel="0" collapsed="false">
      <c r="A106" s="2" t="n">
        <v>94</v>
      </c>
      <c r="B106" s="22" t="n">
        <v>0.999209825881739</v>
      </c>
      <c r="C106" s="22" t="n">
        <v>0.545974895751599</v>
      </c>
      <c r="D106" s="23" t="n">
        <f aca="false">BETAINV(C106,Test1_Hand!$B$21,Test1_Hand!$B$22,Test1_Hand!$B$9,Test1_Hand!$B$11)</f>
        <v>3.54692488478767</v>
      </c>
      <c r="E106" s="2" t="n">
        <f aca="false">IF(B106&lt;Test1_Hand!$B$12,1,0)</f>
        <v>0</v>
      </c>
      <c r="F106" s="23" t="n">
        <f aca="false">Test1_Hand!$B$4+E106*D106</f>
        <v>16</v>
      </c>
      <c r="G106" s="24" t="n">
        <f aca="false">Test1_Hand!$B$6*E106*D106+Test1_Hand!$B$7*MAX(0,F106-Test1_Hand!$B$5)</f>
        <v>0</v>
      </c>
      <c r="H106" s="2" t="n">
        <f aca="false">IF(B106&lt;Test1_Hand!$B$13,1,0)</f>
        <v>0</v>
      </c>
      <c r="I106" s="23" t="n">
        <f aca="false">Test1_Hand!$B$4+H106*D106</f>
        <v>16</v>
      </c>
      <c r="J106" s="24" t="n">
        <f aca="false">Test1_Hand!$B$6*H106*D106+Test1_Hand!$B$7*MAX(0,I106-Test1_Hand!$B$5)+Test1_Hand!$B$14</f>
        <v>6000</v>
      </c>
    </row>
    <row r="107" customFormat="false" ht="15" hidden="false" customHeight="false" outlineLevel="0" collapsed="false">
      <c r="A107" s="2" t="n">
        <v>95</v>
      </c>
      <c r="B107" s="22" t="n">
        <v>0.303331125605378</v>
      </c>
      <c r="C107" s="22" t="n">
        <v>0.370651700839653</v>
      </c>
      <c r="D107" s="23" t="n">
        <f aca="false">BETAINV(C107,Test1_Hand!$B$21,Test1_Hand!$B$22,Test1_Hand!$B$9,Test1_Hand!$B$11)</f>
        <v>2.93495374857002</v>
      </c>
      <c r="E107" s="2" t="n">
        <f aca="false">IF(B107&lt;Test1_Hand!$B$12,1,0)</f>
        <v>1</v>
      </c>
      <c r="F107" s="23" t="n">
        <f aca="false">Test1_Hand!$B$4+E107*D107</f>
        <v>18.93495374857</v>
      </c>
      <c r="G107" s="24" t="n">
        <f aca="false">Test1_Hand!$B$6*E107*D107+Test1_Hand!$B$7*MAX(0,F107-Test1_Hand!$B$5)</f>
        <v>23479.6299885602</v>
      </c>
      <c r="H107" s="2" t="n">
        <f aca="false">IF(B107&lt;Test1_Hand!$B$13,1,0)</f>
        <v>0</v>
      </c>
      <c r="I107" s="23" t="n">
        <f aca="false">Test1_Hand!$B$4+H107*D107</f>
        <v>16</v>
      </c>
      <c r="J107" s="24" t="n">
        <f aca="false">Test1_Hand!$B$6*H107*D107+Test1_Hand!$B$7*MAX(0,I107-Test1_Hand!$B$5)+Test1_Hand!$B$14</f>
        <v>6000</v>
      </c>
    </row>
    <row r="108" customFormat="false" ht="15" hidden="false" customHeight="false" outlineLevel="0" collapsed="false">
      <c r="A108" s="2" t="n">
        <v>96</v>
      </c>
      <c r="B108" s="22" t="n">
        <v>0.695866878053282</v>
      </c>
      <c r="C108" s="22" t="n">
        <v>0.120246568638738</v>
      </c>
      <c r="D108" s="23" t="n">
        <f aca="false">BETAINV(C108,Test1_Hand!$B$21,Test1_Hand!$B$22,Test1_Hand!$B$9,Test1_Hand!$B$11)</f>
        <v>1.99869028487157</v>
      </c>
      <c r="E108" s="2" t="n">
        <f aca="false">IF(B108&lt;Test1_Hand!$B$12,1,0)</f>
        <v>0</v>
      </c>
      <c r="F108" s="23" t="n">
        <f aca="false">Test1_Hand!$B$4+E108*D108</f>
        <v>16</v>
      </c>
      <c r="G108" s="24" t="n">
        <f aca="false">Test1_Hand!$B$6*E108*D108+Test1_Hand!$B$7*MAX(0,F108-Test1_Hand!$B$5)</f>
        <v>0</v>
      </c>
      <c r="H108" s="2" t="n">
        <f aca="false">IF(B108&lt;Test1_Hand!$B$13,1,0)</f>
        <v>0</v>
      </c>
      <c r="I108" s="23" t="n">
        <f aca="false">Test1_Hand!$B$4+H108*D108</f>
        <v>16</v>
      </c>
      <c r="J108" s="24" t="n">
        <f aca="false">Test1_Hand!$B$6*H108*D108+Test1_Hand!$B$7*MAX(0,I108-Test1_Hand!$B$5)+Test1_Hand!$B$14</f>
        <v>6000</v>
      </c>
    </row>
    <row r="109" customFormat="false" ht="15" hidden="false" customHeight="false" outlineLevel="0" collapsed="false">
      <c r="A109" s="2" t="n">
        <v>97</v>
      </c>
      <c r="B109" s="22" t="n">
        <v>0.758221188168765</v>
      </c>
      <c r="C109" s="22" t="n">
        <v>0.883767606848917</v>
      </c>
      <c r="D109" s="23" t="n">
        <f aca="false">BETAINV(C109,Test1_Hand!$B$21,Test1_Hand!$B$22,Test1_Hand!$B$9,Test1_Hand!$B$11)</f>
        <v>5.1466845006806</v>
      </c>
      <c r="E109" s="2" t="n">
        <f aca="false">IF(B109&lt;Test1_Hand!$B$12,1,0)</f>
        <v>0</v>
      </c>
      <c r="F109" s="23" t="n">
        <f aca="false">Test1_Hand!$B$4+E109*D109</f>
        <v>16</v>
      </c>
      <c r="G109" s="24" t="n">
        <f aca="false">Test1_Hand!$B$6*E109*D109+Test1_Hand!$B$7*MAX(0,F109-Test1_Hand!$B$5)</f>
        <v>0</v>
      </c>
      <c r="H109" s="2" t="n">
        <f aca="false">IF(B109&lt;Test1_Hand!$B$13,1,0)</f>
        <v>0</v>
      </c>
      <c r="I109" s="23" t="n">
        <f aca="false">Test1_Hand!$B$4+H109*D109</f>
        <v>16</v>
      </c>
      <c r="J109" s="24" t="n">
        <f aca="false">Test1_Hand!$B$6*H109*D109+Test1_Hand!$B$7*MAX(0,I109-Test1_Hand!$B$5)+Test1_Hand!$B$14</f>
        <v>6000</v>
      </c>
    </row>
    <row r="110" customFormat="false" ht="15" hidden="false" customHeight="false" outlineLevel="0" collapsed="false">
      <c r="A110" s="2" t="n">
        <v>98</v>
      </c>
      <c r="B110" s="22" t="n">
        <v>0.475131144777038</v>
      </c>
      <c r="C110" s="22" t="n">
        <v>0.437304704966232</v>
      </c>
      <c r="D110" s="23" t="n">
        <f aca="false">BETAINV(C110,Test1_Hand!$B$21,Test1_Hand!$B$22,Test1_Hand!$B$9,Test1_Hand!$B$11)</f>
        <v>3.16410288107833</v>
      </c>
      <c r="E110" s="2" t="n">
        <f aca="false">IF(B110&lt;Test1_Hand!$B$12,1,0)</f>
        <v>1</v>
      </c>
      <c r="F110" s="23" t="n">
        <f aca="false">Test1_Hand!$B$4+E110*D110</f>
        <v>19.1641028810783</v>
      </c>
      <c r="G110" s="24" t="n">
        <f aca="false">Test1_Hand!$B$6*E110*D110+Test1_Hand!$B$7*MAX(0,F110-Test1_Hand!$B$5)</f>
        <v>25312.8230486266</v>
      </c>
      <c r="H110" s="2" t="n">
        <f aca="false">IF(B110&lt;Test1_Hand!$B$13,1,0)</f>
        <v>0</v>
      </c>
      <c r="I110" s="23" t="n">
        <f aca="false">Test1_Hand!$B$4+H110*D110</f>
        <v>16</v>
      </c>
      <c r="J110" s="24" t="n">
        <f aca="false">Test1_Hand!$B$6*H110*D110+Test1_Hand!$B$7*MAX(0,I110-Test1_Hand!$B$5)+Test1_Hand!$B$14</f>
        <v>6000</v>
      </c>
    </row>
    <row r="111" customFormat="false" ht="15" hidden="false" customHeight="false" outlineLevel="0" collapsed="false">
      <c r="A111" s="2" t="n">
        <v>99</v>
      </c>
      <c r="B111" s="22" t="n">
        <v>0.143114773268864</v>
      </c>
      <c r="C111" s="22" t="n">
        <v>0.422742258409787</v>
      </c>
      <c r="D111" s="23" t="n">
        <f aca="false">BETAINV(C111,Test1_Hand!$B$21,Test1_Hand!$B$22,Test1_Hand!$B$9,Test1_Hand!$B$11)</f>
        <v>3.1139143837608</v>
      </c>
      <c r="E111" s="2" t="n">
        <f aca="false">IF(B111&lt;Test1_Hand!$B$12,1,0)</f>
        <v>1</v>
      </c>
      <c r="F111" s="23" t="n">
        <f aca="false">Test1_Hand!$B$4+E111*D111</f>
        <v>19.1139143837608</v>
      </c>
      <c r="G111" s="24" t="n">
        <f aca="false">Test1_Hand!$B$6*E111*D111+Test1_Hand!$B$7*MAX(0,F111-Test1_Hand!$B$5)</f>
        <v>24911.3150700864</v>
      </c>
      <c r="H111" s="2" t="n">
        <f aca="false">IF(B111&lt;Test1_Hand!$B$13,1,0)</f>
        <v>1</v>
      </c>
      <c r="I111" s="23" t="n">
        <f aca="false">Test1_Hand!$B$4+H111*D111</f>
        <v>19.1139143837608</v>
      </c>
      <c r="J111" s="24" t="n">
        <f aca="false">Test1_Hand!$B$6*H111*D111+Test1_Hand!$B$7*MAX(0,I111-Test1_Hand!$B$5)+Test1_Hand!$B$14</f>
        <v>30911.3150700864</v>
      </c>
    </row>
    <row r="112" customFormat="false" ht="15" hidden="false" customHeight="false" outlineLevel="0" collapsed="false">
      <c r="A112" s="2" t="n">
        <v>100</v>
      </c>
      <c r="B112" s="22" t="n">
        <v>0.764411694379164</v>
      </c>
      <c r="C112" s="22" t="n">
        <v>0.413983291435903</v>
      </c>
      <c r="D112" s="23" t="n">
        <f aca="false">BETAINV(C112,Test1_Hand!$B$21,Test1_Hand!$B$22,Test1_Hand!$B$9,Test1_Hand!$B$11)</f>
        <v>3.08378361771642</v>
      </c>
      <c r="E112" s="2" t="n">
        <f aca="false">IF(B112&lt;Test1_Hand!$B$12,1,0)</f>
        <v>0</v>
      </c>
      <c r="F112" s="23" t="n">
        <f aca="false">Test1_Hand!$B$4+E112*D112</f>
        <v>16</v>
      </c>
      <c r="G112" s="24" t="n">
        <f aca="false">Test1_Hand!$B$6*E112*D112+Test1_Hand!$B$7*MAX(0,F112-Test1_Hand!$B$5)</f>
        <v>0</v>
      </c>
      <c r="H112" s="2" t="n">
        <f aca="false">IF(B112&lt;Test1_Hand!$B$13,1,0)</f>
        <v>0</v>
      </c>
      <c r="I112" s="23" t="n">
        <f aca="false">Test1_Hand!$B$4+H112*D112</f>
        <v>16</v>
      </c>
      <c r="J112" s="24" t="n">
        <f aca="false">Test1_Hand!$B$6*H112*D112+Test1_Hand!$B$7*MAX(0,I112-Test1_Hand!$B$5)+Test1_Hand!$B$14</f>
        <v>6000</v>
      </c>
    </row>
    <row r="113" customFormat="false" ht="15" hidden="false" customHeight="false" outlineLevel="0" collapsed="false">
      <c r="A113" s="2" t="n">
        <v>101</v>
      </c>
      <c r="B113" s="22" t="n">
        <v>0.619930968640051</v>
      </c>
      <c r="C113" s="22" t="n">
        <v>0.0437794812021196</v>
      </c>
      <c r="D113" s="23" t="n">
        <f aca="false">BETAINV(C113,Test1_Hand!$B$21,Test1_Hand!$B$22,Test1_Hand!$B$9,Test1_Hand!$B$11)</f>
        <v>1.58896323953081</v>
      </c>
      <c r="E113" s="2" t="n">
        <f aca="false">IF(B113&lt;Test1_Hand!$B$12,1,0)</f>
        <v>0</v>
      </c>
      <c r="F113" s="23" t="n">
        <f aca="false">Test1_Hand!$B$4+E113*D113</f>
        <v>16</v>
      </c>
      <c r="G113" s="24" t="n">
        <f aca="false">Test1_Hand!$B$6*E113*D113+Test1_Hand!$B$7*MAX(0,F113-Test1_Hand!$B$5)</f>
        <v>0</v>
      </c>
      <c r="H113" s="2" t="n">
        <f aca="false">IF(B113&lt;Test1_Hand!$B$13,1,0)</f>
        <v>0</v>
      </c>
      <c r="I113" s="23" t="n">
        <f aca="false">Test1_Hand!$B$4+H113*D113</f>
        <v>16</v>
      </c>
      <c r="J113" s="24" t="n">
        <f aca="false">Test1_Hand!$B$6*H113*D113+Test1_Hand!$B$7*MAX(0,I113-Test1_Hand!$B$5)+Test1_Hand!$B$14</f>
        <v>6000</v>
      </c>
    </row>
    <row r="114" customFormat="false" ht="15" hidden="false" customHeight="false" outlineLevel="0" collapsed="false">
      <c r="A114" s="2" t="n">
        <v>102</v>
      </c>
      <c r="B114" s="22" t="n">
        <v>0.219725373757127</v>
      </c>
      <c r="C114" s="22" t="n">
        <v>0.203828714312493</v>
      </c>
      <c r="D114" s="23" t="n">
        <f aca="false">BETAINV(C114,Test1_Hand!$B$21,Test1_Hand!$B$22,Test1_Hand!$B$9,Test1_Hand!$B$11)</f>
        <v>2.3413173196819</v>
      </c>
      <c r="E114" s="2" t="n">
        <f aca="false">IF(B114&lt;Test1_Hand!$B$12,1,0)</f>
        <v>1</v>
      </c>
      <c r="F114" s="23" t="n">
        <f aca="false">Test1_Hand!$B$4+E114*D114</f>
        <v>18.3413173196819</v>
      </c>
      <c r="G114" s="24" t="n">
        <f aca="false">Test1_Hand!$B$6*E114*D114+Test1_Hand!$B$7*MAX(0,F114-Test1_Hand!$B$5)</f>
        <v>18730.5385574552</v>
      </c>
      <c r="H114" s="2" t="n">
        <f aca="false">IF(B114&lt;Test1_Hand!$B$13,1,0)</f>
        <v>0</v>
      </c>
      <c r="I114" s="23" t="n">
        <f aca="false">Test1_Hand!$B$4+H114*D114</f>
        <v>16</v>
      </c>
      <c r="J114" s="24" t="n">
        <f aca="false">Test1_Hand!$B$6*H114*D114+Test1_Hand!$B$7*MAX(0,I114-Test1_Hand!$B$5)+Test1_Hand!$B$14</f>
        <v>6000</v>
      </c>
    </row>
    <row r="115" customFormat="false" ht="15" hidden="false" customHeight="false" outlineLevel="0" collapsed="false">
      <c r="A115" s="2" t="n">
        <v>103</v>
      </c>
      <c r="B115" s="22" t="n">
        <v>0.981173502950803</v>
      </c>
      <c r="C115" s="22" t="n">
        <v>0.0445498818991074</v>
      </c>
      <c r="D115" s="23" t="n">
        <f aca="false">BETAINV(C115,Test1_Hand!$B$21,Test1_Hand!$B$22,Test1_Hand!$B$9,Test1_Hand!$B$11)</f>
        <v>1.59420019897522</v>
      </c>
      <c r="E115" s="2" t="n">
        <f aca="false">IF(B115&lt;Test1_Hand!$B$12,1,0)</f>
        <v>0</v>
      </c>
      <c r="F115" s="23" t="n">
        <f aca="false">Test1_Hand!$B$4+E115*D115</f>
        <v>16</v>
      </c>
      <c r="G115" s="24" t="n">
        <f aca="false">Test1_Hand!$B$6*E115*D115+Test1_Hand!$B$7*MAX(0,F115-Test1_Hand!$B$5)</f>
        <v>0</v>
      </c>
      <c r="H115" s="2" t="n">
        <f aca="false">IF(B115&lt;Test1_Hand!$B$13,1,0)</f>
        <v>0</v>
      </c>
      <c r="I115" s="23" t="n">
        <f aca="false">Test1_Hand!$B$4+H115*D115</f>
        <v>16</v>
      </c>
      <c r="J115" s="24" t="n">
        <f aca="false">Test1_Hand!$B$6*H115*D115+Test1_Hand!$B$7*MAX(0,I115-Test1_Hand!$B$5)+Test1_Hand!$B$14</f>
        <v>6000</v>
      </c>
    </row>
    <row r="116" customFormat="false" ht="15" hidden="false" customHeight="false" outlineLevel="0" collapsed="false">
      <c r="A116" s="2" t="n">
        <v>104</v>
      </c>
      <c r="B116" s="22" t="n">
        <v>0.215318496599624</v>
      </c>
      <c r="C116" s="22" t="n">
        <v>0.0313992339521356</v>
      </c>
      <c r="D116" s="23" t="n">
        <f aca="false">BETAINV(C116,Test1_Hand!$B$21,Test1_Hand!$B$22,Test1_Hand!$B$9,Test1_Hand!$B$11)</f>
        <v>1.4981778656708</v>
      </c>
      <c r="E116" s="2" t="n">
        <f aca="false">IF(B116&lt;Test1_Hand!$B$12,1,0)</f>
        <v>1</v>
      </c>
      <c r="F116" s="23" t="n">
        <f aca="false">Test1_Hand!$B$4+E116*D116</f>
        <v>17.4981778656708</v>
      </c>
      <c r="G116" s="24" t="n">
        <f aca="false">Test1_Hand!$B$6*E116*D116+Test1_Hand!$B$7*MAX(0,F116-Test1_Hand!$B$5)</f>
        <v>11985.4229253664</v>
      </c>
      <c r="H116" s="2" t="n">
        <f aca="false">IF(B116&lt;Test1_Hand!$B$13,1,0)</f>
        <v>0</v>
      </c>
      <c r="I116" s="23" t="n">
        <f aca="false">Test1_Hand!$B$4+H116*D116</f>
        <v>16</v>
      </c>
      <c r="J116" s="24" t="n">
        <f aca="false">Test1_Hand!$B$6*H116*D116+Test1_Hand!$B$7*MAX(0,I116-Test1_Hand!$B$5)+Test1_Hand!$B$14</f>
        <v>6000</v>
      </c>
    </row>
    <row r="117" customFormat="false" ht="15" hidden="false" customHeight="false" outlineLevel="0" collapsed="false">
      <c r="A117" s="2" t="n">
        <v>105</v>
      </c>
      <c r="B117" s="22" t="n">
        <v>0.639535251691324</v>
      </c>
      <c r="C117" s="22" t="n">
        <v>0.653170421798361</v>
      </c>
      <c r="D117" s="23" t="n">
        <f aca="false">BETAINV(C117,Test1_Hand!$B$21,Test1_Hand!$B$22,Test1_Hand!$B$9,Test1_Hand!$B$11)</f>
        <v>3.95459837442599</v>
      </c>
      <c r="E117" s="2" t="n">
        <f aca="false">IF(B117&lt;Test1_Hand!$B$12,1,0)</f>
        <v>0</v>
      </c>
      <c r="F117" s="23" t="n">
        <f aca="false">Test1_Hand!$B$4+E117*D117</f>
        <v>16</v>
      </c>
      <c r="G117" s="24" t="n">
        <f aca="false">Test1_Hand!$B$6*E117*D117+Test1_Hand!$B$7*MAX(0,F117-Test1_Hand!$B$5)</f>
        <v>0</v>
      </c>
      <c r="H117" s="2" t="n">
        <f aca="false">IF(B117&lt;Test1_Hand!$B$13,1,0)</f>
        <v>0</v>
      </c>
      <c r="I117" s="23" t="n">
        <f aca="false">Test1_Hand!$B$4+H117*D117</f>
        <v>16</v>
      </c>
      <c r="J117" s="24" t="n">
        <f aca="false">Test1_Hand!$B$6*H117*D117+Test1_Hand!$B$7*MAX(0,I117-Test1_Hand!$B$5)+Test1_Hand!$B$14</f>
        <v>6000</v>
      </c>
    </row>
    <row r="118" customFormat="false" ht="15" hidden="false" customHeight="false" outlineLevel="0" collapsed="false">
      <c r="A118" s="2" t="n">
        <v>106</v>
      </c>
      <c r="B118" s="22" t="n">
        <v>0.345521501503278</v>
      </c>
      <c r="C118" s="22" t="n">
        <v>0.0363545247331039</v>
      </c>
      <c r="D118" s="23" t="n">
        <f aca="false">BETAINV(C118,Test1_Hand!$B$21,Test1_Hand!$B$22,Test1_Hand!$B$9,Test1_Hand!$B$11)</f>
        <v>1.53618376436623</v>
      </c>
      <c r="E118" s="2" t="n">
        <f aca="false">IF(B118&lt;Test1_Hand!$B$12,1,0)</f>
        <v>1</v>
      </c>
      <c r="F118" s="23" t="n">
        <f aca="false">Test1_Hand!$B$4+E118*D118</f>
        <v>17.5361837643662</v>
      </c>
      <c r="G118" s="24" t="n">
        <f aca="false">Test1_Hand!$B$6*E118*D118+Test1_Hand!$B$7*MAX(0,F118-Test1_Hand!$B$5)</f>
        <v>12289.4701149299</v>
      </c>
      <c r="H118" s="2" t="n">
        <f aca="false">IF(B118&lt;Test1_Hand!$B$13,1,0)</f>
        <v>0</v>
      </c>
      <c r="I118" s="23" t="n">
        <f aca="false">Test1_Hand!$B$4+H118*D118</f>
        <v>16</v>
      </c>
      <c r="J118" s="24" t="n">
        <f aca="false">Test1_Hand!$B$6*H118*D118+Test1_Hand!$B$7*MAX(0,I118-Test1_Hand!$B$5)+Test1_Hand!$B$14</f>
        <v>6000</v>
      </c>
    </row>
    <row r="119" customFormat="false" ht="15" hidden="false" customHeight="false" outlineLevel="0" collapsed="false">
      <c r="A119" s="2" t="n">
        <v>107</v>
      </c>
      <c r="B119" s="22" t="n">
        <v>0.435010444284366</v>
      </c>
      <c r="C119" s="22" t="n">
        <v>0.17132863376663</v>
      </c>
      <c r="D119" s="23" t="n">
        <f aca="false">BETAINV(C119,Test1_Hand!$B$21,Test1_Hand!$B$22,Test1_Hand!$B$9,Test1_Hand!$B$11)</f>
        <v>2.21463690077059</v>
      </c>
      <c r="E119" s="2" t="n">
        <f aca="false">IF(B119&lt;Test1_Hand!$B$12,1,0)</f>
        <v>1</v>
      </c>
      <c r="F119" s="23" t="n">
        <f aca="false">Test1_Hand!$B$4+E119*D119</f>
        <v>18.2146369007706</v>
      </c>
      <c r="G119" s="24" t="n">
        <f aca="false">Test1_Hand!$B$6*E119*D119+Test1_Hand!$B$7*MAX(0,F119-Test1_Hand!$B$5)</f>
        <v>17717.0952061647</v>
      </c>
      <c r="H119" s="2" t="n">
        <f aca="false">IF(B119&lt;Test1_Hand!$B$13,1,0)</f>
        <v>0</v>
      </c>
      <c r="I119" s="23" t="n">
        <f aca="false">Test1_Hand!$B$4+H119*D119</f>
        <v>16</v>
      </c>
      <c r="J119" s="24" t="n">
        <f aca="false">Test1_Hand!$B$6*H119*D119+Test1_Hand!$B$7*MAX(0,I119-Test1_Hand!$B$5)+Test1_Hand!$B$14</f>
        <v>6000</v>
      </c>
    </row>
    <row r="120" customFormat="false" ht="15" hidden="false" customHeight="false" outlineLevel="0" collapsed="false">
      <c r="A120" s="2" t="n">
        <v>108</v>
      </c>
      <c r="B120" s="22" t="n">
        <v>0.426724235515156</v>
      </c>
      <c r="C120" s="22" t="n">
        <v>0.372810252619877</v>
      </c>
      <c r="D120" s="23" t="n">
        <f aca="false">BETAINV(C120,Test1_Hand!$B$21,Test1_Hand!$B$22,Test1_Hand!$B$9,Test1_Hand!$B$11)</f>
        <v>2.9423704740914</v>
      </c>
      <c r="E120" s="2" t="n">
        <f aca="false">IF(B120&lt;Test1_Hand!$B$12,1,0)</f>
        <v>1</v>
      </c>
      <c r="F120" s="23" t="n">
        <f aca="false">Test1_Hand!$B$4+E120*D120</f>
        <v>18.9423704740914</v>
      </c>
      <c r="G120" s="24" t="n">
        <f aca="false">Test1_Hand!$B$6*E120*D120+Test1_Hand!$B$7*MAX(0,F120-Test1_Hand!$B$5)</f>
        <v>23538.9637927312</v>
      </c>
      <c r="H120" s="2" t="n">
        <f aca="false">IF(B120&lt;Test1_Hand!$B$13,1,0)</f>
        <v>0</v>
      </c>
      <c r="I120" s="23" t="n">
        <f aca="false">Test1_Hand!$B$4+H120*D120</f>
        <v>16</v>
      </c>
      <c r="J120" s="24" t="n">
        <f aca="false">Test1_Hand!$B$6*H120*D120+Test1_Hand!$B$7*MAX(0,I120-Test1_Hand!$B$5)+Test1_Hand!$B$14</f>
        <v>6000</v>
      </c>
    </row>
    <row r="121" customFormat="false" ht="15" hidden="false" customHeight="false" outlineLevel="0" collapsed="false">
      <c r="A121" s="2" t="n">
        <v>109</v>
      </c>
      <c r="B121" s="22" t="n">
        <v>0.221086336472714</v>
      </c>
      <c r="C121" s="22" t="n">
        <v>0.84164094498859</v>
      </c>
      <c r="D121" s="23" t="n">
        <f aca="false">BETAINV(C121,Test1_Hand!$B$21,Test1_Hand!$B$22,Test1_Hand!$B$9,Test1_Hand!$B$11)</f>
        <v>4.863845884215</v>
      </c>
      <c r="E121" s="2" t="n">
        <f aca="false">IF(B121&lt;Test1_Hand!$B$12,1,0)</f>
        <v>1</v>
      </c>
      <c r="F121" s="23" t="n">
        <f aca="false">Test1_Hand!$B$4+E121*D121</f>
        <v>20.863845884215</v>
      </c>
      <c r="G121" s="24" t="n">
        <f aca="false">Test1_Hand!$B$6*E121*D121+Test1_Hand!$B$7*MAX(0,F121-Test1_Hand!$B$5)</f>
        <v>43229.996494795</v>
      </c>
      <c r="H121" s="2" t="n">
        <f aca="false">IF(B121&lt;Test1_Hand!$B$13,1,0)</f>
        <v>0</v>
      </c>
      <c r="I121" s="23" t="n">
        <f aca="false">Test1_Hand!$B$4+H121*D121</f>
        <v>16</v>
      </c>
      <c r="J121" s="24" t="n">
        <f aca="false">Test1_Hand!$B$6*H121*D121+Test1_Hand!$B$7*MAX(0,I121-Test1_Hand!$B$5)+Test1_Hand!$B$14</f>
        <v>6000</v>
      </c>
    </row>
    <row r="122" customFormat="false" ht="15" hidden="false" customHeight="false" outlineLevel="0" collapsed="false">
      <c r="A122" s="2" t="n">
        <v>110</v>
      </c>
      <c r="B122" s="22" t="n">
        <v>0.692615049555632</v>
      </c>
      <c r="C122" s="22" t="n">
        <v>0.470645193122769</v>
      </c>
      <c r="D122" s="23" t="n">
        <f aca="false">BETAINV(C122,Test1_Hand!$B$21,Test1_Hand!$B$22,Test1_Hand!$B$9,Test1_Hand!$B$11)</f>
        <v>3.27968222600166</v>
      </c>
      <c r="E122" s="2" t="n">
        <f aca="false">IF(B122&lt;Test1_Hand!$B$12,1,0)</f>
        <v>0</v>
      </c>
      <c r="F122" s="23" t="n">
        <f aca="false">Test1_Hand!$B$4+E122*D122</f>
        <v>16</v>
      </c>
      <c r="G122" s="24" t="n">
        <f aca="false">Test1_Hand!$B$6*E122*D122+Test1_Hand!$B$7*MAX(0,F122-Test1_Hand!$B$5)</f>
        <v>0</v>
      </c>
      <c r="H122" s="2" t="n">
        <f aca="false">IF(B122&lt;Test1_Hand!$B$13,1,0)</f>
        <v>0</v>
      </c>
      <c r="I122" s="23" t="n">
        <f aca="false">Test1_Hand!$B$4+H122*D122</f>
        <v>16</v>
      </c>
      <c r="J122" s="24" t="n">
        <f aca="false">Test1_Hand!$B$6*H122*D122+Test1_Hand!$B$7*MAX(0,I122-Test1_Hand!$B$5)+Test1_Hand!$B$14</f>
        <v>6000</v>
      </c>
    </row>
    <row r="123" customFormat="false" ht="15" hidden="false" customHeight="false" outlineLevel="0" collapsed="false">
      <c r="A123" s="2" t="n">
        <v>111</v>
      </c>
      <c r="B123" s="22" t="n">
        <v>0.39968531310222</v>
      </c>
      <c r="C123" s="22" t="n">
        <v>0.109039886593036</v>
      </c>
      <c r="D123" s="23" t="n">
        <f aca="false">BETAINV(C123,Test1_Hand!$B$21,Test1_Hand!$B$22,Test1_Hand!$B$9,Test1_Hand!$B$11)</f>
        <v>1.9472794930322</v>
      </c>
      <c r="E123" s="2" t="n">
        <f aca="false">IF(B123&lt;Test1_Hand!$B$12,1,0)</f>
        <v>1</v>
      </c>
      <c r="F123" s="23" t="n">
        <f aca="false">Test1_Hand!$B$4+E123*D123</f>
        <v>17.9472794930322</v>
      </c>
      <c r="G123" s="24" t="n">
        <f aca="false">Test1_Hand!$B$6*E123*D123+Test1_Hand!$B$7*MAX(0,F123-Test1_Hand!$B$5)</f>
        <v>15578.2359442576</v>
      </c>
      <c r="H123" s="2" t="n">
        <f aca="false">IF(B123&lt;Test1_Hand!$B$13,1,0)</f>
        <v>0</v>
      </c>
      <c r="I123" s="23" t="n">
        <f aca="false">Test1_Hand!$B$4+H123*D123</f>
        <v>16</v>
      </c>
      <c r="J123" s="24" t="n">
        <f aca="false">Test1_Hand!$B$6*H123*D123+Test1_Hand!$B$7*MAX(0,I123-Test1_Hand!$B$5)+Test1_Hand!$B$14</f>
        <v>6000</v>
      </c>
    </row>
    <row r="124" customFormat="false" ht="15" hidden="false" customHeight="false" outlineLevel="0" collapsed="false">
      <c r="A124" s="2" t="n">
        <v>112</v>
      </c>
      <c r="B124" s="22" t="n">
        <v>0.60303855174262</v>
      </c>
      <c r="C124" s="22" t="n">
        <v>0.504151949030596</v>
      </c>
      <c r="D124" s="23" t="n">
        <f aca="false">BETAINV(C124,Test1_Hand!$B$21,Test1_Hand!$B$22,Test1_Hand!$B$9,Test1_Hand!$B$11)</f>
        <v>3.39725471879664</v>
      </c>
      <c r="E124" s="2" t="n">
        <f aca="false">IF(B124&lt;Test1_Hand!$B$12,1,0)</f>
        <v>0</v>
      </c>
      <c r="F124" s="23" t="n">
        <f aca="false">Test1_Hand!$B$4+E124*D124</f>
        <v>16</v>
      </c>
      <c r="G124" s="24" t="n">
        <f aca="false">Test1_Hand!$B$6*E124*D124+Test1_Hand!$B$7*MAX(0,F124-Test1_Hand!$B$5)</f>
        <v>0</v>
      </c>
      <c r="H124" s="2" t="n">
        <f aca="false">IF(B124&lt;Test1_Hand!$B$13,1,0)</f>
        <v>0</v>
      </c>
      <c r="I124" s="23" t="n">
        <f aca="false">Test1_Hand!$B$4+H124*D124</f>
        <v>16</v>
      </c>
      <c r="J124" s="24" t="n">
        <f aca="false">Test1_Hand!$B$6*H124*D124+Test1_Hand!$B$7*MAX(0,I124-Test1_Hand!$B$5)+Test1_Hand!$B$14</f>
        <v>6000</v>
      </c>
    </row>
    <row r="125" customFormat="false" ht="15" hidden="false" customHeight="false" outlineLevel="0" collapsed="false">
      <c r="A125" s="2" t="n">
        <v>113</v>
      </c>
      <c r="B125" s="22" t="n">
        <v>0.905381065926048</v>
      </c>
      <c r="C125" s="22" t="n">
        <v>0.968909918758077</v>
      </c>
      <c r="D125" s="23" t="n">
        <f aca="false">BETAINV(C125,Test1_Hand!$B$21,Test1_Hand!$B$22,Test1_Hand!$B$9,Test1_Hand!$B$11)</f>
        <v>6.05616772255</v>
      </c>
      <c r="E125" s="2" t="n">
        <f aca="false">IF(B125&lt;Test1_Hand!$B$12,1,0)</f>
        <v>0</v>
      </c>
      <c r="F125" s="23" t="n">
        <f aca="false">Test1_Hand!$B$4+E125*D125</f>
        <v>16</v>
      </c>
      <c r="G125" s="24" t="n">
        <f aca="false">Test1_Hand!$B$6*E125*D125+Test1_Hand!$B$7*MAX(0,F125-Test1_Hand!$B$5)</f>
        <v>0</v>
      </c>
      <c r="H125" s="2" t="n">
        <f aca="false">IF(B125&lt;Test1_Hand!$B$13,1,0)</f>
        <v>0</v>
      </c>
      <c r="I125" s="23" t="n">
        <f aca="false">Test1_Hand!$B$4+H125*D125</f>
        <v>16</v>
      </c>
      <c r="J125" s="24" t="n">
        <f aca="false">Test1_Hand!$B$6*H125*D125+Test1_Hand!$B$7*MAX(0,I125-Test1_Hand!$B$5)+Test1_Hand!$B$14</f>
        <v>6000</v>
      </c>
    </row>
    <row r="126" customFormat="false" ht="15" hidden="false" customHeight="false" outlineLevel="0" collapsed="false">
      <c r="A126" s="2" t="n">
        <v>114</v>
      </c>
      <c r="B126" s="22" t="n">
        <v>0.809595291061026</v>
      </c>
      <c r="C126" s="22" t="n">
        <v>0.866696262264186</v>
      </c>
      <c r="D126" s="23" t="n">
        <f aca="false">BETAINV(C126,Test1_Hand!$B$21,Test1_Hand!$B$22,Test1_Hand!$B$9,Test1_Hand!$B$11)</f>
        <v>5.02552783965198</v>
      </c>
      <c r="E126" s="2" t="n">
        <f aca="false">IF(B126&lt;Test1_Hand!$B$12,1,0)</f>
        <v>0</v>
      </c>
      <c r="F126" s="23" t="n">
        <f aca="false">Test1_Hand!$B$4+E126*D126</f>
        <v>16</v>
      </c>
      <c r="G126" s="24" t="n">
        <f aca="false">Test1_Hand!$B$6*E126*D126+Test1_Hand!$B$7*MAX(0,F126-Test1_Hand!$B$5)</f>
        <v>0</v>
      </c>
      <c r="H126" s="2" t="n">
        <f aca="false">IF(B126&lt;Test1_Hand!$B$13,1,0)</f>
        <v>0</v>
      </c>
      <c r="I126" s="23" t="n">
        <f aca="false">Test1_Hand!$B$4+H126*D126</f>
        <v>16</v>
      </c>
      <c r="J126" s="24" t="n">
        <f aca="false">Test1_Hand!$B$6*H126*D126+Test1_Hand!$B$7*MAX(0,I126-Test1_Hand!$B$5)+Test1_Hand!$B$14</f>
        <v>6000</v>
      </c>
    </row>
    <row r="127" customFormat="false" ht="15" hidden="false" customHeight="false" outlineLevel="0" collapsed="false">
      <c r="A127" s="2" t="n">
        <v>115</v>
      </c>
      <c r="B127" s="22" t="n">
        <v>0.495789726332424</v>
      </c>
      <c r="C127" s="22" t="n">
        <v>0.373782206031387</v>
      </c>
      <c r="D127" s="23" t="n">
        <f aca="false">BETAINV(C127,Test1_Hand!$B$21,Test1_Hand!$B$22,Test1_Hand!$B$9,Test1_Hand!$B$11)</f>
        <v>2.94570964817089</v>
      </c>
      <c r="E127" s="2" t="n">
        <f aca="false">IF(B127&lt;Test1_Hand!$B$12,1,0)</f>
        <v>1</v>
      </c>
      <c r="F127" s="23" t="n">
        <f aca="false">Test1_Hand!$B$4+E127*D127</f>
        <v>18.9457096481709</v>
      </c>
      <c r="G127" s="24" t="n">
        <f aca="false">Test1_Hand!$B$6*E127*D127+Test1_Hand!$B$7*MAX(0,F127-Test1_Hand!$B$5)</f>
        <v>23565.6771853671</v>
      </c>
      <c r="H127" s="2" t="n">
        <f aca="false">IF(B127&lt;Test1_Hand!$B$13,1,0)</f>
        <v>0</v>
      </c>
      <c r="I127" s="23" t="n">
        <f aca="false">Test1_Hand!$B$4+H127*D127</f>
        <v>16</v>
      </c>
      <c r="J127" s="24" t="n">
        <f aca="false">Test1_Hand!$B$6*H127*D127+Test1_Hand!$B$7*MAX(0,I127-Test1_Hand!$B$5)+Test1_Hand!$B$14</f>
        <v>6000</v>
      </c>
    </row>
    <row r="128" customFormat="false" ht="15" hidden="false" customHeight="false" outlineLevel="0" collapsed="false">
      <c r="A128" s="2" t="n">
        <v>116</v>
      </c>
      <c r="B128" s="22" t="n">
        <v>0.478990193762753</v>
      </c>
      <c r="C128" s="22" t="n">
        <v>0.531242575230232</v>
      </c>
      <c r="D128" s="23" t="n">
        <f aca="false">BETAINV(C128,Test1_Hand!$B$21,Test1_Hand!$B$22,Test1_Hand!$B$9,Test1_Hand!$B$11)</f>
        <v>3.49376481515846</v>
      </c>
      <c r="E128" s="2" t="n">
        <f aca="false">IF(B128&lt;Test1_Hand!$B$12,1,0)</f>
        <v>1</v>
      </c>
      <c r="F128" s="23" t="n">
        <f aca="false">Test1_Hand!$B$4+E128*D128</f>
        <v>19.4937648151585</v>
      </c>
      <c r="G128" s="24" t="n">
        <f aca="false">Test1_Hand!$B$6*E128*D128+Test1_Hand!$B$7*MAX(0,F128-Test1_Hand!$B$5)</f>
        <v>27950.1185212677</v>
      </c>
      <c r="H128" s="2" t="n">
        <f aca="false">IF(B128&lt;Test1_Hand!$B$13,1,0)</f>
        <v>0</v>
      </c>
      <c r="I128" s="23" t="n">
        <f aca="false">Test1_Hand!$B$4+H128*D128</f>
        <v>16</v>
      </c>
      <c r="J128" s="24" t="n">
        <f aca="false">Test1_Hand!$B$6*H128*D128+Test1_Hand!$B$7*MAX(0,I128-Test1_Hand!$B$5)+Test1_Hand!$B$14</f>
        <v>6000</v>
      </c>
    </row>
    <row r="129" customFormat="false" ht="15" hidden="false" customHeight="false" outlineLevel="0" collapsed="false">
      <c r="A129" s="2" t="n">
        <v>117</v>
      </c>
      <c r="B129" s="22" t="n">
        <v>0.817696794507486</v>
      </c>
      <c r="C129" s="22" t="n">
        <v>0.151006361258406</v>
      </c>
      <c r="D129" s="23" t="n">
        <f aca="false">BETAINV(C129,Test1_Hand!$B$21,Test1_Hand!$B$22,Test1_Hand!$B$9,Test1_Hand!$B$11)</f>
        <v>2.13171947175898</v>
      </c>
      <c r="E129" s="2" t="n">
        <f aca="false">IF(B129&lt;Test1_Hand!$B$12,1,0)</f>
        <v>0</v>
      </c>
      <c r="F129" s="23" t="n">
        <f aca="false">Test1_Hand!$B$4+E129*D129</f>
        <v>16</v>
      </c>
      <c r="G129" s="24" t="n">
        <f aca="false">Test1_Hand!$B$6*E129*D129+Test1_Hand!$B$7*MAX(0,F129-Test1_Hand!$B$5)</f>
        <v>0</v>
      </c>
      <c r="H129" s="2" t="n">
        <f aca="false">IF(B129&lt;Test1_Hand!$B$13,1,0)</f>
        <v>0</v>
      </c>
      <c r="I129" s="23" t="n">
        <f aca="false">Test1_Hand!$B$4+H129*D129</f>
        <v>16</v>
      </c>
      <c r="J129" s="24" t="n">
        <f aca="false">Test1_Hand!$B$6*H129*D129+Test1_Hand!$B$7*MAX(0,I129-Test1_Hand!$B$5)+Test1_Hand!$B$14</f>
        <v>6000</v>
      </c>
    </row>
    <row r="130" customFormat="false" ht="15" hidden="false" customHeight="false" outlineLevel="0" collapsed="false">
      <c r="A130" s="2" t="n">
        <v>118</v>
      </c>
      <c r="B130" s="22" t="n">
        <v>0.60055889498316</v>
      </c>
      <c r="C130" s="22" t="n">
        <v>0.905989782965099</v>
      </c>
      <c r="D130" s="23" t="n">
        <f aca="false">BETAINV(C130,Test1_Hand!$B$21,Test1_Hand!$B$22,Test1_Hand!$B$9,Test1_Hand!$B$11)</f>
        <v>5.32247088647018</v>
      </c>
      <c r="E130" s="2" t="n">
        <f aca="false">IF(B130&lt;Test1_Hand!$B$12,1,0)</f>
        <v>0</v>
      </c>
      <c r="F130" s="23" t="n">
        <f aca="false">Test1_Hand!$B$4+E130*D130</f>
        <v>16</v>
      </c>
      <c r="G130" s="24" t="n">
        <f aca="false">Test1_Hand!$B$6*E130*D130+Test1_Hand!$B$7*MAX(0,F130-Test1_Hand!$B$5)</f>
        <v>0</v>
      </c>
      <c r="H130" s="2" t="n">
        <f aca="false">IF(B130&lt;Test1_Hand!$B$13,1,0)</f>
        <v>0</v>
      </c>
      <c r="I130" s="23" t="n">
        <f aca="false">Test1_Hand!$B$4+H130*D130</f>
        <v>16</v>
      </c>
      <c r="J130" s="24" t="n">
        <f aca="false">Test1_Hand!$B$6*H130*D130+Test1_Hand!$B$7*MAX(0,I130-Test1_Hand!$B$5)+Test1_Hand!$B$14</f>
        <v>6000</v>
      </c>
    </row>
    <row r="131" customFormat="false" ht="15" hidden="false" customHeight="false" outlineLevel="0" collapsed="false">
      <c r="A131" s="2" t="n">
        <v>119</v>
      </c>
      <c r="B131" s="22" t="n">
        <v>0.222464018372336</v>
      </c>
      <c r="C131" s="22" t="n">
        <v>0.287863254197198</v>
      </c>
      <c r="D131" s="23" t="n">
        <f aca="false">BETAINV(C131,Test1_Hand!$B$21,Test1_Hand!$B$22,Test1_Hand!$B$9,Test1_Hand!$B$11)</f>
        <v>2.64766167611381</v>
      </c>
      <c r="E131" s="2" t="n">
        <f aca="false">IF(B131&lt;Test1_Hand!$B$12,1,0)</f>
        <v>1</v>
      </c>
      <c r="F131" s="23" t="n">
        <f aca="false">Test1_Hand!$B$4+E131*D131</f>
        <v>18.6476616761138</v>
      </c>
      <c r="G131" s="24" t="n">
        <f aca="false">Test1_Hand!$B$6*E131*D131+Test1_Hand!$B$7*MAX(0,F131-Test1_Hand!$B$5)</f>
        <v>21181.2934089104</v>
      </c>
      <c r="H131" s="2" t="n">
        <f aca="false">IF(B131&lt;Test1_Hand!$B$13,1,0)</f>
        <v>0</v>
      </c>
      <c r="I131" s="23" t="n">
        <f aca="false">Test1_Hand!$B$4+H131*D131</f>
        <v>16</v>
      </c>
      <c r="J131" s="24" t="n">
        <f aca="false">Test1_Hand!$B$6*H131*D131+Test1_Hand!$B$7*MAX(0,I131-Test1_Hand!$B$5)+Test1_Hand!$B$14</f>
        <v>6000</v>
      </c>
    </row>
    <row r="132" customFormat="false" ht="15" hidden="false" customHeight="false" outlineLevel="0" collapsed="false">
      <c r="A132" s="2" t="n">
        <v>120</v>
      </c>
      <c r="B132" s="22" t="n">
        <v>0.8422146001754</v>
      </c>
      <c r="C132" s="22" t="n">
        <v>0.651867893693306</v>
      </c>
      <c r="D132" s="23" t="n">
        <f aca="false">BETAINV(C132,Test1_Hand!$B$21,Test1_Hand!$B$22,Test1_Hand!$B$9,Test1_Hand!$B$11)</f>
        <v>3.9493582048985</v>
      </c>
      <c r="E132" s="2" t="n">
        <f aca="false">IF(B132&lt;Test1_Hand!$B$12,1,0)</f>
        <v>0</v>
      </c>
      <c r="F132" s="23" t="n">
        <f aca="false">Test1_Hand!$B$4+E132*D132</f>
        <v>16</v>
      </c>
      <c r="G132" s="24" t="n">
        <f aca="false">Test1_Hand!$B$6*E132*D132+Test1_Hand!$B$7*MAX(0,F132-Test1_Hand!$B$5)</f>
        <v>0</v>
      </c>
      <c r="H132" s="2" t="n">
        <f aca="false">IF(B132&lt;Test1_Hand!$B$13,1,0)</f>
        <v>0</v>
      </c>
      <c r="I132" s="23" t="n">
        <f aca="false">Test1_Hand!$B$4+H132*D132</f>
        <v>16</v>
      </c>
      <c r="J132" s="24" t="n">
        <f aca="false">Test1_Hand!$B$6*H132*D132+Test1_Hand!$B$7*MAX(0,I132-Test1_Hand!$B$5)+Test1_Hand!$B$14</f>
        <v>6000</v>
      </c>
    </row>
    <row r="133" customFormat="false" ht="15" hidden="false" customHeight="false" outlineLevel="0" collapsed="false">
      <c r="A133" s="2" t="n">
        <v>121</v>
      </c>
      <c r="B133" s="22" t="n">
        <v>0.965464942393211</v>
      </c>
      <c r="C133" s="22" t="n">
        <v>0.642083735351384</v>
      </c>
      <c r="D133" s="23" t="n">
        <f aca="false">BETAINV(C133,Test1_Hand!$B$21,Test1_Hand!$B$22,Test1_Hand!$B$9,Test1_Hand!$B$11)</f>
        <v>3.91026938675163</v>
      </c>
      <c r="E133" s="2" t="n">
        <f aca="false">IF(B133&lt;Test1_Hand!$B$12,1,0)</f>
        <v>0</v>
      </c>
      <c r="F133" s="23" t="n">
        <f aca="false">Test1_Hand!$B$4+E133*D133</f>
        <v>16</v>
      </c>
      <c r="G133" s="24" t="n">
        <f aca="false">Test1_Hand!$B$6*E133*D133+Test1_Hand!$B$7*MAX(0,F133-Test1_Hand!$B$5)</f>
        <v>0</v>
      </c>
      <c r="H133" s="2" t="n">
        <f aca="false">IF(B133&lt;Test1_Hand!$B$13,1,0)</f>
        <v>0</v>
      </c>
      <c r="I133" s="23" t="n">
        <f aca="false">Test1_Hand!$B$4+H133*D133</f>
        <v>16</v>
      </c>
      <c r="J133" s="24" t="n">
        <f aca="false">Test1_Hand!$B$6*H133*D133+Test1_Hand!$B$7*MAX(0,I133-Test1_Hand!$B$5)+Test1_Hand!$B$14</f>
        <v>6000</v>
      </c>
    </row>
    <row r="134" customFormat="false" ht="15" hidden="false" customHeight="false" outlineLevel="0" collapsed="false">
      <c r="A134" s="2" t="n">
        <v>122</v>
      </c>
      <c r="B134" s="22" t="n">
        <v>0.949332892557276</v>
      </c>
      <c r="C134" s="22" t="n">
        <v>0.826848385239072</v>
      </c>
      <c r="D134" s="23" t="n">
        <f aca="false">BETAINV(C134,Test1_Hand!$B$21,Test1_Hand!$B$22,Test1_Hand!$B$9,Test1_Hand!$B$11)</f>
        <v>4.77552761016919</v>
      </c>
      <c r="E134" s="2" t="n">
        <f aca="false">IF(B134&lt;Test1_Hand!$B$12,1,0)</f>
        <v>0</v>
      </c>
      <c r="F134" s="23" t="n">
        <f aca="false">Test1_Hand!$B$4+E134*D134</f>
        <v>16</v>
      </c>
      <c r="G134" s="24" t="n">
        <f aca="false">Test1_Hand!$B$6*E134*D134+Test1_Hand!$B$7*MAX(0,F134-Test1_Hand!$B$5)</f>
        <v>0</v>
      </c>
      <c r="H134" s="2" t="n">
        <f aca="false">IF(B134&lt;Test1_Hand!$B$13,1,0)</f>
        <v>0</v>
      </c>
      <c r="I134" s="23" t="n">
        <f aca="false">Test1_Hand!$B$4+H134*D134</f>
        <v>16</v>
      </c>
      <c r="J134" s="24" t="n">
        <f aca="false">Test1_Hand!$B$6*H134*D134+Test1_Hand!$B$7*MAX(0,I134-Test1_Hand!$B$5)+Test1_Hand!$B$14</f>
        <v>6000</v>
      </c>
    </row>
    <row r="135" customFormat="false" ht="15" hidden="false" customHeight="false" outlineLevel="0" collapsed="false">
      <c r="A135" s="2" t="n">
        <v>123</v>
      </c>
      <c r="B135" s="22" t="n">
        <v>0.674667984933636</v>
      </c>
      <c r="C135" s="22" t="n">
        <v>0.18998774860085</v>
      </c>
      <c r="D135" s="23" t="n">
        <f aca="false">BETAINV(C135,Test1_Hand!$B$21,Test1_Hand!$B$22,Test1_Hand!$B$9,Test1_Hand!$B$11)</f>
        <v>2.28813547958172</v>
      </c>
      <c r="E135" s="2" t="n">
        <f aca="false">IF(B135&lt;Test1_Hand!$B$12,1,0)</f>
        <v>0</v>
      </c>
      <c r="F135" s="23" t="n">
        <f aca="false">Test1_Hand!$B$4+E135*D135</f>
        <v>16</v>
      </c>
      <c r="G135" s="24" t="n">
        <f aca="false">Test1_Hand!$B$6*E135*D135+Test1_Hand!$B$7*MAX(0,F135-Test1_Hand!$B$5)</f>
        <v>0</v>
      </c>
      <c r="H135" s="2" t="n">
        <f aca="false">IF(B135&lt;Test1_Hand!$B$13,1,0)</f>
        <v>0</v>
      </c>
      <c r="I135" s="23" t="n">
        <f aca="false">Test1_Hand!$B$4+H135*D135</f>
        <v>16</v>
      </c>
      <c r="J135" s="24" t="n">
        <f aca="false">Test1_Hand!$B$6*H135*D135+Test1_Hand!$B$7*MAX(0,I135-Test1_Hand!$B$5)+Test1_Hand!$B$14</f>
        <v>6000</v>
      </c>
    </row>
    <row r="136" customFormat="false" ht="15" hidden="false" customHeight="false" outlineLevel="0" collapsed="false">
      <c r="A136" s="2" t="n">
        <v>124</v>
      </c>
      <c r="B136" s="22" t="n">
        <v>0.213533186611177</v>
      </c>
      <c r="C136" s="22" t="n">
        <v>0.863029711914087</v>
      </c>
      <c r="D136" s="23" t="n">
        <f aca="false">BETAINV(C136,Test1_Hand!$B$21,Test1_Hand!$B$22,Test1_Hand!$B$9,Test1_Hand!$B$11)</f>
        <v>5.00077545158438</v>
      </c>
      <c r="E136" s="2" t="n">
        <f aca="false">IF(B136&lt;Test1_Hand!$B$12,1,0)</f>
        <v>1</v>
      </c>
      <c r="F136" s="23" t="n">
        <f aca="false">Test1_Hand!$B$4+E136*D136</f>
        <v>21.0007754515844</v>
      </c>
      <c r="G136" s="24" t="n">
        <f aca="false">Test1_Hand!$B$6*E136*D136+Test1_Hand!$B$7*MAX(0,F136-Test1_Hand!$B$5)</f>
        <v>45010.080870597</v>
      </c>
      <c r="H136" s="2" t="n">
        <f aca="false">IF(B136&lt;Test1_Hand!$B$13,1,0)</f>
        <v>0</v>
      </c>
      <c r="I136" s="23" t="n">
        <f aca="false">Test1_Hand!$B$4+H136*D136</f>
        <v>16</v>
      </c>
      <c r="J136" s="24" t="n">
        <f aca="false">Test1_Hand!$B$6*H136*D136+Test1_Hand!$B$7*MAX(0,I136-Test1_Hand!$B$5)+Test1_Hand!$B$14</f>
        <v>6000</v>
      </c>
    </row>
    <row r="137" customFormat="false" ht="15" hidden="false" customHeight="false" outlineLevel="0" collapsed="false">
      <c r="A137" s="2" t="n">
        <v>125</v>
      </c>
      <c r="B137" s="22" t="n">
        <v>0.33392393225282</v>
      </c>
      <c r="C137" s="22" t="n">
        <v>0.686435782526722</v>
      </c>
      <c r="D137" s="23" t="n">
        <f aca="false">BETAINV(C137,Test1_Hand!$B$21,Test1_Hand!$B$22,Test1_Hand!$B$9,Test1_Hand!$B$11)</f>
        <v>4.0916217649216</v>
      </c>
      <c r="E137" s="2" t="n">
        <f aca="false">IF(B137&lt;Test1_Hand!$B$12,1,0)</f>
        <v>1</v>
      </c>
      <c r="F137" s="23" t="n">
        <f aca="false">Test1_Hand!$B$4+E137*D137</f>
        <v>20.0916217649216</v>
      </c>
      <c r="G137" s="24" t="n">
        <f aca="false">Test1_Hand!$B$6*E137*D137+Test1_Hand!$B$7*MAX(0,F137-Test1_Hand!$B$5)</f>
        <v>33191.0829439809</v>
      </c>
      <c r="H137" s="2" t="n">
        <f aca="false">IF(B137&lt;Test1_Hand!$B$13,1,0)</f>
        <v>0</v>
      </c>
      <c r="I137" s="23" t="n">
        <f aca="false">Test1_Hand!$B$4+H137*D137</f>
        <v>16</v>
      </c>
      <c r="J137" s="24" t="n">
        <f aca="false">Test1_Hand!$B$6*H137*D137+Test1_Hand!$B$7*MAX(0,I137-Test1_Hand!$B$5)+Test1_Hand!$B$14</f>
        <v>6000</v>
      </c>
    </row>
    <row r="138" customFormat="false" ht="15" hidden="false" customHeight="false" outlineLevel="0" collapsed="false">
      <c r="A138" s="2" t="n">
        <v>126</v>
      </c>
      <c r="B138" s="22" t="n">
        <v>0.435375718864964</v>
      </c>
      <c r="C138" s="22" t="n">
        <v>0.459348759623222</v>
      </c>
      <c r="D138" s="23" t="n">
        <f aca="false">BETAINV(C138,Test1_Hand!$B$21,Test1_Hand!$B$22,Test1_Hand!$B$9,Test1_Hand!$B$11)</f>
        <v>3.24039316085574</v>
      </c>
      <c r="E138" s="2" t="n">
        <f aca="false">IF(B138&lt;Test1_Hand!$B$12,1,0)</f>
        <v>1</v>
      </c>
      <c r="F138" s="23" t="n">
        <f aca="false">Test1_Hand!$B$4+E138*D138</f>
        <v>19.2403931608557</v>
      </c>
      <c r="G138" s="24" t="n">
        <f aca="false">Test1_Hand!$B$6*E138*D138+Test1_Hand!$B$7*MAX(0,F138-Test1_Hand!$B$5)</f>
        <v>25923.1452868459</v>
      </c>
      <c r="H138" s="2" t="n">
        <f aca="false">IF(B138&lt;Test1_Hand!$B$13,1,0)</f>
        <v>0</v>
      </c>
      <c r="I138" s="23" t="n">
        <f aca="false">Test1_Hand!$B$4+H138*D138</f>
        <v>16</v>
      </c>
      <c r="J138" s="24" t="n">
        <f aca="false">Test1_Hand!$B$6*H138*D138+Test1_Hand!$B$7*MAX(0,I138-Test1_Hand!$B$5)+Test1_Hand!$B$14</f>
        <v>6000</v>
      </c>
    </row>
    <row r="139" customFormat="false" ht="15" hidden="false" customHeight="false" outlineLevel="0" collapsed="false">
      <c r="A139" s="2" t="n">
        <v>127</v>
      </c>
      <c r="B139" s="22" t="n">
        <v>0.0105750400302578</v>
      </c>
      <c r="C139" s="22" t="n">
        <v>0.822322444843155</v>
      </c>
      <c r="D139" s="23" t="n">
        <f aca="false">BETAINV(C139,Test1_Hand!$B$21,Test1_Hand!$B$22,Test1_Hand!$B$9,Test1_Hand!$B$11)</f>
        <v>4.74940116724132</v>
      </c>
      <c r="E139" s="2" t="n">
        <f aca="false">IF(B139&lt;Test1_Hand!$B$12,1,0)</f>
        <v>1</v>
      </c>
      <c r="F139" s="23" t="n">
        <f aca="false">Test1_Hand!$B$4+E139*D139</f>
        <v>20.7494011672413</v>
      </c>
      <c r="G139" s="24" t="n">
        <f aca="false">Test1_Hand!$B$6*E139*D139+Test1_Hand!$B$7*MAX(0,F139-Test1_Hand!$B$5)</f>
        <v>41742.2151741371</v>
      </c>
      <c r="H139" s="2" t="n">
        <f aca="false">IF(B139&lt;Test1_Hand!$B$13,1,0)</f>
        <v>1</v>
      </c>
      <c r="I139" s="23" t="n">
        <f aca="false">Test1_Hand!$B$4+H139*D139</f>
        <v>20.7494011672413</v>
      </c>
      <c r="J139" s="24" t="n">
        <f aca="false">Test1_Hand!$B$6*H139*D139+Test1_Hand!$B$7*MAX(0,I139-Test1_Hand!$B$5)+Test1_Hand!$B$14</f>
        <v>47742.2151741371</v>
      </c>
    </row>
    <row r="140" customFormat="false" ht="15" hidden="false" customHeight="false" outlineLevel="0" collapsed="false">
      <c r="A140" s="2" t="n">
        <v>128</v>
      </c>
      <c r="B140" s="22" t="n">
        <v>0.311449464213087</v>
      </c>
      <c r="C140" s="22" t="n">
        <v>0.337133450801488</v>
      </c>
      <c r="D140" s="23" t="n">
        <f aca="false">BETAINV(C140,Test1_Hand!$B$21,Test1_Hand!$B$22,Test1_Hand!$B$9,Test1_Hand!$B$11)</f>
        <v>2.81948961598547</v>
      </c>
      <c r="E140" s="2" t="n">
        <f aca="false">IF(B140&lt;Test1_Hand!$B$12,1,0)</f>
        <v>1</v>
      </c>
      <c r="F140" s="23" t="n">
        <f aca="false">Test1_Hand!$B$4+E140*D140</f>
        <v>18.8194896159855</v>
      </c>
      <c r="G140" s="24" t="n">
        <f aca="false">Test1_Hand!$B$6*E140*D140+Test1_Hand!$B$7*MAX(0,F140-Test1_Hand!$B$5)</f>
        <v>22555.9169278838</v>
      </c>
      <c r="H140" s="2" t="n">
        <f aca="false">IF(B140&lt;Test1_Hand!$B$13,1,0)</f>
        <v>0</v>
      </c>
      <c r="I140" s="23" t="n">
        <f aca="false">Test1_Hand!$B$4+H140*D140</f>
        <v>16</v>
      </c>
      <c r="J140" s="24" t="n">
        <f aca="false">Test1_Hand!$B$6*H140*D140+Test1_Hand!$B$7*MAX(0,I140-Test1_Hand!$B$5)+Test1_Hand!$B$14</f>
        <v>6000</v>
      </c>
    </row>
    <row r="141" customFormat="false" ht="15" hidden="false" customHeight="false" outlineLevel="0" collapsed="false">
      <c r="A141" s="2" t="n">
        <v>129</v>
      </c>
      <c r="B141" s="22" t="n">
        <v>0.0716019012442662</v>
      </c>
      <c r="C141" s="22" t="n">
        <v>0.624627076500583</v>
      </c>
      <c r="D141" s="23" t="n">
        <f aca="false">BETAINV(C141,Test1_Hand!$B$21,Test1_Hand!$B$22,Test1_Hand!$B$9,Test1_Hand!$B$11)</f>
        <v>3.84165717116062</v>
      </c>
      <c r="E141" s="2" t="n">
        <f aca="false">IF(B141&lt;Test1_Hand!$B$12,1,0)</f>
        <v>1</v>
      </c>
      <c r="F141" s="23" t="n">
        <f aca="false">Test1_Hand!$B$4+E141*D141</f>
        <v>19.8416571711606</v>
      </c>
      <c r="G141" s="24" t="n">
        <f aca="false">Test1_Hand!$B$6*E141*D141+Test1_Hand!$B$7*MAX(0,F141-Test1_Hand!$B$5)</f>
        <v>30733.257369285</v>
      </c>
      <c r="H141" s="2" t="n">
        <f aca="false">IF(B141&lt;Test1_Hand!$B$13,1,0)</f>
        <v>1</v>
      </c>
      <c r="I141" s="23" t="n">
        <f aca="false">Test1_Hand!$B$4+H141*D141</f>
        <v>19.8416571711606</v>
      </c>
      <c r="J141" s="24" t="n">
        <f aca="false">Test1_Hand!$B$6*H141*D141+Test1_Hand!$B$7*MAX(0,I141-Test1_Hand!$B$5)+Test1_Hand!$B$14</f>
        <v>36733.257369285</v>
      </c>
    </row>
    <row r="142" customFormat="false" ht="15" hidden="false" customHeight="false" outlineLevel="0" collapsed="false">
      <c r="A142" s="2" t="n">
        <v>130</v>
      </c>
      <c r="B142" s="22" t="n">
        <v>0.778612150438728</v>
      </c>
      <c r="C142" s="22" t="n">
        <v>0.511041262284244</v>
      </c>
      <c r="D142" s="23" t="n">
        <f aca="false">BETAINV(C142,Test1_Hand!$B$21,Test1_Hand!$B$22,Test1_Hand!$B$9,Test1_Hand!$B$11)</f>
        <v>3.42165921691358</v>
      </c>
      <c r="E142" s="2" t="n">
        <f aca="false">IF(B142&lt;Test1_Hand!$B$12,1,0)</f>
        <v>0</v>
      </c>
      <c r="F142" s="23" t="n">
        <f aca="false">Test1_Hand!$B$4+E142*D142</f>
        <v>16</v>
      </c>
      <c r="G142" s="24" t="n">
        <f aca="false">Test1_Hand!$B$6*E142*D142+Test1_Hand!$B$7*MAX(0,F142-Test1_Hand!$B$5)</f>
        <v>0</v>
      </c>
      <c r="H142" s="2" t="n">
        <f aca="false">IF(B142&lt;Test1_Hand!$B$13,1,0)</f>
        <v>0</v>
      </c>
      <c r="I142" s="23" t="n">
        <f aca="false">Test1_Hand!$B$4+H142*D142</f>
        <v>16</v>
      </c>
      <c r="J142" s="24" t="n">
        <f aca="false">Test1_Hand!$B$6*H142*D142+Test1_Hand!$B$7*MAX(0,I142-Test1_Hand!$B$5)+Test1_Hand!$B$14</f>
        <v>6000</v>
      </c>
    </row>
    <row r="143" customFormat="false" ht="15" hidden="false" customHeight="false" outlineLevel="0" collapsed="false">
      <c r="A143" s="2" t="n">
        <v>131</v>
      </c>
      <c r="B143" s="22" t="n">
        <v>0.477709883082063</v>
      </c>
      <c r="C143" s="22" t="n">
        <v>0.772107125630644</v>
      </c>
      <c r="D143" s="23" t="n">
        <f aca="false">BETAINV(C143,Test1_Hand!$B$21,Test1_Hand!$B$22,Test1_Hand!$B$9,Test1_Hand!$B$11)</f>
        <v>4.48208302540157</v>
      </c>
      <c r="E143" s="2" t="n">
        <f aca="false">IF(B143&lt;Test1_Hand!$B$12,1,0)</f>
        <v>1</v>
      </c>
      <c r="F143" s="23" t="n">
        <f aca="false">Test1_Hand!$B$4+E143*D143</f>
        <v>20.4820830254016</v>
      </c>
      <c r="G143" s="24" t="n">
        <f aca="false">Test1_Hand!$B$6*E143*D143+Test1_Hand!$B$7*MAX(0,F143-Test1_Hand!$B$5)</f>
        <v>38267.0793302203</v>
      </c>
      <c r="H143" s="2" t="n">
        <f aca="false">IF(B143&lt;Test1_Hand!$B$13,1,0)</f>
        <v>0</v>
      </c>
      <c r="I143" s="23" t="n">
        <f aca="false">Test1_Hand!$B$4+H143*D143</f>
        <v>16</v>
      </c>
      <c r="J143" s="24" t="n">
        <f aca="false">Test1_Hand!$B$6*H143*D143+Test1_Hand!$B$7*MAX(0,I143-Test1_Hand!$B$5)+Test1_Hand!$B$14</f>
        <v>6000</v>
      </c>
    </row>
    <row r="144" customFormat="false" ht="15" hidden="false" customHeight="false" outlineLevel="0" collapsed="false">
      <c r="A144" s="2" t="n">
        <v>132</v>
      </c>
      <c r="B144" s="22" t="n">
        <v>0.0967230066914566</v>
      </c>
      <c r="C144" s="22" t="n">
        <v>0.540918337890023</v>
      </c>
      <c r="D144" s="23" t="n">
        <f aca="false">BETAINV(C144,Test1_Hand!$B$21,Test1_Hand!$B$22,Test1_Hand!$B$9,Test1_Hand!$B$11)</f>
        <v>3.52861975277779</v>
      </c>
      <c r="E144" s="2" t="n">
        <f aca="false">IF(B144&lt;Test1_Hand!$B$12,1,0)</f>
        <v>1</v>
      </c>
      <c r="F144" s="23" t="n">
        <f aca="false">Test1_Hand!$B$4+E144*D144</f>
        <v>19.5286197527778</v>
      </c>
      <c r="G144" s="24" t="n">
        <f aca="false">Test1_Hand!$B$6*E144*D144+Test1_Hand!$B$7*MAX(0,F144-Test1_Hand!$B$5)</f>
        <v>28228.9580222224</v>
      </c>
      <c r="H144" s="2" t="n">
        <f aca="false">IF(B144&lt;Test1_Hand!$B$13,1,0)</f>
        <v>1</v>
      </c>
      <c r="I144" s="23" t="n">
        <f aca="false">Test1_Hand!$B$4+H144*D144</f>
        <v>19.5286197527778</v>
      </c>
      <c r="J144" s="24" t="n">
        <f aca="false">Test1_Hand!$B$6*H144*D144+Test1_Hand!$B$7*MAX(0,I144-Test1_Hand!$B$5)+Test1_Hand!$B$14</f>
        <v>34228.9580222223</v>
      </c>
    </row>
    <row r="145" customFormat="false" ht="15" hidden="false" customHeight="false" outlineLevel="0" collapsed="false">
      <c r="A145" s="2" t="n">
        <v>133</v>
      </c>
      <c r="B145" s="22" t="n">
        <v>0.748883657209892</v>
      </c>
      <c r="C145" s="22" t="n">
        <v>0.36630770854055</v>
      </c>
      <c r="D145" s="23" t="n">
        <f aca="false">BETAINV(C145,Test1_Hand!$B$21,Test1_Hand!$B$22,Test1_Hand!$B$9,Test1_Hand!$B$11)</f>
        <v>2.92002330577536</v>
      </c>
      <c r="E145" s="2" t="n">
        <f aca="false">IF(B145&lt;Test1_Hand!$B$12,1,0)</f>
        <v>0</v>
      </c>
      <c r="F145" s="23" t="n">
        <f aca="false">Test1_Hand!$B$4+E145*D145</f>
        <v>16</v>
      </c>
      <c r="G145" s="24" t="n">
        <f aca="false">Test1_Hand!$B$6*E145*D145+Test1_Hand!$B$7*MAX(0,F145-Test1_Hand!$B$5)</f>
        <v>0</v>
      </c>
      <c r="H145" s="2" t="n">
        <f aca="false">IF(B145&lt;Test1_Hand!$B$13,1,0)</f>
        <v>0</v>
      </c>
      <c r="I145" s="23" t="n">
        <f aca="false">Test1_Hand!$B$4+H145*D145</f>
        <v>16</v>
      </c>
      <c r="J145" s="24" t="n">
        <f aca="false">Test1_Hand!$B$6*H145*D145+Test1_Hand!$B$7*MAX(0,I145-Test1_Hand!$B$5)+Test1_Hand!$B$14</f>
        <v>6000</v>
      </c>
    </row>
    <row r="146" customFormat="false" ht="15" hidden="false" customHeight="false" outlineLevel="0" collapsed="false">
      <c r="A146" s="2" t="n">
        <v>134</v>
      </c>
      <c r="B146" s="22" t="n">
        <v>0.876130476324527</v>
      </c>
      <c r="C146" s="22" t="n">
        <v>0.456815177583934</v>
      </c>
      <c r="D146" s="23" t="n">
        <f aca="false">BETAINV(C146,Test1_Hand!$B$21,Test1_Hand!$B$22,Test1_Hand!$B$9,Test1_Hand!$B$11)</f>
        <v>3.23160118083348</v>
      </c>
      <c r="E146" s="2" t="n">
        <f aca="false">IF(B146&lt;Test1_Hand!$B$12,1,0)</f>
        <v>0</v>
      </c>
      <c r="F146" s="23" t="n">
        <f aca="false">Test1_Hand!$B$4+E146*D146</f>
        <v>16</v>
      </c>
      <c r="G146" s="24" t="n">
        <f aca="false">Test1_Hand!$B$6*E146*D146+Test1_Hand!$B$7*MAX(0,F146-Test1_Hand!$B$5)</f>
        <v>0</v>
      </c>
      <c r="H146" s="2" t="n">
        <f aca="false">IF(B146&lt;Test1_Hand!$B$13,1,0)</f>
        <v>0</v>
      </c>
      <c r="I146" s="23" t="n">
        <f aca="false">Test1_Hand!$B$4+H146*D146</f>
        <v>16</v>
      </c>
      <c r="J146" s="24" t="n">
        <f aca="false">Test1_Hand!$B$6*H146*D146+Test1_Hand!$B$7*MAX(0,I146-Test1_Hand!$B$5)+Test1_Hand!$B$14</f>
        <v>6000</v>
      </c>
    </row>
    <row r="147" customFormat="false" ht="15" hidden="false" customHeight="false" outlineLevel="0" collapsed="false">
      <c r="A147" s="2" t="n">
        <v>135</v>
      </c>
      <c r="B147" s="22" t="n">
        <v>0.115896394360948</v>
      </c>
      <c r="C147" s="22" t="n">
        <v>0.976890313890581</v>
      </c>
      <c r="D147" s="23" t="n">
        <f aca="false">BETAINV(C147,Test1_Hand!$B$21,Test1_Hand!$B$22,Test1_Hand!$B$9,Test1_Hand!$B$11)</f>
        <v>6.21194779019941</v>
      </c>
      <c r="E147" s="2" t="n">
        <f aca="false">IF(B147&lt;Test1_Hand!$B$12,1,0)</f>
        <v>1</v>
      </c>
      <c r="F147" s="23" t="n">
        <f aca="false">Test1_Hand!$B$4+E147*D147</f>
        <v>22.2119477901994</v>
      </c>
      <c r="G147" s="24" t="n">
        <f aca="false">Test1_Hand!$B$6*E147*D147+Test1_Hand!$B$7*MAX(0,F147-Test1_Hand!$B$5)</f>
        <v>60755.3212725924</v>
      </c>
      <c r="H147" s="2" t="n">
        <f aca="false">IF(B147&lt;Test1_Hand!$B$13,1,0)</f>
        <v>1</v>
      </c>
      <c r="I147" s="23" t="n">
        <f aca="false">Test1_Hand!$B$4+H147*D147</f>
        <v>22.2119477901994</v>
      </c>
      <c r="J147" s="24" t="n">
        <f aca="false">Test1_Hand!$B$6*H147*D147+Test1_Hand!$B$7*MAX(0,I147-Test1_Hand!$B$5)+Test1_Hand!$B$14</f>
        <v>66755.3212725924</v>
      </c>
    </row>
    <row r="148" customFormat="false" ht="15" hidden="false" customHeight="false" outlineLevel="0" collapsed="false">
      <c r="A148" s="2" t="n">
        <v>136</v>
      </c>
      <c r="B148" s="22" t="n">
        <v>0.455900732890532</v>
      </c>
      <c r="C148" s="22" t="n">
        <v>0.752789128595428</v>
      </c>
      <c r="D148" s="23" t="n">
        <f aca="false">BETAINV(C148,Test1_Hand!$B$21,Test1_Hand!$B$22,Test1_Hand!$B$9,Test1_Hand!$B$11)</f>
        <v>4.3881091523474</v>
      </c>
      <c r="E148" s="2" t="n">
        <f aca="false">IF(B148&lt;Test1_Hand!$B$12,1,0)</f>
        <v>1</v>
      </c>
      <c r="F148" s="23" t="n">
        <f aca="false">Test1_Hand!$B$4+E148*D148</f>
        <v>20.3881091523474</v>
      </c>
      <c r="G148" s="24" t="n">
        <f aca="false">Test1_Hand!$B$6*E148*D148+Test1_Hand!$B$7*MAX(0,F148-Test1_Hand!$B$5)</f>
        <v>37045.4189805162</v>
      </c>
      <c r="H148" s="2" t="n">
        <f aca="false">IF(B148&lt;Test1_Hand!$B$13,1,0)</f>
        <v>0</v>
      </c>
      <c r="I148" s="23" t="n">
        <f aca="false">Test1_Hand!$B$4+H148*D148</f>
        <v>16</v>
      </c>
      <c r="J148" s="24" t="n">
        <f aca="false">Test1_Hand!$B$6*H148*D148+Test1_Hand!$B$7*MAX(0,I148-Test1_Hand!$B$5)+Test1_Hand!$B$14</f>
        <v>6000</v>
      </c>
    </row>
    <row r="149" customFormat="false" ht="15" hidden="false" customHeight="false" outlineLevel="0" collapsed="false">
      <c r="A149" s="2" t="n">
        <v>137</v>
      </c>
      <c r="B149" s="22" t="n">
        <v>0.0782532058056823</v>
      </c>
      <c r="C149" s="22" t="n">
        <v>0.808840443754445</v>
      </c>
      <c r="D149" s="23" t="n">
        <f aca="false">BETAINV(C149,Test1_Hand!$B$21,Test1_Hand!$B$22,Test1_Hand!$B$9,Test1_Hand!$B$11)</f>
        <v>4.6737977523984</v>
      </c>
      <c r="E149" s="2" t="n">
        <f aca="false">IF(B149&lt;Test1_Hand!$B$12,1,0)</f>
        <v>1</v>
      </c>
      <c r="F149" s="23" t="n">
        <f aca="false">Test1_Hand!$B$4+E149*D149</f>
        <v>20.6737977523984</v>
      </c>
      <c r="G149" s="24" t="n">
        <f aca="false">Test1_Hand!$B$6*E149*D149+Test1_Hand!$B$7*MAX(0,F149-Test1_Hand!$B$5)</f>
        <v>40759.3707811792</v>
      </c>
      <c r="H149" s="2" t="n">
        <f aca="false">IF(B149&lt;Test1_Hand!$B$13,1,0)</f>
        <v>1</v>
      </c>
      <c r="I149" s="23" t="n">
        <f aca="false">Test1_Hand!$B$4+H149*D149</f>
        <v>20.6737977523984</v>
      </c>
      <c r="J149" s="24" t="n">
        <f aca="false">Test1_Hand!$B$6*H149*D149+Test1_Hand!$B$7*MAX(0,I149-Test1_Hand!$B$5)+Test1_Hand!$B$14</f>
        <v>46759.3707811792</v>
      </c>
    </row>
    <row r="150" customFormat="false" ht="15" hidden="false" customHeight="false" outlineLevel="0" collapsed="false">
      <c r="A150" s="2" t="n">
        <v>138</v>
      </c>
      <c r="B150" s="22" t="n">
        <v>0.152000323877837</v>
      </c>
      <c r="C150" s="22" t="n">
        <v>0.124956285041656</v>
      </c>
      <c r="D150" s="23" t="n">
        <f aca="false">BETAINV(C150,Test1_Hand!$B$21,Test1_Hand!$B$22,Test1_Hand!$B$9,Test1_Hand!$B$11)</f>
        <v>2.01977033075756</v>
      </c>
      <c r="E150" s="2" t="n">
        <f aca="false">IF(B150&lt;Test1_Hand!$B$12,1,0)</f>
        <v>1</v>
      </c>
      <c r="F150" s="23" t="n">
        <f aca="false">Test1_Hand!$B$4+E150*D150</f>
        <v>18.0197703307576</v>
      </c>
      <c r="G150" s="24" t="n">
        <f aca="false">Test1_Hand!$B$6*E150*D150+Test1_Hand!$B$7*MAX(0,F150-Test1_Hand!$B$5)</f>
        <v>16158.1626460605</v>
      </c>
      <c r="H150" s="2" t="n">
        <f aca="false">IF(B150&lt;Test1_Hand!$B$13,1,0)</f>
        <v>1</v>
      </c>
      <c r="I150" s="23" t="n">
        <f aca="false">Test1_Hand!$B$4+H150*D150</f>
        <v>18.0197703307576</v>
      </c>
      <c r="J150" s="24" t="n">
        <f aca="false">Test1_Hand!$B$6*H150*D150+Test1_Hand!$B$7*MAX(0,I150-Test1_Hand!$B$5)+Test1_Hand!$B$14</f>
        <v>22158.1626460605</v>
      </c>
    </row>
    <row r="151" customFormat="false" ht="15" hidden="false" customHeight="false" outlineLevel="0" collapsed="false">
      <c r="A151" s="2" t="n">
        <v>139</v>
      </c>
      <c r="B151" s="22" t="n">
        <v>0.27643630246698</v>
      </c>
      <c r="C151" s="22" t="n">
        <v>0.424707391539354</v>
      </c>
      <c r="D151" s="23" t="n">
        <f aca="false">BETAINV(C151,Test1_Hand!$B$21,Test1_Hand!$B$22,Test1_Hand!$B$9,Test1_Hand!$B$11)</f>
        <v>3.12067956141637</v>
      </c>
      <c r="E151" s="2" t="n">
        <f aca="false">IF(B151&lt;Test1_Hand!$B$12,1,0)</f>
        <v>1</v>
      </c>
      <c r="F151" s="23" t="n">
        <f aca="false">Test1_Hand!$B$4+E151*D151</f>
        <v>19.1206795614164</v>
      </c>
      <c r="G151" s="24" t="n">
        <f aca="false">Test1_Hand!$B$6*E151*D151+Test1_Hand!$B$7*MAX(0,F151-Test1_Hand!$B$5)</f>
        <v>24965.4364913309</v>
      </c>
      <c r="H151" s="2" t="n">
        <f aca="false">IF(B151&lt;Test1_Hand!$B$13,1,0)</f>
        <v>0</v>
      </c>
      <c r="I151" s="23" t="n">
        <f aca="false">Test1_Hand!$B$4+H151*D151</f>
        <v>16</v>
      </c>
      <c r="J151" s="24" t="n">
        <f aca="false">Test1_Hand!$B$6*H151*D151+Test1_Hand!$B$7*MAX(0,I151-Test1_Hand!$B$5)+Test1_Hand!$B$14</f>
        <v>6000</v>
      </c>
    </row>
    <row r="152" customFormat="false" ht="15" hidden="false" customHeight="false" outlineLevel="0" collapsed="false">
      <c r="A152" s="2" t="n">
        <v>140</v>
      </c>
      <c r="B152" s="22" t="n">
        <v>0.485285678287934</v>
      </c>
      <c r="C152" s="22" t="n">
        <v>0.428292527569545</v>
      </c>
      <c r="D152" s="23" t="n">
        <f aca="false">BETAINV(C152,Test1_Hand!$B$21,Test1_Hand!$B$22,Test1_Hand!$B$9,Test1_Hand!$B$11)</f>
        <v>3.13302735498905</v>
      </c>
      <c r="E152" s="2" t="n">
        <f aca="false">IF(B152&lt;Test1_Hand!$B$12,1,0)</f>
        <v>1</v>
      </c>
      <c r="F152" s="23" t="n">
        <f aca="false">Test1_Hand!$B$4+E152*D152</f>
        <v>19.133027354989</v>
      </c>
      <c r="G152" s="24" t="n">
        <f aca="false">Test1_Hand!$B$6*E152*D152+Test1_Hand!$B$7*MAX(0,F152-Test1_Hand!$B$5)</f>
        <v>25064.2188399124</v>
      </c>
      <c r="H152" s="2" t="n">
        <f aca="false">IF(B152&lt;Test1_Hand!$B$13,1,0)</f>
        <v>0</v>
      </c>
      <c r="I152" s="23" t="n">
        <f aca="false">Test1_Hand!$B$4+H152*D152</f>
        <v>16</v>
      </c>
      <c r="J152" s="24" t="n">
        <f aca="false">Test1_Hand!$B$6*H152*D152+Test1_Hand!$B$7*MAX(0,I152-Test1_Hand!$B$5)+Test1_Hand!$B$14</f>
        <v>6000</v>
      </c>
    </row>
    <row r="153" customFormat="false" ht="15" hidden="false" customHeight="false" outlineLevel="0" collapsed="false">
      <c r="A153" s="2" t="n">
        <v>141</v>
      </c>
      <c r="B153" s="22" t="n">
        <v>0.0345395266740675</v>
      </c>
      <c r="C153" s="22" t="n">
        <v>0.597031260391558</v>
      </c>
      <c r="D153" s="23" t="n">
        <f aca="false">BETAINV(C153,Test1_Hand!$B$21,Test1_Hand!$B$22,Test1_Hand!$B$9,Test1_Hand!$B$11)</f>
        <v>3.73582232593873</v>
      </c>
      <c r="E153" s="2" t="n">
        <f aca="false">IF(B153&lt;Test1_Hand!$B$12,1,0)</f>
        <v>1</v>
      </c>
      <c r="F153" s="23" t="n">
        <f aca="false">Test1_Hand!$B$4+E153*D153</f>
        <v>19.7358223259387</v>
      </c>
      <c r="G153" s="24" t="n">
        <f aca="false">Test1_Hand!$B$6*E153*D153+Test1_Hand!$B$7*MAX(0,F153-Test1_Hand!$B$5)</f>
        <v>29886.5786075099</v>
      </c>
      <c r="H153" s="2" t="n">
        <f aca="false">IF(B153&lt;Test1_Hand!$B$13,1,0)</f>
        <v>1</v>
      </c>
      <c r="I153" s="23" t="n">
        <f aca="false">Test1_Hand!$B$4+H153*D153</f>
        <v>19.7358223259387</v>
      </c>
      <c r="J153" s="24" t="n">
        <f aca="false">Test1_Hand!$B$6*H153*D153+Test1_Hand!$B$7*MAX(0,I153-Test1_Hand!$B$5)+Test1_Hand!$B$14</f>
        <v>35886.5786075099</v>
      </c>
    </row>
    <row r="154" customFormat="false" ht="15" hidden="false" customHeight="false" outlineLevel="0" collapsed="false">
      <c r="A154" s="2" t="n">
        <v>142</v>
      </c>
      <c r="B154" s="22" t="n">
        <v>0.741959274526392</v>
      </c>
      <c r="C154" s="22" t="n">
        <v>0.978753879788451</v>
      </c>
      <c r="D154" s="23" t="n">
        <f aca="false">BETAINV(C154,Test1_Hand!$B$21,Test1_Hand!$B$22,Test1_Hand!$B$9,Test1_Hand!$B$11)</f>
        <v>6.25355343891188</v>
      </c>
      <c r="E154" s="2" t="n">
        <f aca="false">IF(B154&lt;Test1_Hand!$B$12,1,0)</f>
        <v>0</v>
      </c>
      <c r="F154" s="23" t="n">
        <f aca="false">Test1_Hand!$B$4+E154*D154</f>
        <v>16</v>
      </c>
      <c r="G154" s="24" t="n">
        <f aca="false">Test1_Hand!$B$6*E154*D154+Test1_Hand!$B$7*MAX(0,F154-Test1_Hand!$B$5)</f>
        <v>0</v>
      </c>
      <c r="H154" s="2" t="n">
        <f aca="false">IF(B154&lt;Test1_Hand!$B$13,1,0)</f>
        <v>0</v>
      </c>
      <c r="I154" s="23" t="n">
        <f aca="false">Test1_Hand!$B$4+H154*D154</f>
        <v>16</v>
      </c>
      <c r="J154" s="24" t="n">
        <f aca="false">Test1_Hand!$B$6*H154*D154+Test1_Hand!$B$7*MAX(0,I154-Test1_Hand!$B$5)+Test1_Hand!$B$14</f>
        <v>6000</v>
      </c>
    </row>
    <row r="155" customFormat="false" ht="15" hidden="false" customHeight="false" outlineLevel="0" collapsed="false">
      <c r="A155" s="2" t="n">
        <v>143</v>
      </c>
      <c r="B155" s="22" t="n">
        <v>0.554159948125775</v>
      </c>
      <c r="C155" s="22" t="n">
        <v>0.931868471848439</v>
      </c>
      <c r="D155" s="23" t="n">
        <f aca="false">BETAINV(C155,Test1_Hand!$B$21,Test1_Hand!$B$22,Test1_Hand!$B$9,Test1_Hand!$B$11)</f>
        <v>5.56491016834863</v>
      </c>
      <c r="E155" s="2" t="n">
        <f aca="false">IF(B155&lt;Test1_Hand!$B$12,1,0)</f>
        <v>0</v>
      </c>
      <c r="F155" s="23" t="n">
        <f aca="false">Test1_Hand!$B$4+E155*D155</f>
        <v>16</v>
      </c>
      <c r="G155" s="24" t="n">
        <f aca="false">Test1_Hand!$B$6*E155*D155+Test1_Hand!$B$7*MAX(0,F155-Test1_Hand!$B$5)</f>
        <v>0</v>
      </c>
      <c r="H155" s="2" t="n">
        <f aca="false">IF(B155&lt;Test1_Hand!$B$13,1,0)</f>
        <v>0</v>
      </c>
      <c r="I155" s="23" t="n">
        <f aca="false">Test1_Hand!$B$4+H155*D155</f>
        <v>16</v>
      </c>
      <c r="J155" s="24" t="n">
        <f aca="false">Test1_Hand!$B$6*H155*D155+Test1_Hand!$B$7*MAX(0,I155-Test1_Hand!$B$5)+Test1_Hand!$B$14</f>
        <v>6000</v>
      </c>
    </row>
    <row r="156" customFormat="false" ht="15" hidden="false" customHeight="false" outlineLevel="0" collapsed="false">
      <c r="A156" s="2" t="n">
        <v>144</v>
      </c>
      <c r="B156" s="22" t="n">
        <v>0.951966108808792</v>
      </c>
      <c r="C156" s="22" t="n">
        <v>0.212395348062765</v>
      </c>
      <c r="D156" s="23" t="n">
        <f aca="false">BETAINV(C156,Test1_Hand!$B$21,Test1_Hand!$B$22,Test1_Hand!$B$9,Test1_Hand!$B$11)</f>
        <v>2.37374104077214</v>
      </c>
      <c r="E156" s="2" t="n">
        <f aca="false">IF(B156&lt;Test1_Hand!$B$12,1,0)</f>
        <v>0</v>
      </c>
      <c r="F156" s="23" t="n">
        <f aca="false">Test1_Hand!$B$4+E156*D156</f>
        <v>16</v>
      </c>
      <c r="G156" s="24" t="n">
        <f aca="false">Test1_Hand!$B$6*E156*D156+Test1_Hand!$B$7*MAX(0,F156-Test1_Hand!$B$5)</f>
        <v>0</v>
      </c>
      <c r="H156" s="2" t="n">
        <f aca="false">IF(B156&lt;Test1_Hand!$B$13,1,0)</f>
        <v>0</v>
      </c>
      <c r="I156" s="23" t="n">
        <f aca="false">Test1_Hand!$B$4+H156*D156</f>
        <v>16</v>
      </c>
      <c r="J156" s="24" t="n">
        <f aca="false">Test1_Hand!$B$6*H156*D156+Test1_Hand!$B$7*MAX(0,I156-Test1_Hand!$B$5)+Test1_Hand!$B$14</f>
        <v>6000</v>
      </c>
    </row>
    <row r="157" customFormat="false" ht="15" hidden="false" customHeight="false" outlineLevel="0" collapsed="false">
      <c r="A157" s="2" t="n">
        <v>145</v>
      </c>
      <c r="B157" s="22" t="n">
        <v>0.0663799187307285</v>
      </c>
      <c r="C157" s="22" t="n">
        <v>0.169661897219021</v>
      </c>
      <c r="D157" s="23" t="n">
        <f aca="false">BETAINV(C157,Test1_Hand!$B$21,Test1_Hand!$B$22,Test1_Hand!$B$9,Test1_Hand!$B$11)</f>
        <v>2.20795761434718</v>
      </c>
      <c r="E157" s="2" t="n">
        <f aca="false">IF(B157&lt;Test1_Hand!$B$12,1,0)</f>
        <v>1</v>
      </c>
      <c r="F157" s="23" t="n">
        <f aca="false">Test1_Hand!$B$4+E157*D157</f>
        <v>18.2079576143472</v>
      </c>
      <c r="G157" s="24" t="n">
        <f aca="false">Test1_Hand!$B$6*E157*D157+Test1_Hand!$B$7*MAX(0,F157-Test1_Hand!$B$5)</f>
        <v>17663.6609147774</v>
      </c>
      <c r="H157" s="2" t="n">
        <f aca="false">IF(B157&lt;Test1_Hand!$B$13,1,0)</f>
        <v>1</v>
      </c>
      <c r="I157" s="23" t="n">
        <f aca="false">Test1_Hand!$B$4+H157*D157</f>
        <v>18.2079576143472</v>
      </c>
      <c r="J157" s="24" t="n">
        <f aca="false">Test1_Hand!$B$6*H157*D157+Test1_Hand!$B$7*MAX(0,I157-Test1_Hand!$B$5)+Test1_Hand!$B$14</f>
        <v>23663.6609147774</v>
      </c>
    </row>
    <row r="158" customFormat="false" ht="15" hidden="false" customHeight="false" outlineLevel="0" collapsed="false">
      <c r="A158" s="2" t="n">
        <v>146</v>
      </c>
      <c r="B158" s="22" t="n">
        <v>0.744433421879046</v>
      </c>
      <c r="C158" s="22" t="n">
        <v>0.260969102084929</v>
      </c>
      <c r="D158" s="23" t="n">
        <f aca="false">BETAINV(C158,Test1_Hand!$B$21,Test1_Hand!$B$22,Test1_Hand!$B$9,Test1_Hand!$B$11)</f>
        <v>2.55200128377088</v>
      </c>
      <c r="E158" s="2" t="n">
        <f aca="false">IF(B158&lt;Test1_Hand!$B$12,1,0)</f>
        <v>0</v>
      </c>
      <c r="F158" s="23" t="n">
        <f aca="false">Test1_Hand!$B$4+E158*D158</f>
        <v>16</v>
      </c>
      <c r="G158" s="24" t="n">
        <f aca="false">Test1_Hand!$B$6*E158*D158+Test1_Hand!$B$7*MAX(0,F158-Test1_Hand!$B$5)</f>
        <v>0</v>
      </c>
      <c r="H158" s="2" t="n">
        <f aca="false">IF(B158&lt;Test1_Hand!$B$13,1,0)</f>
        <v>0</v>
      </c>
      <c r="I158" s="23" t="n">
        <f aca="false">Test1_Hand!$B$4+H158*D158</f>
        <v>16</v>
      </c>
      <c r="J158" s="24" t="n">
        <f aca="false">Test1_Hand!$B$6*H158*D158+Test1_Hand!$B$7*MAX(0,I158-Test1_Hand!$B$5)+Test1_Hand!$B$14</f>
        <v>6000</v>
      </c>
    </row>
    <row r="159" customFormat="false" ht="15" hidden="false" customHeight="false" outlineLevel="0" collapsed="false">
      <c r="A159" s="2" t="n">
        <v>147</v>
      </c>
      <c r="B159" s="22" t="n">
        <v>0.112238300810016</v>
      </c>
      <c r="C159" s="22" t="n">
        <v>0.943387554803591</v>
      </c>
      <c r="D159" s="23" t="n">
        <f aca="false">BETAINV(C159,Test1_Hand!$B$21,Test1_Hand!$B$22,Test1_Hand!$B$9,Test1_Hand!$B$11)</f>
        <v>5.6926233644353</v>
      </c>
      <c r="E159" s="2" t="n">
        <f aca="false">IF(B159&lt;Test1_Hand!$B$12,1,0)</f>
        <v>1</v>
      </c>
      <c r="F159" s="23" t="n">
        <f aca="false">Test1_Hand!$B$4+E159*D159</f>
        <v>21.6926233644353</v>
      </c>
      <c r="G159" s="24" t="n">
        <f aca="false">Test1_Hand!$B$6*E159*D159+Test1_Hand!$B$7*MAX(0,F159-Test1_Hand!$B$5)</f>
        <v>54004.1037376589</v>
      </c>
      <c r="H159" s="2" t="n">
        <f aca="false">IF(B159&lt;Test1_Hand!$B$13,1,0)</f>
        <v>1</v>
      </c>
      <c r="I159" s="23" t="n">
        <f aca="false">Test1_Hand!$B$4+H159*D159</f>
        <v>21.6926233644353</v>
      </c>
      <c r="J159" s="24" t="n">
        <f aca="false">Test1_Hand!$B$6*H159*D159+Test1_Hand!$B$7*MAX(0,I159-Test1_Hand!$B$5)+Test1_Hand!$B$14</f>
        <v>60004.1037376589</v>
      </c>
    </row>
    <row r="160" customFormat="false" ht="15" hidden="false" customHeight="false" outlineLevel="0" collapsed="false">
      <c r="A160" s="2" t="n">
        <v>148</v>
      </c>
      <c r="B160" s="22" t="n">
        <v>0.683589392219472</v>
      </c>
      <c r="C160" s="22" t="n">
        <v>0.958179728921364</v>
      </c>
      <c r="D160" s="23" t="n">
        <f aca="false">BETAINV(C160,Test1_Hand!$B$21,Test1_Hand!$B$22,Test1_Hand!$B$9,Test1_Hand!$B$11)</f>
        <v>5.88515906906961</v>
      </c>
      <c r="E160" s="2" t="n">
        <f aca="false">IF(B160&lt;Test1_Hand!$B$12,1,0)</f>
        <v>0</v>
      </c>
      <c r="F160" s="23" t="n">
        <f aca="false">Test1_Hand!$B$4+E160*D160</f>
        <v>16</v>
      </c>
      <c r="G160" s="24" t="n">
        <f aca="false">Test1_Hand!$B$6*E160*D160+Test1_Hand!$B$7*MAX(0,F160-Test1_Hand!$B$5)</f>
        <v>0</v>
      </c>
      <c r="H160" s="2" t="n">
        <f aca="false">IF(B160&lt;Test1_Hand!$B$13,1,0)</f>
        <v>0</v>
      </c>
      <c r="I160" s="23" t="n">
        <f aca="false">Test1_Hand!$B$4+H160*D160</f>
        <v>16</v>
      </c>
      <c r="J160" s="24" t="n">
        <f aca="false">Test1_Hand!$B$6*H160*D160+Test1_Hand!$B$7*MAX(0,I160-Test1_Hand!$B$5)+Test1_Hand!$B$14</f>
        <v>6000</v>
      </c>
    </row>
    <row r="161" customFormat="false" ht="15" hidden="false" customHeight="false" outlineLevel="0" collapsed="false">
      <c r="A161" s="2" t="n">
        <v>149</v>
      </c>
      <c r="B161" s="22" t="n">
        <v>0.329509774755476</v>
      </c>
      <c r="C161" s="22" t="n">
        <v>0.192258286910635</v>
      </c>
      <c r="D161" s="23" t="n">
        <f aca="false">BETAINV(C161,Test1_Hand!$B$21,Test1_Hand!$B$22,Test1_Hand!$B$9,Test1_Hand!$B$11)</f>
        <v>2.29693199495665</v>
      </c>
      <c r="E161" s="2" t="n">
        <f aca="false">IF(B161&lt;Test1_Hand!$B$12,1,0)</f>
        <v>1</v>
      </c>
      <c r="F161" s="23" t="n">
        <f aca="false">Test1_Hand!$B$4+E161*D161</f>
        <v>18.2969319949566</v>
      </c>
      <c r="G161" s="24" t="n">
        <f aca="false">Test1_Hand!$B$6*E161*D161+Test1_Hand!$B$7*MAX(0,F161-Test1_Hand!$B$5)</f>
        <v>18375.4559596532</v>
      </c>
      <c r="H161" s="2" t="n">
        <f aca="false">IF(B161&lt;Test1_Hand!$B$13,1,0)</f>
        <v>0</v>
      </c>
      <c r="I161" s="23" t="n">
        <f aca="false">Test1_Hand!$B$4+H161*D161</f>
        <v>16</v>
      </c>
      <c r="J161" s="24" t="n">
        <f aca="false">Test1_Hand!$B$6*H161*D161+Test1_Hand!$B$7*MAX(0,I161-Test1_Hand!$B$5)+Test1_Hand!$B$14</f>
        <v>6000</v>
      </c>
    </row>
    <row r="162" customFormat="false" ht="15" hidden="false" customHeight="false" outlineLevel="0" collapsed="false">
      <c r="A162" s="2" t="n">
        <v>150</v>
      </c>
      <c r="B162" s="22" t="n">
        <v>0.136788768463951</v>
      </c>
      <c r="C162" s="22" t="n">
        <v>0.943377696350358</v>
      </c>
      <c r="D162" s="23" t="n">
        <f aca="false">BETAINV(C162,Test1_Hand!$B$21,Test1_Hand!$B$22,Test1_Hand!$B$9,Test1_Hand!$B$11)</f>
        <v>5.69250701082663</v>
      </c>
      <c r="E162" s="2" t="n">
        <f aca="false">IF(B162&lt;Test1_Hand!$B$12,1,0)</f>
        <v>1</v>
      </c>
      <c r="F162" s="23" t="n">
        <f aca="false">Test1_Hand!$B$4+E162*D162</f>
        <v>21.6925070108266</v>
      </c>
      <c r="G162" s="24" t="n">
        <f aca="false">Test1_Hand!$B$6*E162*D162+Test1_Hand!$B$7*MAX(0,F162-Test1_Hand!$B$5)</f>
        <v>54002.5911407461</v>
      </c>
      <c r="H162" s="2" t="n">
        <f aca="false">IF(B162&lt;Test1_Hand!$B$13,1,0)</f>
        <v>1</v>
      </c>
      <c r="I162" s="23" t="n">
        <f aca="false">Test1_Hand!$B$4+H162*D162</f>
        <v>21.6925070108266</v>
      </c>
      <c r="J162" s="24" t="n">
        <f aca="false">Test1_Hand!$B$6*H162*D162+Test1_Hand!$B$7*MAX(0,I162-Test1_Hand!$B$5)+Test1_Hand!$B$14</f>
        <v>60002.5911407461</v>
      </c>
    </row>
    <row r="163" customFormat="false" ht="15" hidden="false" customHeight="false" outlineLevel="0" collapsed="false">
      <c r="A163" s="2" t="n">
        <v>151</v>
      </c>
      <c r="B163" s="22" t="n">
        <v>0.16416519145981</v>
      </c>
      <c r="C163" s="22" t="n">
        <v>0.802352150417791</v>
      </c>
      <c r="D163" s="23" t="n">
        <f aca="false">BETAINV(C163,Test1_Hand!$B$21,Test1_Hand!$B$22,Test1_Hand!$B$9,Test1_Hand!$B$11)</f>
        <v>4.63850884688189</v>
      </c>
      <c r="E163" s="2" t="n">
        <f aca="false">IF(B163&lt;Test1_Hand!$B$12,1,0)</f>
        <v>1</v>
      </c>
      <c r="F163" s="23" t="n">
        <f aca="false">Test1_Hand!$B$4+E163*D163</f>
        <v>20.6385088468819</v>
      </c>
      <c r="G163" s="24" t="n">
        <f aca="false">Test1_Hand!$B$6*E163*D163+Test1_Hand!$B$7*MAX(0,F163-Test1_Hand!$B$5)</f>
        <v>40300.6150094646</v>
      </c>
      <c r="H163" s="2" t="n">
        <f aca="false">IF(B163&lt;Test1_Hand!$B$13,1,0)</f>
        <v>1</v>
      </c>
      <c r="I163" s="23" t="n">
        <f aca="false">Test1_Hand!$B$4+H163*D163</f>
        <v>20.6385088468819</v>
      </c>
      <c r="J163" s="24" t="n">
        <f aca="false">Test1_Hand!$B$6*H163*D163+Test1_Hand!$B$7*MAX(0,I163-Test1_Hand!$B$5)+Test1_Hand!$B$14</f>
        <v>46300.6150094646</v>
      </c>
    </row>
    <row r="164" customFormat="false" ht="15" hidden="false" customHeight="false" outlineLevel="0" collapsed="false">
      <c r="A164" s="2" t="n">
        <v>152</v>
      </c>
      <c r="B164" s="22" t="n">
        <v>0.211683089796645</v>
      </c>
      <c r="C164" s="22" t="n">
        <v>0.862919339250058</v>
      </c>
      <c r="D164" s="23" t="n">
        <f aca="false">BETAINV(C164,Test1_Hand!$B$21,Test1_Hand!$B$22,Test1_Hand!$B$9,Test1_Hand!$B$11)</f>
        <v>5.00003666874951</v>
      </c>
      <c r="E164" s="2" t="n">
        <f aca="false">IF(B164&lt;Test1_Hand!$B$12,1,0)</f>
        <v>1</v>
      </c>
      <c r="F164" s="23" t="n">
        <f aca="false">Test1_Hand!$B$4+E164*D164</f>
        <v>21.0000366687495</v>
      </c>
      <c r="G164" s="24" t="n">
        <f aca="false">Test1_Hand!$B$6*E164*D164+Test1_Hand!$B$7*MAX(0,F164-Test1_Hand!$B$5)</f>
        <v>45000.4766937437</v>
      </c>
      <c r="H164" s="2" t="n">
        <f aca="false">IF(B164&lt;Test1_Hand!$B$13,1,0)</f>
        <v>0</v>
      </c>
      <c r="I164" s="23" t="n">
        <f aca="false">Test1_Hand!$B$4+H164*D164</f>
        <v>16</v>
      </c>
      <c r="J164" s="24" t="n">
        <f aca="false">Test1_Hand!$B$6*H164*D164+Test1_Hand!$B$7*MAX(0,I164-Test1_Hand!$B$5)+Test1_Hand!$B$14</f>
        <v>6000</v>
      </c>
    </row>
    <row r="165" customFormat="false" ht="15" hidden="false" customHeight="false" outlineLevel="0" collapsed="false">
      <c r="A165" s="2" t="n">
        <v>153</v>
      </c>
      <c r="B165" s="22" t="n">
        <v>0.0566745772912626</v>
      </c>
      <c r="C165" s="22" t="n">
        <v>0.381417410014823</v>
      </c>
      <c r="D165" s="23" t="n">
        <f aca="false">BETAINV(C165,Test1_Hand!$B$21,Test1_Hand!$B$22,Test1_Hand!$B$9,Test1_Hand!$B$11)</f>
        <v>2.97193326976554</v>
      </c>
      <c r="E165" s="2" t="n">
        <f aca="false">IF(B165&lt;Test1_Hand!$B$12,1,0)</f>
        <v>1</v>
      </c>
      <c r="F165" s="23" t="n">
        <f aca="false">Test1_Hand!$B$4+E165*D165</f>
        <v>18.9719332697655</v>
      </c>
      <c r="G165" s="24" t="n">
        <f aca="false">Test1_Hand!$B$6*E165*D165+Test1_Hand!$B$7*MAX(0,F165-Test1_Hand!$B$5)</f>
        <v>23775.4661581243</v>
      </c>
      <c r="H165" s="2" t="n">
        <f aca="false">IF(B165&lt;Test1_Hand!$B$13,1,0)</f>
        <v>1</v>
      </c>
      <c r="I165" s="23" t="n">
        <f aca="false">Test1_Hand!$B$4+H165*D165</f>
        <v>18.9719332697655</v>
      </c>
      <c r="J165" s="24" t="n">
        <f aca="false">Test1_Hand!$B$6*H165*D165+Test1_Hand!$B$7*MAX(0,I165-Test1_Hand!$B$5)+Test1_Hand!$B$14</f>
        <v>29775.4661581243</v>
      </c>
    </row>
    <row r="166" customFormat="false" ht="15" hidden="false" customHeight="false" outlineLevel="0" collapsed="false">
      <c r="A166" s="2" t="n">
        <v>154</v>
      </c>
      <c r="B166" s="22" t="n">
        <v>0.401930995039427</v>
      </c>
      <c r="C166" s="22" t="n">
        <v>0.976242116468636</v>
      </c>
      <c r="D166" s="23" t="n">
        <f aca="false">BETAINV(C166,Test1_Hand!$B$21,Test1_Hand!$B$22,Test1_Hand!$B$9,Test1_Hand!$B$11)</f>
        <v>6.19802136631794</v>
      </c>
      <c r="E166" s="2" t="n">
        <f aca="false">IF(B166&lt;Test1_Hand!$B$12,1,0)</f>
        <v>1</v>
      </c>
      <c r="F166" s="23" t="n">
        <f aca="false">Test1_Hand!$B$4+E166*D166</f>
        <v>22.1980213663179</v>
      </c>
      <c r="G166" s="24" t="n">
        <f aca="false">Test1_Hand!$B$6*E166*D166+Test1_Hand!$B$7*MAX(0,F166-Test1_Hand!$B$5)</f>
        <v>60574.2777621332</v>
      </c>
      <c r="H166" s="2" t="n">
        <f aca="false">IF(B166&lt;Test1_Hand!$B$13,1,0)</f>
        <v>0</v>
      </c>
      <c r="I166" s="23" t="n">
        <f aca="false">Test1_Hand!$B$4+H166*D166</f>
        <v>16</v>
      </c>
      <c r="J166" s="24" t="n">
        <f aca="false">Test1_Hand!$B$6*H166*D166+Test1_Hand!$B$7*MAX(0,I166-Test1_Hand!$B$5)+Test1_Hand!$B$14</f>
        <v>6000</v>
      </c>
    </row>
    <row r="167" customFormat="false" ht="15" hidden="false" customHeight="false" outlineLevel="0" collapsed="false">
      <c r="A167" s="2" t="n">
        <v>155</v>
      </c>
      <c r="B167" s="22" t="n">
        <v>0.897727331474128</v>
      </c>
      <c r="C167" s="22" t="n">
        <v>0.384451832729628</v>
      </c>
      <c r="D167" s="23" t="n">
        <f aca="false">BETAINV(C167,Test1_Hand!$B$21,Test1_Hand!$B$22,Test1_Hand!$B$9,Test1_Hand!$B$11)</f>
        <v>2.9823526255494</v>
      </c>
      <c r="E167" s="2" t="n">
        <f aca="false">IF(B167&lt;Test1_Hand!$B$12,1,0)</f>
        <v>0</v>
      </c>
      <c r="F167" s="23" t="n">
        <f aca="false">Test1_Hand!$B$4+E167*D167</f>
        <v>16</v>
      </c>
      <c r="G167" s="24" t="n">
        <f aca="false">Test1_Hand!$B$6*E167*D167+Test1_Hand!$B$7*MAX(0,F167-Test1_Hand!$B$5)</f>
        <v>0</v>
      </c>
      <c r="H167" s="2" t="n">
        <f aca="false">IF(B167&lt;Test1_Hand!$B$13,1,0)</f>
        <v>0</v>
      </c>
      <c r="I167" s="23" t="n">
        <f aca="false">Test1_Hand!$B$4+H167*D167</f>
        <v>16</v>
      </c>
      <c r="J167" s="24" t="n">
        <f aca="false">Test1_Hand!$B$6*H167*D167+Test1_Hand!$B$7*MAX(0,I167-Test1_Hand!$B$5)+Test1_Hand!$B$14</f>
        <v>6000</v>
      </c>
    </row>
    <row r="168" customFormat="false" ht="15" hidden="false" customHeight="false" outlineLevel="0" collapsed="false">
      <c r="A168" s="2" t="n">
        <v>156</v>
      </c>
      <c r="B168" s="22" t="n">
        <v>0.424682833278493</v>
      </c>
      <c r="C168" s="22" t="n">
        <v>0.71514541368092</v>
      </c>
      <c r="D168" s="23" t="n">
        <f aca="false">BETAINV(C168,Test1_Hand!$B$21,Test1_Hand!$B$22,Test1_Hand!$B$9,Test1_Hand!$B$11)</f>
        <v>4.21556795605622</v>
      </c>
      <c r="E168" s="2" t="n">
        <f aca="false">IF(B168&lt;Test1_Hand!$B$12,1,0)</f>
        <v>1</v>
      </c>
      <c r="F168" s="23" t="n">
        <f aca="false">Test1_Hand!$B$4+E168*D168</f>
        <v>20.2155679560562</v>
      </c>
      <c r="G168" s="24" t="n">
        <f aca="false">Test1_Hand!$B$6*E168*D168+Test1_Hand!$B$7*MAX(0,F168-Test1_Hand!$B$5)</f>
        <v>34802.3834287308</v>
      </c>
      <c r="H168" s="2" t="n">
        <f aca="false">IF(B168&lt;Test1_Hand!$B$13,1,0)</f>
        <v>0</v>
      </c>
      <c r="I168" s="23" t="n">
        <f aca="false">Test1_Hand!$B$4+H168*D168</f>
        <v>16</v>
      </c>
      <c r="J168" s="24" t="n">
        <f aca="false">Test1_Hand!$B$6*H168*D168+Test1_Hand!$B$7*MAX(0,I168-Test1_Hand!$B$5)+Test1_Hand!$B$14</f>
        <v>6000</v>
      </c>
    </row>
    <row r="169" customFormat="false" ht="15" hidden="false" customHeight="false" outlineLevel="0" collapsed="false">
      <c r="A169" s="2" t="n">
        <v>157</v>
      </c>
      <c r="B169" s="22" t="n">
        <v>0.640114377021361</v>
      </c>
      <c r="C169" s="22" t="n">
        <v>0.894152508019465</v>
      </c>
      <c r="D169" s="23" t="n">
        <f aca="false">BETAINV(C169,Test1_Hand!$B$21,Test1_Hand!$B$22,Test1_Hand!$B$9,Test1_Hand!$B$11)</f>
        <v>5.22591339064403</v>
      </c>
      <c r="E169" s="2" t="n">
        <f aca="false">IF(B169&lt;Test1_Hand!$B$12,1,0)</f>
        <v>0</v>
      </c>
      <c r="F169" s="23" t="n">
        <f aca="false">Test1_Hand!$B$4+E169*D169</f>
        <v>16</v>
      </c>
      <c r="G169" s="24" t="n">
        <f aca="false">Test1_Hand!$B$6*E169*D169+Test1_Hand!$B$7*MAX(0,F169-Test1_Hand!$B$5)</f>
        <v>0</v>
      </c>
      <c r="H169" s="2" t="n">
        <f aca="false">IF(B169&lt;Test1_Hand!$B$13,1,0)</f>
        <v>0</v>
      </c>
      <c r="I169" s="23" t="n">
        <f aca="false">Test1_Hand!$B$4+H169*D169</f>
        <v>16</v>
      </c>
      <c r="J169" s="24" t="n">
        <f aca="false">Test1_Hand!$B$6*H169*D169+Test1_Hand!$B$7*MAX(0,I169-Test1_Hand!$B$5)+Test1_Hand!$B$14</f>
        <v>6000</v>
      </c>
    </row>
    <row r="170" customFormat="false" ht="15" hidden="false" customHeight="false" outlineLevel="0" collapsed="false">
      <c r="A170" s="2" t="n">
        <v>158</v>
      </c>
      <c r="B170" s="22" t="n">
        <v>0.687193773417773</v>
      </c>
      <c r="C170" s="22" t="n">
        <v>0.515311871326791</v>
      </c>
      <c r="D170" s="23" t="n">
        <f aca="false">BETAINV(C170,Test1_Hand!$B$21,Test1_Hand!$B$22,Test1_Hand!$B$9,Test1_Hand!$B$11)</f>
        <v>3.43683260289083</v>
      </c>
      <c r="E170" s="2" t="n">
        <f aca="false">IF(B170&lt;Test1_Hand!$B$12,1,0)</f>
        <v>0</v>
      </c>
      <c r="F170" s="23" t="n">
        <f aca="false">Test1_Hand!$B$4+E170*D170</f>
        <v>16</v>
      </c>
      <c r="G170" s="24" t="n">
        <f aca="false">Test1_Hand!$B$6*E170*D170+Test1_Hand!$B$7*MAX(0,F170-Test1_Hand!$B$5)</f>
        <v>0</v>
      </c>
      <c r="H170" s="2" t="n">
        <f aca="false">IF(B170&lt;Test1_Hand!$B$13,1,0)</f>
        <v>0</v>
      </c>
      <c r="I170" s="23" t="n">
        <f aca="false">Test1_Hand!$B$4+H170*D170</f>
        <v>16</v>
      </c>
      <c r="J170" s="24" t="n">
        <f aca="false">Test1_Hand!$B$6*H170*D170+Test1_Hand!$B$7*MAX(0,I170-Test1_Hand!$B$5)+Test1_Hand!$B$14</f>
        <v>6000</v>
      </c>
    </row>
    <row r="171" customFormat="false" ht="15" hidden="false" customHeight="false" outlineLevel="0" collapsed="false">
      <c r="A171" s="2" t="n">
        <v>159</v>
      </c>
      <c r="B171" s="22" t="n">
        <v>0.90068425001431</v>
      </c>
      <c r="C171" s="22" t="n">
        <v>0.33099229778372</v>
      </c>
      <c r="D171" s="23" t="n">
        <f aca="false">BETAINV(C171,Test1_Hand!$B$21,Test1_Hand!$B$22,Test1_Hand!$B$9,Test1_Hand!$B$11)</f>
        <v>2.79824356281796</v>
      </c>
      <c r="E171" s="2" t="n">
        <f aca="false">IF(B171&lt;Test1_Hand!$B$12,1,0)</f>
        <v>0</v>
      </c>
      <c r="F171" s="23" t="n">
        <f aca="false">Test1_Hand!$B$4+E171*D171</f>
        <v>16</v>
      </c>
      <c r="G171" s="24" t="n">
        <f aca="false">Test1_Hand!$B$6*E171*D171+Test1_Hand!$B$7*MAX(0,F171-Test1_Hand!$B$5)</f>
        <v>0</v>
      </c>
      <c r="H171" s="2" t="n">
        <f aca="false">IF(B171&lt;Test1_Hand!$B$13,1,0)</f>
        <v>0</v>
      </c>
      <c r="I171" s="23" t="n">
        <f aca="false">Test1_Hand!$B$4+H171*D171</f>
        <v>16</v>
      </c>
      <c r="J171" s="24" t="n">
        <f aca="false">Test1_Hand!$B$6*H171*D171+Test1_Hand!$B$7*MAX(0,I171-Test1_Hand!$B$5)+Test1_Hand!$B$14</f>
        <v>6000</v>
      </c>
    </row>
    <row r="172" customFormat="false" ht="15" hidden="false" customHeight="false" outlineLevel="0" collapsed="false">
      <c r="A172" s="2" t="n">
        <v>160</v>
      </c>
      <c r="B172" s="22" t="n">
        <v>0.367446486484809</v>
      </c>
      <c r="C172" s="22" t="n">
        <v>0.351432482055125</v>
      </c>
      <c r="D172" s="23" t="n">
        <f aca="false">BETAINV(C172,Test1_Hand!$B$21,Test1_Hand!$B$22,Test1_Hand!$B$9,Test1_Hand!$B$11)</f>
        <v>2.86883252109304</v>
      </c>
      <c r="E172" s="2" t="n">
        <f aca="false">IF(B172&lt;Test1_Hand!$B$12,1,0)</f>
        <v>1</v>
      </c>
      <c r="F172" s="23" t="n">
        <f aca="false">Test1_Hand!$B$4+E172*D172</f>
        <v>18.868832521093</v>
      </c>
      <c r="G172" s="24" t="n">
        <f aca="false">Test1_Hand!$B$6*E172*D172+Test1_Hand!$B$7*MAX(0,F172-Test1_Hand!$B$5)</f>
        <v>22950.6601687443</v>
      </c>
      <c r="H172" s="2" t="n">
        <f aca="false">IF(B172&lt;Test1_Hand!$B$13,1,0)</f>
        <v>0</v>
      </c>
      <c r="I172" s="23" t="n">
        <f aca="false">Test1_Hand!$B$4+H172*D172</f>
        <v>16</v>
      </c>
      <c r="J172" s="24" t="n">
        <f aca="false">Test1_Hand!$B$6*H172*D172+Test1_Hand!$B$7*MAX(0,I172-Test1_Hand!$B$5)+Test1_Hand!$B$14</f>
        <v>6000</v>
      </c>
    </row>
    <row r="173" customFormat="false" ht="15" hidden="false" customHeight="false" outlineLevel="0" collapsed="false">
      <c r="A173" s="2" t="n">
        <v>161</v>
      </c>
      <c r="B173" s="22" t="n">
        <v>0.489511900261423</v>
      </c>
      <c r="C173" s="22" t="n">
        <v>0.0347294266208136</v>
      </c>
      <c r="D173" s="23" t="n">
        <f aca="false">BETAINV(C173,Test1_Hand!$B$21,Test1_Hand!$B$22,Test1_Hand!$B$9,Test1_Hand!$B$11)</f>
        <v>1.52399754323172</v>
      </c>
      <c r="E173" s="2" t="n">
        <f aca="false">IF(B173&lt;Test1_Hand!$B$12,1,0)</f>
        <v>1</v>
      </c>
      <c r="F173" s="23" t="n">
        <f aca="false">Test1_Hand!$B$4+E173*D173</f>
        <v>17.5239975432317</v>
      </c>
      <c r="G173" s="24" t="n">
        <f aca="false">Test1_Hand!$B$6*E173*D173+Test1_Hand!$B$7*MAX(0,F173-Test1_Hand!$B$5)</f>
        <v>12191.9803458538</v>
      </c>
      <c r="H173" s="2" t="n">
        <f aca="false">IF(B173&lt;Test1_Hand!$B$13,1,0)</f>
        <v>0</v>
      </c>
      <c r="I173" s="23" t="n">
        <f aca="false">Test1_Hand!$B$4+H173*D173</f>
        <v>16</v>
      </c>
      <c r="J173" s="24" t="n">
        <f aca="false">Test1_Hand!$B$6*H173*D173+Test1_Hand!$B$7*MAX(0,I173-Test1_Hand!$B$5)+Test1_Hand!$B$14</f>
        <v>6000</v>
      </c>
    </row>
    <row r="174" customFormat="false" ht="15" hidden="false" customHeight="false" outlineLevel="0" collapsed="false">
      <c r="A174" s="2" t="n">
        <v>162</v>
      </c>
      <c r="B174" s="22" t="n">
        <v>0.452906755416758</v>
      </c>
      <c r="C174" s="22" t="n">
        <v>0.316617568945835</v>
      </c>
      <c r="D174" s="23" t="n">
        <f aca="false">BETAINV(C174,Test1_Hand!$B$21,Test1_Hand!$B$22,Test1_Hand!$B$9,Test1_Hand!$B$11)</f>
        <v>2.74835178992488</v>
      </c>
      <c r="E174" s="2" t="n">
        <f aca="false">IF(B174&lt;Test1_Hand!$B$12,1,0)</f>
        <v>1</v>
      </c>
      <c r="F174" s="23" t="n">
        <f aca="false">Test1_Hand!$B$4+E174*D174</f>
        <v>18.7483517899249</v>
      </c>
      <c r="G174" s="24" t="n">
        <f aca="false">Test1_Hand!$B$6*E174*D174+Test1_Hand!$B$7*MAX(0,F174-Test1_Hand!$B$5)</f>
        <v>21986.814319399</v>
      </c>
      <c r="H174" s="2" t="n">
        <f aca="false">IF(B174&lt;Test1_Hand!$B$13,1,0)</f>
        <v>0</v>
      </c>
      <c r="I174" s="23" t="n">
        <f aca="false">Test1_Hand!$B$4+H174*D174</f>
        <v>16</v>
      </c>
      <c r="J174" s="24" t="n">
        <f aca="false">Test1_Hand!$B$6*H174*D174+Test1_Hand!$B$7*MAX(0,I174-Test1_Hand!$B$5)+Test1_Hand!$B$14</f>
        <v>6000</v>
      </c>
    </row>
    <row r="175" customFormat="false" ht="15" hidden="false" customHeight="false" outlineLevel="0" collapsed="false">
      <c r="A175" s="2" t="n">
        <v>163</v>
      </c>
      <c r="B175" s="22" t="n">
        <v>0.243185040660828</v>
      </c>
      <c r="C175" s="22" t="n">
        <v>0.247426941177007</v>
      </c>
      <c r="D175" s="23" t="n">
        <f aca="false">BETAINV(C175,Test1_Hand!$B$21,Test1_Hand!$B$22,Test1_Hand!$B$9,Test1_Hand!$B$11)</f>
        <v>2.50311933310794</v>
      </c>
      <c r="E175" s="2" t="n">
        <f aca="false">IF(B175&lt;Test1_Hand!$B$12,1,0)</f>
        <v>1</v>
      </c>
      <c r="F175" s="23" t="n">
        <f aca="false">Test1_Hand!$B$4+E175*D175</f>
        <v>18.5031193331079</v>
      </c>
      <c r="G175" s="24" t="n">
        <f aca="false">Test1_Hand!$B$6*E175*D175+Test1_Hand!$B$7*MAX(0,F175-Test1_Hand!$B$5)</f>
        <v>20024.9546648635</v>
      </c>
      <c r="H175" s="2" t="n">
        <f aca="false">IF(B175&lt;Test1_Hand!$B$13,1,0)</f>
        <v>0</v>
      </c>
      <c r="I175" s="23" t="n">
        <f aca="false">Test1_Hand!$B$4+H175*D175</f>
        <v>16</v>
      </c>
      <c r="J175" s="24" t="n">
        <f aca="false">Test1_Hand!$B$6*H175*D175+Test1_Hand!$B$7*MAX(0,I175-Test1_Hand!$B$5)+Test1_Hand!$B$14</f>
        <v>6000</v>
      </c>
    </row>
    <row r="176" customFormat="false" ht="15" hidden="false" customHeight="false" outlineLevel="0" collapsed="false">
      <c r="A176" s="2" t="n">
        <v>164</v>
      </c>
      <c r="B176" s="22" t="n">
        <v>0.797544141094011</v>
      </c>
      <c r="C176" s="22" t="n">
        <v>0.385591065164228</v>
      </c>
      <c r="D176" s="23" t="n">
        <f aca="false">BETAINV(C176,Test1_Hand!$B$21,Test1_Hand!$B$22,Test1_Hand!$B$9,Test1_Hand!$B$11)</f>
        <v>2.98626420638096</v>
      </c>
      <c r="E176" s="2" t="n">
        <f aca="false">IF(B176&lt;Test1_Hand!$B$12,1,0)</f>
        <v>0</v>
      </c>
      <c r="F176" s="23" t="n">
        <f aca="false">Test1_Hand!$B$4+E176*D176</f>
        <v>16</v>
      </c>
      <c r="G176" s="24" t="n">
        <f aca="false">Test1_Hand!$B$6*E176*D176+Test1_Hand!$B$7*MAX(0,F176-Test1_Hand!$B$5)</f>
        <v>0</v>
      </c>
      <c r="H176" s="2" t="n">
        <f aca="false">IF(B176&lt;Test1_Hand!$B$13,1,0)</f>
        <v>0</v>
      </c>
      <c r="I176" s="23" t="n">
        <f aca="false">Test1_Hand!$B$4+H176*D176</f>
        <v>16</v>
      </c>
      <c r="J176" s="24" t="n">
        <f aca="false">Test1_Hand!$B$6*H176*D176+Test1_Hand!$B$7*MAX(0,I176-Test1_Hand!$B$5)+Test1_Hand!$B$14</f>
        <v>6000</v>
      </c>
    </row>
    <row r="177" customFormat="false" ht="15" hidden="false" customHeight="false" outlineLevel="0" collapsed="false">
      <c r="A177" s="2" t="n">
        <v>165</v>
      </c>
      <c r="B177" s="22" t="n">
        <v>0.980743856921214</v>
      </c>
      <c r="C177" s="22" t="n">
        <v>0.412751851497785</v>
      </c>
      <c r="D177" s="23" t="n">
        <f aca="false">BETAINV(C177,Test1_Hand!$B$21,Test1_Hand!$B$22,Test1_Hand!$B$9,Test1_Hand!$B$11)</f>
        <v>3.0795500943844</v>
      </c>
      <c r="E177" s="2" t="n">
        <f aca="false">IF(B177&lt;Test1_Hand!$B$12,1,0)</f>
        <v>0</v>
      </c>
      <c r="F177" s="23" t="n">
        <f aca="false">Test1_Hand!$B$4+E177*D177</f>
        <v>16</v>
      </c>
      <c r="G177" s="24" t="n">
        <f aca="false">Test1_Hand!$B$6*E177*D177+Test1_Hand!$B$7*MAX(0,F177-Test1_Hand!$B$5)</f>
        <v>0</v>
      </c>
      <c r="H177" s="2" t="n">
        <f aca="false">IF(B177&lt;Test1_Hand!$B$13,1,0)</f>
        <v>0</v>
      </c>
      <c r="I177" s="23" t="n">
        <f aca="false">Test1_Hand!$B$4+H177*D177</f>
        <v>16</v>
      </c>
      <c r="J177" s="24" t="n">
        <f aca="false">Test1_Hand!$B$6*H177*D177+Test1_Hand!$B$7*MAX(0,I177-Test1_Hand!$B$5)+Test1_Hand!$B$14</f>
        <v>6000</v>
      </c>
    </row>
    <row r="178" customFormat="false" ht="15" hidden="false" customHeight="false" outlineLevel="0" collapsed="false">
      <c r="A178" s="2" t="n">
        <v>166</v>
      </c>
      <c r="B178" s="22" t="n">
        <v>0.697707364986354</v>
      </c>
      <c r="C178" s="22" t="n">
        <v>0.305372679678551</v>
      </c>
      <c r="D178" s="23" t="n">
        <f aca="false">BETAINV(C178,Test1_Hand!$B$21,Test1_Hand!$B$22,Test1_Hand!$B$9,Test1_Hand!$B$11)</f>
        <v>2.70913480359156</v>
      </c>
      <c r="E178" s="2" t="n">
        <f aca="false">IF(B178&lt;Test1_Hand!$B$12,1,0)</f>
        <v>0</v>
      </c>
      <c r="F178" s="23" t="n">
        <f aca="false">Test1_Hand!$B$4+E178*D178</f>
        <v>16</v>
      </c>
      <c r="G178" s="24" t="n">
        <f aca="false">Test1_Hand!$B$6*E178*D178+Test1_Hand!$B$7*MAX(0,F178-Test1_Hand!$B$5)</f>
        <v>0</v>
      </c>
      <c r="H178" s="2" t="n">
        <f aca="false">IF(B178&lt;Test1_Hand!$B$13,1,0)</f>
        <v>0</v>
      </c>
      <c r="I178" s="23" t="n">
        <f aca="false">Test1_Hand!$B$4+H178*D178</f>
        <v>16</v>
      </c>
      <c r="J178" s="24" t="n">
        <f aca="false">Test1_Hand!$B$6*H178*D178+Test1_Hand!$B$7*MAX(0,I178-Test1_Hand!$B$5)+Test1_Hand!$B$14</f>
        <v>6000</v>
      </c>
    </row>
    <row r="179" customFormat="false" ht="15" hidden="false" customHeight="false" outlineLevel="0" collapsed="false">
      <c r="A179" s="2" t="n">
        <v>167</v>
      </c>
      <c r="B179" s="22" t="n">
        <v>0.826495900200067</v>
      </c>
      <c r="C179" s="22" t="n">
        <v>0.213069930521467</v>
      </c>
      <c r="D179" s="23" t="n">
        <f aca="false">BETAINV(C179,Test1_Hand!$B$21,Test1_Hand!$B$22,Test1_Hand!$B$9,Test1_Hand!$B$11)</f>
        <v>2.37627953430103</v>
      </c>
      <c r="E179" s="2" t="n">
        <f aca="false">IF(B179&lt;Test1_Hand!$B$12,1,0)</f>
        <v>0</v>
      </c>
      <c r="F179" s="23" t="n">
        <f aca="false">Test1_Hand!$B$4+E179*D179</f>
        <v>16</v>
      </c>
      <c r="G179" s="24" t="n">
        <f aca="false">Test1_Hand!$B$6*E179*D179+Test1_Hand!$B$7*MAX(0,F179-Test1_Hand!$B$5)</f>
        <v>0</v>
      </c>
      <c r="H179" s="2" t="n">
        <f aca="false">IF(B179&lt;Test1_Hand!$B$13,1,0)</f>
        <v>0</v>
      </c>
      <c r="I179" s="23" t="n">
        <f aca="false">Test1_Hand!$B$4+H179*D179</f>
        <v>16</v>
      </c>
      <c r="J179" s="24" t="n">
        <f aca="false">Test1_Hand!$B$6*H179*D179+Test1_Hand!$B$7*MAX(0,I179-Test1_Hand!$B$5)+Test1_Hand!$B$14</f>
        <v>6000</v>
      </c>
    </row>
    <row r="180" customFormat="false" ht="15" hidden="false" customHeight="false" outlineLevel="0" collapsed="false">
      <c r="A180" s="2" t="n">
        <v>168</v>
      </c>
      <c r="B180" s="22" t="n">
        <v>0.275187063800572</v>
      </c>
      <c r="C180" s="22" t="n">
        <v>0.292518349500682</v>
      </c>
      <c r="D180" s="23" t="n">
        <f aca="false">BETAINV(C180,Test1_Hand!$B$21,Test1_Hand!$B$22,Test1_Hand!$B$9,Test1_Hand!$B$11)</f>
        <v>2.66405915750244</v>
      </c>
      <c r="E180" s="2" t="n">
        <f aca="false">IF(B180&lt;Test1_Hand!$B$12,1,0)</f>
        <v>1</v>
      </c>
      <c r="F180" s="23" t="n">
        <f aca="false">Test1_Hand!$B$4+E180*D180</f>
        <v>18.6640591575024</v>
      </c>
      <c r="G180" s="24" t="n">
        <f aca="false">Test1_Hand!$B$6*E180*D180+Test1_Hand!$B$7*MAX(0,F180-Test1_Hand!$B$5)</f>
        <v>21312.4732600195</v>
      </c>
      <c r="H180" s="2" t="n">
        <f aca="false">IF(B180&lt;Test1_Hand!$B$13,1,0)</f>
        <v>0</v>
      </c>
      <c r="I180" s="23" t="n">
        <f aca="false">Test1_Hand!$B$4+H180*D180</f>
        <v>16</v>
      </c>
      <c r="J180" s="24" t="n">
        <f aca="false">Test1_Hand!$B$6*H180*D180+Test1_Hand!$B$7*MAX(0,I180-Test1_Hand!$B$5)+Test1_Hand!$B$14</f>
        <v>6000</v>
      </c>
    </row>
    <row r="181" customFormat="false" ht="15" hidden="false" customHeight="false" outlineLevel="0" collapsed="false">
      <c r="A181" s="2" t="n">
        <v>169</v>
      </c>
      <c r="B181" s="22" t="n">
        <v>0.129356126523332</v>
      </c>
      <c r="C181" s="22" t="n">
        <v>0.750595521731513</v>
      </c>
      <c r="D181" s="23" t="n">
        <f aca="false">BETAINV(C181,Test1_Hand!$B$21,Test1_Hand!$B$22,Test1_Hand!$B$9,Test1_Hand!$B$11)</f>
        <v>4.37769194497987</v>
      </c>
      <c r="E181" s="2" t="n">
        <f aca="false">IF(B181&lt;Test1_Hand!$B$12,1,0)</f>
        <v>1</v>
      </c>
      <c r="F181" s="23" t="n">
        <f aca="false">Test1_Hand!$B$4+E181*D181</f>
        <v>20.3776919449799</v>
      </c>
      <c r="G181" s="24" t="n">
        <f aca="false">Test1_Hand!$B$6*E181*D181+Test1_Hand!$B$7*MAX(0,F181-Test1_Hand!$B$5)</f>
        <v>36909.9952847383</v>
      </c>
      <c r="H181" s="2" t="n">
        <f aca="false">IF(B181&lt;Test1_Hand!$B$13,1,0)</f>
        <v>1</v>
      </c>
      <c r="I181" s="23" t="n">
        <f aca="false">Test1_Hand!$B$4+H181*D181</f>
        <v>20.3776919449799</v>
      </c>
      <c r="J181" s="24" t="n">
        <f aca="false">Test1_Hand!$B$6*H181*D181+Test1_Hand!$B$7*MAX(0,I181-Test1_Hand!$B$5)+Test1_Hand!$B$14</f>
        <v>42909.9952847383</v>
      </c>
    </row>
    <row r="182" customFormat="false" ht="15" hidden="false" customHeight="false" outlineLevel="0" collapsed="false">
      <c r="A182" s="2" t="n">
        <v>170</v>
      </c>
      <c r="B182" s="22" t="n">
        <v>0.431515750054813</v>
      </c>
      <c r="C182" s="22" t="n">
        <v>0.125945208493127</v>
      </c>
      <c r="D182" s="23" t="n">
        <f aca="false">BETAINV(C182,Test1_Hand!$B$21,Test1_Hand!$B$22,Test1_Hand!$B$9,Test1_Hand!$B$11)</f>
        <v>2.02416018645451</v>
      </c>
      <c r="E182" s="2" t="n">
        <f aca="false">IF(B182&lt;Test1_Hand!$B$12,1,0)</f>
        <v>1</v>
      </c>
      <c r="F182" s="23" t="n">
        <f aca="false">Test1_Hand!$B$4+E182*D182</f>
        <v>18.0241601864545</v>
      </c>
      <c r="G182" s="24" t="n">
        <f aca="false">Test1_Hand!$B$6*E182*D182+Test1_Hand!$B$7*MAX(0,F182-Test1_Hand!$B$5)</f>
        <v>16193.2814916361</v>
      </c>
      <c r="H182" s="2" t="n">
        <f aca="false">IF(B182&lt;Test1_Hand!$B$13,1,0)</f>
        <v>0</v>
      </c>
      <c r="I182" s="23" t="n">
        <f aca="false">Test1_Hand!$B$4+H182*D182</f>
        <v>16</v>
      </c>
      <c r="J182" s="24" t="n">
        <f aca="false">Test1_Hand!$B$6*H182*D182+Test1_Hand!$B$7*MAX(0,I182-Test1_Hand!$B$5)+Test1_Hand!$B$14</f>
        <v>6000</v>
      </c>
    </row>
    <row r="183" customFormat="false" ht="15" hidden="false" customHeight="false" outlineLevel="0" collapsed="false">
      <c r="A183" s="2" t="n">
        <v>171</v>
      </c>
      <c r="B183" s="22" t="n">
        <v>0.536213672624353</v>
      </c>
      <c r="C183" s="22" t="n">
        <v>0.48832222160569</v>
      </c>
      <c r="D183" s="23" t="n">
        <f aca="false">BETAINV(C183,Test1_Hand!$B$21,Test1_Hand!$B$22,Test1_Hand!$B$9,Test1_Hand!$B$11)</f>
        <v>3.34149496901934</v>
      </c>
      <c r="E183" s="2" t="n">
        <f aca="false">IF(B183&lt;Test1_Hand!$B$12,1,0)</f>
        <v>0</v>
      </c>
      <c r="F183" s="23" t="n">
        <f aca="false">Test1_Hand!$B$4+E183*D183</f>
        <v>16</v>
      </c>
      <c r="G183" s="24" t="n">
        <f aca="false">Test1_Hand!$B$6*E183*D183+Test1_Hand!$B$7*MAX(0,F183-Test1_Hand!$B$5)</f>
        <v>0</v>
      </c>
      <c r="H183" s="2" t="n">
        <f aca="false">IF(B183&lt;Test1_Hand!$B$13,1,0)</f>
        <v>0</v>
      </c>
      <c r="I183" s="23" t="n">
        <f aca="false">Test1_Hand!$B$4+H183*D183</f>
        <v>16</v>
      </c>
      <c r="J183" s="24" t="n">
        <f aca="false">Test1_Hand!$B$6*H183*D183+Test1_Hand!$B$7*MAX(0,I183-Test1_Hand!$B$5)+Test1_Hand!$B$14</f>
        <v>6000</v>
      </c>
    </row>
    <row r="184" customFormat="false" ht="15" hidden="false" customHeight="false" outlineLevel="0" collapsed="false">
      <c r="A184" s="2" t="n">
        <v>172</v>
      </c>
      <c r="B184" s="22" t="n">
        <v>0.505250625025404</v>
      </c>
      <c r="C184" s="22" t="n">
        <v>0.712499611683691</v>
      </c>
      <c r="D184" s="23" t="n">
        <f aca="false">BETAINV(C184,Test1_Hand!$B$21,Test1_Hand!$B$22,Test1_Hand!$B$9,Test1_Hand!$B$11)</f>
        <v>4.20389439577967</v>
      </c>
      <c r="E184" s="2" t="n">
        <f aca="false">IF(B184&lt;Test1_Hand!$B$12,1,0)</f>
        <v>0</v>
      </c>
      <c r="F184" s="23" t="n">
        <f aca="false">Test1_Hand!$B$4+E184*D184</f>
        <v>16</v>
      </c>
      <c r="G184" s="24" t="n">
        <f aca="false">Test1_Hand!$B$6*E184*D184+Test1_Hand!$B$7*MAX(0,F184-Test1_Hand!$B$5)</f>
        <v>0</v>
      </c>
      <c r="H184" s="2" t="n">
        <f aca="false">IF(B184&lt;Test1_Hand!$B$13,1,0)</f>
        <v>0</v>
      </c>
      <c r="I184" s="23" t="n">
        <f aca="false">Test1_Hand!$B$4+H184*D184</f>
        <v>16</v>
      </c>
      <c r="J184" s="24" t="n">
        <f aca="false">Test1_Hand!$B$6*H184*D184+Test1_Hand!$B$7*MAX(0,I184-Test1_Hand!$B$5)+Test1_Hand!$B$14</f>
        <v>6000</v>
      </c>
    </row>
    <row r="185" customFormat="false" ht="15" hidden="false" customHeight="false" outlineLevel="0" collapsed="false">
      <c r="A185" s="2" t="n">
        <v>173</v>
      </c>
      <c r="B185" s="22" t="n">
        <v>0.066531639478719</v>
      </c>
      <c r="C185" s="22" t="n">
        <v>0.491942023249925</v>
      </c>
      <c r="D185" s="23" t="n">
        <f aca="false">BETAINV(C185,Test1_Hand!$B$21,Test1_Hand!$B$22,Test1_Hand!$B$9,Test1_Hand!$B$11)</f>
        <v>3.3542092086075</v>
      </c>
      <c r="E185" s="2" t="n">
        <f aca="false">IF(B185&lt;Test1_Hand!$B$12,1,0)</f>
        <v>1</v>
      </c>
      <c r="F185" s="23" t="n">
        <f aca="false">Test1_Hand!$B$4+E185*D185</f>
        <v>19.3542092086075</v>
      </c>
      <c r="G185" s="24" t="n">
        <f aca="false">Test1_Hand!$B$6*E185*D185+Test1_Hand!$B$7*MAX(0,F185-Test1_Hand!$B$5)</f>
        <v>26833.67366886</v>
      </c>
      <c r="H185" s="2" t="n">
        <f aca="false">IF(B185&lt;Test1_Hand!$B$13,1,0)</f>
        <v>1</v>
      </c>
      <c r="I185" s="23" t="n">
        <f aca="false">Test1_Hand!$B$4+H185*D185</f>
        <v>19.3542092086075</v>
      </c>
      <c r="J185" s="24" t="n">
        <f aca="false">Test1_Hand!$B$6*H185*D185+Test1_Hand!$B$7*MAX(0,I185-Test1_Hand!$B$5)+Test1_Hand!$B$14</f>
        <v>32833.67366886</v>
      </c>
    </row>
    <row r="186" customFormat="false" ht="15" hidden="false" customHeight="false" outlineLevel="0" collapsed="false">
      <c r="A186" s="2" t="n">
        <v>174</v>
      </c>
      <c r="B186" s="22" t="n">
        <v>0.0516044685162319</v>
      </c>
      <c r="C186" s="22" t="n">
        <v>0.976091932289048</v>
      </c>
      <c r="D186" s="23" t="n">
        <f aca="false">BETAINV(C186,Test1_Hand!$B$21,Test1_Hand!$B$22,Test1_Hand!$B$9,Test1_Hand!$B$11)</f>
        <v>6.19483221807787</v>
      </c>
      <c r="E186" s="2" t="n">
        <f aca="false">IF(B186&lt;Test1_Hand!$B$12,1,0)</f>
        <v>1</v>
      </c>
      <c r="F186" s="23" t="n">
        <f aca="false">Test1_Hand!$B$4+E186*D186</f>
        <v>22.1948322180779</v>
      </c>
      <c r="G186" s="24" t="n">
        <f aca="false">Test1_Hand!$B$6*E186*D186+Test1_Hand!$B$7*MAX(0,F186-Test1_Hand!$B$5)</f>
        <v>60532.8188350123</v>
      </c>
      <c r="H186" s="2" t="n">
        <f aca="false">IF(B186&lt;Test1_Hand!$B$13,1,0)</f>
        <v>1</v>
      </c>
      <c r="I186" s="23" t="n">
        <f aca="false">Test1_Hand!$B$4+H186*D186</f>
        <v>22.1948322180779</v>
      </c>
      <c r="J186" s="24" t="n">
        <f aca="false">Test1_Hand!$B$6*H186*D186+Test1_Hand!$B$7*MAX(0,I186-Test1_Hand!$B$5)+Test1_Hand!$B$14</f>
        <v>66532.8188350123</v>
      </c>
    </row>
    <row r="187" customFormat="false" ht="15" hidden="false" customHeight="false" outlineLevel="0" collapsed="false">
      <c r="A187" s="2" t="n">
        <v>175</v>
      </c>
      <c r="B187" s="22" t="n">
        <v>0.659899241776463</v>
      </c>
      <c r="C187" s="22" t="n">
        <v>0.169185272013621</v>
      </c>
      <c r="D187" s="23" t="n">
        <f aca="false">BETAINV(C187,Test1_Hand!$B$21,Test1_Hand!$B$22,Test1_Hand!$B$9,Test1_Hand!$B$11)</f>
        <v>2.20604387566151</v>
      </c>
      <c r="E187" s="2" t="n">
        <f aca="false">IF(B187&lt;Test1_Hand!$B$12,1,0)</f>
        <v>0</v>
      </c>
      <c r="F187" s="23" t="n">
        <f aca="false">Test1_Hand!$B$4+E187*D187</f>
        <v>16</v>
      </c>
      <c r="G187" s="24" t="n">
        <f aca="false">Test1_Hand!$B$6*E187*D187+Test1_Hand!$B$7*MAX(0,F187-Test1_Hand!$B$5)</f>
        <v>0</v>
      </c>
      <c r="H187" s="2" t="n">
        <f aca="false">IF(B187&lt;Test1_Hand!$B$13,1,0)</f>
        <v>0</v>
      </c>
      <c r="I187" s="23" t="n">
        <f aca="false">Test1_Hand!$B$4+H187*D187</f>
        <v>16</v>
      </c>
      <c r="J187" s="24" t="n">
        <f aca="false">Test1_Hand!$B$6*H187*D187+Test1_Hand!$B$7*MAX(0,I187-Test1_Hand!$B$5)+Test1_Hand!$B$14</f>
        <v>6000</v>
      </c>
    </row>
    <row r="188" customFormat="false" ht="15" hidden="false" customHeight="false" outlineLevel="0" collapsed="false">
      <c r="A188" s="2" t="n">
        <v>176</v>
      </c>
      <c r="B188" s="22" t="n">
        <v>0.91956342949535</v>
      </c>
      <c r="C188" s="22" t="n">
        <v>0.174988966312691</v>
      </c>
      <c r="D188" s="23" t="n">
        <f aca="false">BETAINV(C188,Test1_Hand!$B$21,Test1_Hand!$B$22,Test1_Hand!$B$9,Test1_Hand!$B$11)</f>
        <v>2.22923606094904</v>
      </c>
      <c r="E188" s="2" t="n">
        <f aca="false">IF(B188&lt;Test1_Hand!$B$12,1,0)</f>
        <v>0</v>
      </c>
      <c r="F188" s="23" t="n">
        <f aca="false">Test1_Hand!$B$4+E188*D188</f>
        <v>16</v>
      </c>
      <c r="G188" s="24" t="n">
        <f aca="false">Test1_Hand!$B$6*E188*D188+Test1_Hand!$B$7*MAX(0,F188-Test1_Hand!$B$5)</f>
        <v>0</v>
      </c>
      <c r="H188" s="2" t="n">
        <f aca="false">IF(B188&lt;Test1_Hand!$B$13,1,0)</f>
        <v>0</v>
      </c>
      <c r="I188" s="23" t="n">
        <f aca="false">Test1_Hand!$B$4+H188*D188</f>
        <v>16</v>
      </c>
      <c r="J188" s="24" t="n">
        <f aca="false">Test1_Hand!$B$6*H188*D188+Test1_Hand!$B$7*MAX(0,I188-Test1_Hand!$B$5)+Test1_Hand!$B$14</f>
        <v>6000</v>
      </c>
    </row>
    <row r="189" customFormat="false" ht="15" hidden="false" customHeight="false" outlineLevel="0" collapsed="false">
      <c r="A189" s="2" t="n">
        <v>177</v>
      </c>
      <c r="B189" s="22" t="n">
        <v>0.354588846447234</v>
      </c>
      <c r="C189" s="22" t="n">
        <v>0.0474879876463512</v>
      </c>
      <c r="D189" s="23" t="n">
        <f aca="false">BETAINV(C189,Test1_Hand!$B$21,Test1_Hand!$B$22,Test1_Hand!$B$9,Test1_Hand!$B$11)</f>
        <v>1.61381251716227</v>
      </c>
      <c r="E189" s="2" t="n">
        <f aca="false">IF(B189&lt;Test1_Hand!$B$12,1,0)</f>
        <v>1</v>
      </c>
      <c r="F189" s="23" t="n">
        <f aca="false">Test1_Hand!$B$4+E189*D189</f>
        <v>17.6138125171623</v>
      </c>
      <c r="G189" s="24" t="n">
        <f aca="false">Test1_Hand!$B$6*E189*D189+Test1_Hand!$B$7*MAX(0,F189-Test1_Hand!$B$5)</f>
        <v>12910.5001372982</v>
      </c>
      <c r="H189" s="2" t="n">
        <f aca="false">IF(B189&lt;Test1_Hand!$B$13,1,0)</f>
        <v>0</v>
      </c>
      <c r="I189" s="23" t="n">
        <f aca="false">Test1_Hand!$B$4+H189*D189</f>
        <v>16</v>
      </c>
      <c r="J189" s="24" t="n">
        <f aca="false">Test1_Hand!$B$6*H189*D189+Test1_Hand!$B$7*MAX(0,I189-Test1_Hand!$B$5)+Test1_Hand!$B$14</f>
        <v>6000</v>
      </c>
    </row>
    <row r="190" customFormat="false" ht="15" hidden="false" customHeight="false" outlineLevel="0" collapsed="false">
      <c r="A190" s="2" t="n">
        <v>178</v>
      </c>
      <c r="B190" s="22" t="n">
        <v>0.371264459445318</v>
      </c>
      <c r="C190" s="22" t="n">
        <v>0.731408961388247</v>
      </c>
      <c r="D190" s="23" t="n">
        <f aca="false">BETAINV(C190,Test1_Hand!$B$21,Test1_Hand!$B$22,Test1_Hand!$B$9,Test1_Hand!$B$11)</f>
        <v>4.28856554453088</v>
      </c>
      <c r="E190" s="2" t="n">
        <f aca="false">IF(B190&lt;Test1_Hand!$B$12,1,0)</f>
        <v>1</v>
      </c>
      <c r="F190" s="23" t="n">
        <f aca="false">Test1_Hand!$B$4+E190*D190</f>
        <v>20.2885655445309</v>
      </c>
      <c r="G190" s="24" t="n">
        <f aca="false">Test1_Hand!$B$6*E190*D190+Test1_Hand!$B$7*MAX(0,F190-Test1_Hand!$B$5)</f>
        <v>35751.3520789014</v>
      </c>
      <c r="H190" s="2" t="n">
        <f aca="false">IF(B190&lt;Test1_Hand!$B$13,1,0)</f>
        <v>0</v>
      </c>
      <c r="I190" s="23" t="n">
        <f aca="false">Test1_Hand!$B$4+H190*D190</f>
        <v>16</v>
      </c>
      <c r="J190" s="24" t="n">
        <f aca="false">Test1_Hand!$B$6*H190*D190+Test1_Hand!$B$7*MAX(0,I190-Test1_Hand!$B$5)+Test1_Hand!$B$14</f>
        <v>6000</v>
      </c>
    </row>
    <row r="191" customFormat="false" ht="15" hidden="false" customHeight="false" outlineLevel="0" collapsed="false">
      <c r="A191" s="2" t="n">
        <v>179</v>
      </c>
      <c r="B191" s="22" t="n">
        <v>0.121870172324835</v>
      </c>
      <c r="C191" s="22" t="n">
        <v>0.776984569380729</v>
      </c>
      <c r="D191" s="23" t="n">
        <f aca="false">BETAINV(C191,Test1_Hand!$B$21,Test1_Hand!$B$22,Test1_Hand!$B$9,Test1_Hand!$B$11)</f>
        <v>4.50649022019188</v>
      </c>
      <c r="E191" s="2" t="n">
        <f aca="false">IF(B191&lt;Test1_Hand!$B$12,1,0)</f>
        <v>1</v>
      </c>
      <c r="F191" s="23" t="n">
        <f aca="false">Test1_Hand!$B$4+E191*D191</f>
        <v>20.5064902201919</v>
      </c>
      <c r="G191" s="24" t="n">
        <f aca="false">Test1_Hand!$B$6*E191*D191+Test1_Hand!$B$7*MAX(0,F191-Test1_Hand!$B$5)</f>
        <v>38584.3728624944</v>
      </c>
      <c r="H191" s="2" t="n">
        <f aca="false">IF(B191&lt;Test1_Hand!$B$13,1,0)</f>
        <v>1</v>
      </c>
      <c r="I191" s="23" t="n">
        <f aca="false">Test1_Hand!$B$4+H191*D191</f>
        <v>20.5064902201919</v>
      </c>
      <c r="J191" s="24" t="n">
        <f aca="false">Test1_Hand!$B$6*H191*D191+Test1_Hand!$B$7*MAX(0,I191-Test1_Hand!$B$5)+Test1_Hand!$B$14</f>
        <v>44584.3728624944</v>
      </c>
    </row>
    <row r="192" customFormat="false" ht="15" hidden="false" customHeight="false" outlineLevel="0" collapsed="false">
      <c r="A192" s="2" t="n">
        <v>180</v>
      </c>
      <c r="B192" s="22" t="n">
        <v>0.427082194131299</v>
      </c>
      <c r="C192" s="22" t="n">
        <v>0.802327912670455</v>
      </c>
      <c r="D192" s="23" t="n">
        <f aca="false">BETAINV(C192,Test1_Hand!$B$21,Test1_Hand!$B$22,Test1_Hand!$B$9,Test1_Hand!$B$11)</f>
        <v>4.63837827355211</v>
      </c>
      <c r="E192" s="2" t="n">
        <f aca="false">IF(B192&lt;Test1_Hand!$B$12,1,0)</f>
        <v>1</v>
      </c>
      <c r="F192" s="23" t="n">
        <f aca="false">Test1_Hand!$B$4+E192*D192</f>
        <v>20.6383782735521</v>
      </c>
      <c r="G192" s="24" t="n">
        <f aca="false">Test1_Hand!$B$6*E192*D192+Test1_Hand!$B$7*MAX(0,F192-Test1_Hand!$B$5)</f>
        <v>40298.9175561775</v>
      </c>
      <c r="H192" s="2" t="n">
        <f aca="false">IF(B192&lt;Test1_Hand!$B$13,1,0)</f>
        <v>0</v>
      </c>
      <c r="I192" s="23" t="n">
        <f aca="false">Test1_Hand!$B$4+H192*D192</f>
        <v>16</v>
      </c>
      <c r="J192" s="24" t="n">
        <f aca="false">Test1_Hand!$B$6*H192*D192+Test1_Hand!$B$7*MAX(0,I192-Test1_Hand!$B$5)+Test1_Hand!$B$14</f>
        <v>6000</v>
      </c>
    </row>
    <row r="193" customFormat="false" ht="15" hidden="false" customHeight="false" outlineLevel="0" collapsed="false">
      <c r="A193" s="2" t="n">
        <v>181</v>
      </c>
      <c r="B193" s="22" t="n">
        <v>0.173927392601697</v>
      </c>
      <c r="C193" s="22" t="n">
        <v>0.902346741214511</v>
      </c>
      <c r="D193" s="23" t="n">
        <f aca="false">BETAINV(C193,Test1_Hand!$B$21,Test1_Hand!$B$22,Test1_Hand!$B$9,Test1_Hand!$B$11)</f>
        <v>5.29196884092845</v>
      </c>
      <c r="E193" s="2" t="n">
        <f aca="false">IF(B193&lt;Test1_Hand!$B$12,1,0)</f>
        <v>1</v>
      </c>
      <c r="F193" s="23" t="n">
        <f aca="false">Test1_Hand!$B$4+E193*D193</f>
        <v>21.2919688409285</v>
      </c>
      <c r="G193" s="24" t="n">
        <f aca="false">Test1_Hand!$B$6*E193*D193+Test1_Hand!$B$7*MAX(0,F193-Test1_Hand!$B$5)</f>
        <v>48795.5949320699</v>
      </c>
      <c r="H193" s="2" t="n">
        <f aca="false">IF(B193&lt;Test1_Hand!$B$13,1,0)</f>
        <v>1</v>
      </c>
      <c r="I193" s="23" t="n">
        <f aca="false">Test1_Hand!$B$4+H193*D193</f>
        <v>21.2919688409285</v>
      </c>
      <c r="J193" s="24" t="n">
        <f aca="false">Test1_Hand!$B$6*H193*D193+Test1_Hand!$B$7*MAX(0,I193-Test1_Hand!$B$5)+Test1_Hand!$B$14</f>
        <v>54795.5949320699</v>
      </c>
    </row>
    <row r="194" customFormat="false" ht="15" hidden="false" customHeight="false" outlineLevel="0" collapsed="false">
      <c r="A194" s="2" t="n">
        <v>182</v>
      </c>
      <c r="B194" s="22" t="n">
        <v>0.727262308460995</v>
      </c>
      <c r="C194" s="22" t="n">
        <v>0.0482212042399763</v>
      </c>
      <c r="D194" s="23" t="n">
        <f aca="false">BETAINV(C194,Test1_Hand!$B$21,Test1_Hand!$B$22,Test1_Hand!$B$9,Test1_Hand!$B$11)</f>
        <v>1.61862227845578</v>
      </c>
      <c r="E194" s="2" t="n">
        <f aca="false">IF(B194&lt;Test1_Hand!$B$12,1,0)</f>
        <v>0</v>
      </c>
      <c r="F194" s="23" t="n">
        <f aca="false">Test1_Hand!$B$4+E194*D194</f>
        <v>16</v>
      </c>
      <c r="G194" s="24" t="n">
        <f aca="false">Test1_Hand!$B$6*E194*D194+Test1_Hand!$B$7*MAX(0,F194-Test1_Hand!$B$5)</f>
        <v>0</v>
      </c>
      <c r="H194" s="2" t="n">
        <f aca="false">IF(B194&lt;Test1_Hand!$B$13,1,0)</f>
        <v>0</v>
      </c>
      <c r="I194" s="23" t="n">
        <f aca="false">Test1_Hand!$B$4+H194*D194</f>
        <v>16</v>
      </c>
      <c r="J194" s="24" t="n">
        <f aca="false">Test1_Hand!$B$6*H194*D194+Test1_Hand!$B$7*MAX(0,I194-Test1_Hand!$B$5)+Test1_Hand!$B$14</f>
        <v>6000</v>
      </c>
    </row>
    <row r="195" customFormat="false" ht="15" hidden="false" customHeight="false" outlineLevel="0" collapsed="false">
      <c r="A195" s="2" t="n">
        <v>183</v>
      </c>
      <c r="B195" s="22" t="n">
        <v>0.479248445792966</v>
      </c>
      <c r="C195" s="22" t="n">
        <v>0.0655310657688277</v>
      </c>
      <c r="D195" s="23" t="n">
        <f aca="false">BETAINV(C195,Test1_Hand!$B$21,Test1_Hand!$B$22,Test1_Hand!$B$9,Test1_Hand!$B$11)</f>
        <v>1.72420468207465</v>
      </c>
      <c r="E195" s="2" t="n">
        <f aca="false">IF(B195&lt;Test1_Hand!$B$12,1,0)</f>
        <v>1</v>
      </c>
      <c r="F195" s="23" t="n">
        <f aca="false">Test1_Hand!$B$4+E195*D195</f>
        <v>17.7242046820747</v>
      </c>
      <c r="G195" s="24" t="n">
        <f aca="false">Test1_Hand!$B$6*E195*D195+Test1_Hand!$B$7*MAX(0,F195-Test1_Hand!$B$5)</f>
        <v>13793.6374565972</v>
      </c>
      <c r="H195" s="2" t="n">
        <f aca="false">IF(B195&lt;Test1_Hand!$B$13,1,0)</f>
        <v>0</v>
      </c>
      <c r="I195" s="23" t="n">
        <f aca="false">Test1_Hand!$B$4+H195*D195</f>
        <v>16</v>
      </c>
      <c r="J195" s="24" t="n">
        <f aca="false">Test1_Hand!$B$6*H195*D195+Test1_Hand!$B$7*MAX(0,I195-Test1_Hand!$B$5)+Test1_Hand!$B$14</f>
        <v>6000</v>
      </c>
    </row>
    <row r="196" customFormat="false" ht="15" hidden="false" customHeight="false" outlineLevel="0" collapsed="false">
      <c r="A196" s="2" t="n">
        <v>184</v>
      </c>
      <c r="B196" s="22" t="n">
        <v>0.722459755480767</v>
      </c>
      <c r="C196" s="22" t="n">
        <v>0.363261633382235</v>
      </c>
      <c r="D196" s="23" t="n">
        <f aca="false">BETAINV(C196,Test1_Hand!$B$21,Test1_Hand!$B$22,Test1_Hand!$B$9,Test1_Hand!$B$11)</f>
        <v>2.90954956638382</v>
      </c>
      <c r="E196" s="2" t="n">
        <f aca="false">IF(B196&lt;Test1_Hand!$B$12,1,0)</f>
        <v>0</v>
      </c>
      <c r="F196" s="23" t="n">
        <f aca="false">Test1_Hand!$B$4+E196*D196</f>
        <v>16</v>
      </c>
      <c r="G196" s="24" t="n">
        <f aca="false">Test1_Hand!$B$6*E196*D196+Test1_Hand!$B$7*MAX(0,F196-Test1_Hand!$B$5)</f>
        <v>0</v>
      </c>
      <c r="H196" s="2" t="n">
        <f aca="false">IF(B196&lt;Test1_Hand!$B$13,1,0)</f>
        <v>0</v>
      </c>
      <c r="I196" s="23" t="n">
        <f aca="false">Test1_Hand!$B$4+H196*D196</f>
        <v>16</v>
      </c>
      <c r="J196" s="24" t="n">
        <f aca="false">Test1_Hand!$B$6*H196*D196+Test1_Hand!$B$7*MAX(0,I196-Test1_Hand!$B$5)+Test1_Hand!$B$14</f>
        <v>6000</v>
      </c>
    </row>
    <row r="197" customFormat="false" ht="15" hidden="false" customHeight="false" outlineLevel="0" collapsed="false">
      <c r="A197" s="2" t="n">
        <v>185</v>
      </c>
      <c r="B197" s="22" t="n">
        <v>0.774153804336003</v>
      </c>
      <c r="C197" s="22" t="n">
        <v>0.882534299582802</v>
      </c>
      <c r="D197" s="23" t="n">
        <f aca="false">BETAINV(C197,Test1_Hand!$B$21,Test1_Hand!$B$22,Test1_Hand!$B$9,Test1_Hand!$B$11)</f>
        <v>5.13757480581429</v>
      </c>
      <c r="E197" s="2" t="n">
        <f aca="false">IF(B197&lt;Test1_Hand!$B$12,1,0)</f>
        <v>0</v>
      </c>
      <c r="F197" s="23" t="n">
        <f aca="false">Test1_Hand!$B$4+E197*D197</f>
        <v>16</v>
      </c>
      <c r="G197" s="24" t="n">
        <f aca="false">Test1_Hand!$B$6*E197*D197+Test1_Hand!$B$7*MAX(0,F197-Test1_Hand!$B$5)</f>
        <v>0</v>
      </c>
      <c r="H197" s="2" t="n">
        <f aca="false">IF(B197&lt;Test1_Hand!$B$13,1,0)</f>
        <v>0</v>
      </c>
      <c r="I197" s="23" t="n">
        <f aca="false">Test1_Hand!$B$4+H197*D197</f>
        <v>16</v>
      </c>
      <c r="J197" s="24" t="n">
        <f aca="false">Test1_Hand!$B$6*H197*D197+Test1_Hand!$B$7*MAX(0,I197-Test1_Hand!$B$5)+Test1_Hand!$B$14</f>
        <v>6000</v>
      </c>
    </row>
    <row r="198" customFormat="false" ht="15" hidden="false" customHeight="false" outlineLevel="0" collapsed="false">
      <c r="A198" s="2" t="n">
        <v>186</v>
      </c>
      <c r="B198" s="22" t="n">
        <v>0.17636489744333</v>
      </c>
      <c r="C198" s="22" t="n">
        <v>0.810375421829809</v>
      </c>
      <c r="D198" s="23" t="n">
        <f aca="false">BETAINV(C198,Test1_Hand!$B$21,Test1_Hand!$B$22,Test1_Hand!$B$9,Test1_Hand!$B$11)</f>
        <v>4.68224646856348</v>
      </c>
      <c r="E198" s="2" t="n">
        <f aca="false">IF(B198&lt;Test1_Hand!$B$12,1,0)</f>
        <v>1</v>
      </c>
      <c r="F198" s="23" t="n">
        <f aca="false">Test1_Hand!$B$4+E198*D198</f>
        <v>20.6822464685635</v>
      </c>
      <c r="G198" s="24" t="n">
        <f aca="false">Test1_Hand!$B$6*E198*D198+Test1_Hand!$B$7*MAX(0,F198-Test1_Hand!$B$5)</f>
        <v>40869.2040913253</v>
      </c>
      <c r="H198" s="2" t="n">
        <f aca="false">IF(B198&lt;Test1_Hand!$B$13,1,0)</f>
        <v>1</v>
      </c>
      <c r="I198" s="23" t="n">
        <f aca="false">Test1_Hand!$B$4+H198*D198</f>
        <v>20.6822464685635</v>
      </c>
      <c r="J198" s="24" t="n">
        <f aca="false">Test1_Hand!$B$6*H198*D198+Test1_Hand!$B$7*MAX(0,I198-Test1_Hand!$B$5)+Test1_Hand!$B$14</f>
        <v>46869.2040913253</v>
      </c>
    </row>
    <row r="199" customFormat="false" ht="15" hidden="false" customHeight="false" outlineLevel="0" collapsed="false">
      <c r="A199" s="2" t="n">
        <v>187</v>
      </c>
      <c r="B199" s="22" t="n">
        <v>0.385762634351157</v>
      </c>
      <c r="C199" s="22" t="n">
        <v>0.382279975055993</v>
      </c>
      <c r="D199" s="23" t="n">
        <f aca="false">BETAINV(C199,Test1_Hand!$B$21,Test1_Hand!$B$22,Test1_Hand!$B$9,Test1_Hand!$B$11)</f>
        <v>2.97489518101899</v>
      </c>
      <c r="E199" s="2" t="n">
        <f aca="false">IF(B199&lt;Test1_Hand!$B$12,1,0)</f>
        <v>1</v>
      </c>
      <c r="F199" s="23" t="n">
        <f aca="false">Test1_Hand!$B$4+E199*D199</f>
        <v>18.974895181019</v>
      </c>
      <c r="G199" s="24" t="n">
        <f aca="false">Test1_Hand!$B$6*E199*D199+Test1_Hand!$B$7*MAX(0,F199-Test1_Hand!$B$5)</f>
        <v>23799.1614481519</v>
      </c>
      <c r="H199" s="2" t="n">
        <f aca="false">IF(B199&lt;Test1_Hand!$B$13,1,0)</f>
        <v>0</v>
      </c>
      <c r="I199" s="23" t="n">
        <f aca="false">Test1_Hand!$B$4+H199*D199</f>
        <v>16</v>
      </c>
      <c r="J199" s="24" t="n">
        <f aca="false">Test1_Hand!$B$6*H199*D199+Test1_Hand!$B$7*MAX(0,I199-Test1_Hand!$B$5)+Test1_Hand!$B$14</f>
        <v>6000</v>
      </c>
    </row>
    <row r="200" customFormat="false" ht="15" hidden="false" customHeight="false" outlineLevel="0" collapsed="false">
      <c r="A200" s="2" t="n">
        <v>188</v>
      </c>
      <c r="B200" s="22" t="n">
        <v>0.654323987801991</v>
      </c>
      <c r="C200" s="22" t="n">
        <v>0.974126818169347</v>
      </c>
      <c r="D200" s="23" t="n">
        <f aca="false">BETAINV(C200,Test1_Hand!$B$21,Test1_Hand!$B$22,Test1_Hand!$B$9,Test1_Hand!$B$11)</f>
        <v>6.154322338231</v>
      </c>
      <c r="E200" s="2" t="n">
        <f aca="false">IF(B200&lt;Test1_Hand!$B$12,1,0)</f>
        <v>0</v>
      </c>
      <c r="F200" s="23" t="n">
        <f aca="false">Test1_Hand!$B$4+E200*D200</f>
        <v>16</v>
      </c>
      <c r="G200" s="24" t="n">
        <f aca="false">Test1_Hand!$B$6*E200*D200+Test1_Hand!$B$7*MAX(0,F200-Test1_Hand!$B$5)</f>
        <v>0</v>
      </c>
      <c r="H200" s="2" t="n">
        <f aca="false">IF(B200&lt;Test1_Hand!$B$13,1,0)</f>
        <v>0</v>
      </c>
      <c r="I200" s="23" t="n">
        <f aca="false">Test1_Hand!$B$4+H200*D200</f>
        <v>16</v>
      </c>
      <c r="J200" s="24" t="n">
        <f aca="false">Test1_Hand!$B$6*H200*D200+Test1_Hand!$B$7*MAX(0,I200-Test1_Hand!$B$5)+Test1_Hand!$B$14</f>
        <v>6000</v>
      </c>
    </row>
    <row r="201" customFormat="false" ht="15" hidden="false" customHeight="false" outlineLevel="0" collapsed="false">
      <c r="A201" s="2" t="n">
        <v>189</v>
      </c>
      <c r="B201" s="22" t="n">
        <v>0.682487869309536</v>
      </c>
      <c r="C201" s="22" t="n">
        <v>0.221064763019768</v>
      </c>
      <c r="D201" s="23" t="n">
        <f aca="false">BETAINV(C201,Test1_Hand!$B$21,Test1_Hand!$B$22,Test1_Hand!$B$9,Test1_Hand!$B$11)</f>
        <v>2.4062104731666</v>
      </c>
      <c r="E201" s="2" t="n">
        <f aca="false">IF(B201&lt;Test1_Hand!$B$12,1,0)</f>
        <v>0</v>
      </c>
      <c r="F201" s="23" t="n">
        <f aca="false">Test1_Hand!$B$4+E201*D201</f>
        <v>16</v>
      </c>
      <c r="G201" s="24" t="n">
        <f aca="false">Test1_Hand!$B$6*E201*D201+Test1_Hand!$B$7*MAX(0,F201-Test1_Hand!$B$5)</f>
        <v>0</v>
      </c>
      <c r="H201" s="2" t="n">
        <f aca="false">IF(B201&lt;Test1_Hand!$B$13,1,0)</f>
        <v>0</v>
      </c>
      <c r="I201" s="23" t="n">
        <f aca="false">Test1_Hand!$B$4+H201*D201</f>
        <v>16</v>
      </c>
      <c r="J201" s="24" t="n">
        <f aca="false">Test1_Hand!$B$6*H201*D201+Test1_Hand!$B$7*MAX(0,I201-Test1_Hand!$B$5)+Test1_Hand!$B$14</f>
        <v>6000</v>
      </c>
    </row>
    <row r="202" customFormat="false" ht="15" hidden="false" customHeight="false" outlineLevel="0" collapsed="false">
      <c r="A202" s="2" t="n">
        <v>190</v>
      </c>
      <c r="B202" s="22" t="n">
        <v>0.000437086823813937</v>
      </c>
      <c r="C202" s="22" t="n">
        <v>0.111393771729525</v>
      </c>
      <c r="D202" s="23" t="n">
        <f aca="false">BETAINV(C202,Test1_Hand!$B$21,Test1_Hand!$B$22,Test1_Hand!$B$9,Test1_Hand!$B$11)</f>
        <v>1.95823408303106</v>
      </c>
      <c r="E202" s="2" t="n">
        <f aca="false">IF(B202&lt;Test1_Hand!$B$12,1,0)</f>
        <v>1</v>
      </c>
      <c r="F202" s="23" t="n">
        <f aca="false">Test1_Hand!$B$4+E202*D202</f>
        <v>17.9582340830311</v>
      </c>
      <c r="G202" s="24" t="n">
        <f aca="false">Test1_Hand!$B$6*E202*D202+Test1_Hand!$B$7*MAX(0,F202-Test1_Hand!$B$5)</f>
        <v>15665.8726642485</v>
      </c>
      <c r="H202" s="2" t="n">
        <f aca="false">IF(B202&lt;Test1_Hand!$B$13,1,0)</f>
        <v>1</v>
      </c>
      <c r="I202" s="23" t="n">
        <f aca="false">Test1_Hand!$B$4+H202*D202</f>
        <v>17.9582340830311</v>
      </c>
      <c r="J202" s="24" t="n">
        <f aca="false">Test1_Hand!$B$6*H202*D202+Test1_Hand!$B$7*MAX(0,I202-Test1_Hand!$B$5)+Test1_Hand!$B$14</f>
        <v>21665.8726642485</v>
      </c>
    </row>
    <row r="203" customFormat="false" ht="15" hidden="false" customHeight="false" outlineLevel="0" collapsed="false">
      <c r="A203" s="2" t="n">
        <v>191</v>
      </c>
      <c r="B203" s="22" t="n">
        <v>0.294688835551863</v>
      </c>
      <c r="C203" s="22" t="n">
        <v>0.0689304137764724</v>
      </c>
      <c r="D203" s="23" t="n">
        <f aca="false">BETAINV(C203,Test1_Hand!$B$21,Test1_Hand!$B$22,Test1_Hand!$B$9,Test1_Hand!$B$11)</f>
        <v>1.74346510574084</v>
      </c>
      <c r="E203" s="2" t="n">
        <f aca="false">IF(B203&lt;Test1_Hand!$B$12,1,0)</f>
        <v>1</v>
      </c>
      <c r="F203" s="23" t="n">
        <f aca="false">Test1_Hand!$B$4+E203*D203</f>
        <v>17.7434651057408</v>
      </c>
      <c r="G203" s="24" t="n">
        <f aca="false">Test1_Hand!$B$6*E203*D203+Test1_Hand!$B$7*MAX(0,F203-Test1_Hand!$B$5)</f>
        <v>13947.7208459267</v>
      </c>
      <c r="H203" s="2" t="n">
        <f aca="false">IF(B203&lt;Test1_Hand!$B$13,1,0)</f>
        <v>0</v>
      </c>
      <c r="I203" s="23" t="n">
        <f aca="false">Test1_Hand!$B$4+H203*D203</f>
        <v>16</v>
      </c>
      <c r="J203" s="24" t="n">
        <f aca="false">Test1_Hand!$B$6*H203*D203+Test1_Hand!$B$7*MAX(0,I203-Test1_Hand!$B$5)+Test1_Hand!$B$14</f>
        <v>6000</v>
      </c>
    </row>
    <row r="204" customFormat="false" ht="15" hidden="false" customHeight="false" outlineLevel="0" collapsed="false">
      <c r="A204" s="2" t="n">
        <v>192</v>
      </c>
      <c r="B204" s="22" t="n">
        <v>0.0663074053199114</v>
      </c>
      <c r="C204" s="22" t="n">
        <v>0.946342232497467</v>
      </c>
      <c r="D204" s="23" t="n">
        <f aca="false">BETAINV(C204,Test1_Hand!$B$21,Test1_Hand!$B$22,Test1_Hand!$B$9,Test1_Hand!$B$11)</f>
        <v>5.72812145118044</v>
      </c>
      <c r="E204" s="2" t="n">
        <f aca="false">IF(B204&lt;Test1_Hand!$B$12,1,0)</f>
        <v>1</v>
      </c>
      <c r="F204" s="23" t="n">
        <f aca="false">Test1_Hand!$B$4+E204*D204</f>
        <v>21.7281214511804</v>
      </c>
      <c r="G204" s="24" t="n">
        <f aca="false">Test1_Hand!$B$6*E204*D204+Test1_Hand!$B$7*MAX(0,F204-Test1_Hand!$B$5)</f>
        <v>54465.5788653457</v>
      </c>
      <c r="H204" s="2" t="n">
        <f aca="false">IF(B204&lt;Test1_Hand!$B$13,1,0)</f>
        <v>1</v>
      </c>
      <c r="I204" s="23" t="n">
        <f aca="false">Test1_Hand!$B$4+H204*D204</f>
        <v>21.7281214511804</v>
      </c>
      <c r="J204" s="24" t="n">
        <f aca="false">Test1_Hand!$B$6*H204*D204+Test1_Hand!$B$7*MAX(0,I204-Test1_Hand!$B$5)+Test1_Hand!$B$14</f>
        <v>60465.5788653457</v>
      </c>
    </row>
    <row r="205" customFormat="false" ht="15" hidden="false" customHeight="false" outlineLevel="0" collapsed="false">
      <c r="A205" s="2" t="n">
        <v>193</v>
      </c>
      <c r="B205" s="22" t="n">
        <v>0.151670872049158</v>
      </c>
      <c r="C205" s="22" t="n">
        <v>0.333923961420951</v>
      </c>
      <c r="D205" s="23" t="n">
        <f aca="false">BETAINV(C205,Test1_Hand!$B$21,Test1_Hand!$B$22,Test1_Hand!$B$9,Test1_Hand!$B$11)</f>
        <v>2.80839059269684</v>
      </c>
      <c r="E205" s="2" t="n">
        <f aca="false">IF(B205&lt;Test1_Hand!$B$12,1,0)</f>
        <v>1</v>
      </c>
      <c r="F205" s="23" t="n">
        <f aca="false">Test1_Hand!$B$4+E205*D205</f>
        <v>18.8083905926968</v>
      </c>
      <c r="G205" s="24" t="n">
        <f aca="false">Test1_Hand!$B$6*E205*D205+Test1_Hand!$B$7*MAX(0,F205-Test1_Hand!$B$5)</f>
        <v>22467.1247415747</v>
      </c>
      <c r="H205" s="2" t="n">
        <f aca="false">IF(B205&lt;Test1_Hand!$B$13,1,0)</f>
        <v>1</v>
      </c>
      <c r="I205" s="23" t="n">
        <f aca="false">Test1_Hand!$B$4+H205*D205</f>
        <v>18.8083905926968</v>
      </c>
      <c r="J205" s="24" t="n">
        <f aca="false">Test1_Hand!$B$6*H205*D205+Test1_Hand!$B$7*MAX(0,I205-Test1_Hand!$B$5)+Test1_Hand!$B$14</f>
        <v>28467.1247415747</v>
      </c>
    </row>
    <row r="206" customFormat="false" ht="15" hidden="false" customHeight="false" outlineLevel="0" collapsed="false">
      <c r="A206" s="2" t="n">
        <v>194</v>
      </c>
      <c r="B206" s="22" t="n">
        <v>0.96582711826138</v>
      </c>
      <c r="C206" s="22" t="n">
        <v>0.533697317609606</v>
      </c>
      <c r="D206" s="23" t="n">
        <f aca="false">BETAINV(C206,Test1_Hand!$B$21,Test1_Hand!$B$22,Test1_Hand!$B$9,Test1_Hand!$B$11)</f>
        <v>3.50258678386023</v>
      </c>
      <c r="E206" s="2" t="n">
        <f aca="false">IF(B206&lt;Test1_Hand!$B$12,1,0)</f>
        <v>0</v>
      </c>
      <c r="F206" s="23" t="n">
        <f aca="false">Test1_Hand!$B$4+E206*D206</f>
        <v>16</v>
      </c>
      <c r="G206" s="24" t="n">
        <f aca="false">Test1_Hand!$B$6*E206*D206+Test1_Hand!$B$7*MAX(0,F206-Test1_Hand!$B$5)</f>
        <v>0</v>
      </c>
      <c r="H206" s="2" t="n">
        <f aca="false">IF(B206&lt;Test1_Hand!$B$13,1,0)</f>
        <v>0</v>
      </c>
      <c r="I206" s="23" t="n">
        <f aca="false">Test1_Hand!$B$4+H206*D206</f>
        <v>16</v>
      </c>
      <c r="J206" s="24" t="n">
        <f aca="false">Test1_Hand!$B$6*H206*D206+Test1_Hand!$B$7*MAX(0,I206-Test1_Hand!$B$5)+Test1_Hand!$B$14</f>
        <v>6000</v>
      </c>
    </row>
    <row r="207" customFormat="false" ht="15" hidden="false" customHeight="false" outlineLevel="0" collapsed="false">
      <c r="A207" s="2" t="n">
        <v>195</v>
      </c>
      <c r="B207" s="22" t="n">
        <v>0.692683829664285</v>
      </c>
      <c r="C207" s="22" t="n">
        <v>0.287596685573232</v>
      </c>
      <c r="D207" s="23" t="n">
        <f aca="false">BETAINV(C207,Test1_Hand!$B$21,Test1_Hand!$B$22,Test1_Hand!$B$9,Test1_Hand!$B$11)</f>
        <v>2.64672141317176</v>
      </c>
      <c r="E207" s="2" t="n">
        <f aca="false">IF(B207&lt;Test1_Hand!$B$12,1,0)</f>
        <v>0</v>
      </c>
      <c r="F207" s="23" t="n">
        <f aca="false">Test1_Hand!$B$4+E207*D207</f>
        <v>16</v>
      </c>
      <c r="G207" s="24" t="n">
        <f aca="false">Test1_Hand!$B$6*E207*D207+Test1_Hand!$B$7*MAX(0,F207-Test1_Hand!$B$5)</f>
        <v>0</v>
      </c>
      <c r="H207" s="2" t="n">
        <f aca="false">IF(B207&lt;Test1_Hand!$B$13,1,0)</f>
        <v>0</v>
      </c>
      <c r="I207" s="23" t="n">
        <f aca="false">Test1_Hand!$B$4+H207*D207</f>
        <v>16</v>
      </c>
      <c r="J207" s="24" t="n">
        <f aca="false">Test1_Hand!$B$6*H207*D207+Test1_Hand!$B$7*MAX(0,I207-Test1_Hand!$B$5)+Test1_Hand!$B$14</f>
        <v>6000</v>
      </c>
    </row>
    <row r="208" customFormat="false" ht="15" hidden="false" customHeight="false" outlineLevel="0" collapsed="false">
      <c r="A208" s="2" t="n">
        <v>196</v>
      </c>
      <c r="B208" s="22" t="n">
        <v>0.666060124213508</v>
      </c>
      <c r="C208" s="22" t="n">
        <v>0.163056204252154</v>
      </c>
      <c r="D208" s="23" t="n">
        <f aca="false">BETAINV(C208,Test1_Hand!$B$21,Test1_Hand!$B$22,Test1_Hand!$B$9,Test1_Hand!$B$11)</f>
        <v>2.18128283096363</v>
      </c>
      <c r="E208" s="2" t="n">
        <f aca="false">IF(B208&lt;Test1_Hand!$B$12,1,0)</f>
        <v>0</v>
      </c>
      <c r="F208" s="23" t="n">
        <f aca="false">Test1_Hand!$B$4+E208*D208</f>
        <v>16</v>
      </c>
      <c r="G208" s="24" t="n">
        <f aca="false">Test1_Hand!$B$6*E208*D208+Test1_Hand!$B$7*MAX(0,F208-Test1_Hand!$B$5)</f>
        <v>0</v>
      </c>
      <c r="H208" s="2" t="n">
        <f aca="false">IF(B208&lt;Test1_Hand!$B$13,1,0)</f>
        <v>0</v>
      </c>
      <c r="I208" s="23" t="n">
        <f aca="false">Test1_Hand!$B$4+H208*D208</f>
        <v>16</v>
      </c>
      <c r="J208" s="24" t="n">
        <f aca="false">Test1_Hand!$B$6*H208*D208+Test1_Hand!$B$7*MAX(0,I208-Test1_Hand!$B$5)+Test1_Hand!$B$14</f>
        <v>6000</v>
      </c>
    </row>
    <row r="209" customFormat="false" ht="15" hidden="false" customHeight="false" outlineLevel="0" collapsed="false">
      <c r="A209" s="2" t="n">
        <v>197</v>
      </c>
      <c r="B209" s="22" t="n">
        <v>0.34608929086359</v>
      </c>
      <c r="C209" s="22" t="n">
        <v>0.906611632355572</v>
      </c>
      <c r="D209" s="23" t="n">
        <f aca="false">BETAINV(C209,Test1_Hand!$B$21,Test1_Hand!$B$22,Test1_Hand!$B$9,Test1_Hand!$B$11)</f>
        <v>5.32775251166335</v>
      </c>
      <c r="E209" s="2" t="n">
        <f aca="false">IF(B209&lt;Test1_Hand!$B$12,1,0)</f>
        <v>1</v>
      </c>
      <c r="F209" s="23" t="n">
        <f aca="false">Test1_Hand!$B$4+E209*D209</f>
        <v>21.3277525116633</v>
      </c>
      <c r="G209" s="24" t="n">
        <f aca="false">Test1_Hand!$B$6*E209*D209+Test1_Hand!$B$7*MAX(0,F209-Test1_Hand!$B$5)</f>
        <v>49260.7826516235</v>
      </c>
      <c r="H209" s="2" t="n">
        <f aca="false">IF(B209&lt;Test1_Hand!$B$13,1,0)</f>
        <v>0</v>
      </c>
      <c r="I209" s="23" t="n">
        <f aca="false">Test1_Hand!$B$4+H209*D209</f>
        <v>16</v>
      </c>
      <c r="J209" s="24" t="n">
        <f aca="false">Test1_Hand!$B$6*H209*D209+Test1_Hand!$B$7*MAX(0,I209-Test1_Hand!$B$5)+Test1_Hand!$B$14</f>
        <v>6000</v>
      </c>
    </row>
    <row r="210" customFormat="false" ht="15" hidden="false" customHeight="false" outlineLevel="0" collapsed="false">
      <c r="A210" s="2" t="n">
        <v>198</v>
      </c>
      <c r="B210" s="22" t="n">
        <v>0.729552111934117</v>
      </c>
      <c r="C210" s="22" t="n">
        <v>0.462223256558038</v>
      </c>
      <c r="D210" s="23" t="n">
        <f aca="false">BETAINV(C210,Test1_Hand!$B$21,Test1_Hand!$B$22,Test1_Hand!$B$9,Test1_Hand!$B$11)</f>
        <v>3.25037663695153</v>
      </c>
      <c r="E210" s="2" t="n">
        <f aca="false">IF(B210&lt;Test1_Hand!$B$12,1,0)</f>
        <v>0</v>
      </c>
      <c r="F210" s="23" t="n">
        <f aca="false">Test1_Hand!$B$4+E210*D210</f>
        <v>16</v>
      </c>
      <c r="G210" s="24" t="n">
        <f aca="false">Test1_Hand!$B$6*E210*D210+Test1_Hand!$B$7*MAX(0,F210-Test1_Hand!$B$5)</f>
        <v>0</v>
      </c>
      <c r="H210" s="2" t="n">
        <f aca="false">IF(B210&lt;Test1_Hand!$B$13,1,0)</f>
        <v>0</v>
      </c>
      <c r="I210" s="23" t="n">
        <f aca="false">Test1_Hand!$B$4+H210*D210</f>
        <v>16</v>
      </c>
      <c r="J210" s="24" t="n">
        <f aca="false">Test1_Hand!$B$6*H210*D210+Test1_Hand!$B$7*MAX(0,I210-Test1_Hand!$B$5)+Test1_Hand!$B$14</f>
        <v>6000</v>
      </c>
    </row>
    <row r="211" customFormat="false" ht="15" hidden="false" customHeight="false" outlineLevel="0" collapsed="false">
      <c r="A211" s="2" t="n">
        <v>199</v>
      </c>
      <c r="B211" s="22" t="n">
        <v>0.457889670049716</v>
      </c>
      <c r="C211" s="22" t="n">
        <v>0.742289575646405</v>
      </c>
      <c r="D211" s="23" t="n">
        <f aca="false">BETAINV(C211,Test1_Hand!$B$21,Test1_Hand!$B$22,Test1_Hand!$B$9,Test1_Hand!$B$11)</f>
        <v>4.33868204586849</v>
      </c>
      <c r="E211" s="2" t="n">
        <f aca="false">IF(B211&lt;Test1_Hand!$B$12,1,0)</f>
        <v>1</v>
      </c>
      <c r="F211" s="23" t="n">
        <f aca="false">Test1_Hand!$B$4+E211*D211</f>
        <v>20.3386820458685</v>
      </c>
      <c r="G211" s="24" t="n">
        <f aca="false">Test1_Hand!$B$6*E211*D211+Test1_Hand!$B$7*MAX(0,F211-Test1_Hand!$B$5)</f>
        <v>36402.8665962904</v>
      </c>
      <c r="H211" s="2" t="n">
        <f aca="false">IF(B211&lt;Test1_Hand!$B$13,1,0)</f>
        <v>0</v>
      </c>
      <c r="I211" s="23" t="n">
        <f aca="false">Test1_Hand!$B$4+H211*D211</f>
        <v>16</v>
      </c>
      <c r="J211" s="24" t="n">
        <f aca="false">Test1_Hand!$B$6*H211*D211+Test1_Hand!$B$7*MAX(0,I211-Test1_Hand!$B$5)+Test1_Hand!$B$14</f>
        <v>6000</v>
      </c>
    </row>
    <row r="212" customFormat="false" ht="15" hidden="false" customHeight="false" outlineLevel="0" collapsed="false">
      <c r="A212" s="2" t="n">
        <v>200</v>
      </c>
      <c r="B212" s="22" t="n">
        <v>0.397852079607708</v>
      </c>
      <c r="C212" s="22" t="n">
        <v>0.432500686750248</v>
      </c>
      <c r="D212" s="23" t="n">
        <f aca="false">BETAINV(C212,Test1_Hand!$B$21,Test1_Hand!$B$22,Test1_Hand!$B$9,Test1_Hand!$B$11)</f>
        <v>3.1475309704762</v>
      </c>
      <c r="E212" s="2" t="n">
        <f aca="false">IF(B212&lt;Test1_Hand!$B$12,1,0)</f>
        <v>1</v>
      </c>
      <c r="F212" s="23" t="n">
        <f aca="false">Test1_Hand!$B$4+E212*D212</f>
        <v>19.1475309704762</v>
      </c>
      <c r="G212" s="24" t="n">
        <f aca="false">Test1_Hand!$B$6*E212*D212+Test1_Hand!$B$7*MAX(0,F212-Test1_Hand!$B$5)</f>
        <v>25180.2477638096</v>
      </c>
      <c r="H212" s="2" t="n">
        <f aca="false">IF(B212&lt;Test1_Hand!$B$13,1,0)</f>
        <v>0</v>
      </c>
      <c r="I212" s="23" t="n">
        <f aca="false">Test1_Hand!$B$4+H212*D212</f>
        <v>16</v>
      </c>
      <c r="J212" s="24" t="n">
        <f aca="false">Test1_Hand!$B$6*H212*D212+Test1_Hand!$B$7*MAX(0,I212-Test1_Hand!$B$5)+Test1_Hand!$B$14</f>
        <v>6000</v>
      </c>
    </row>
    <row r="213" customFormat="false" ht="15" hidden="false" customHeight="false" outlineLevel="0" collapsed="false">
      <c r="A213" s="2" t="n">
        <v>201</v>
      </c>
      <c r="B213" s="22" t="n">
        <v>0.567710458007248</v>
      </c>
      <c r="C213" s="22" t="n">
        <v>0.559748996798028</v>
      </c>
      <c r="D213" s="23" t="n">
        <f aca="false">BETAINV(C213,Test1_Hand!$B$21,Test1_Hand!$B$22,Test1_Hand!$B$9,Test1_Hand!$B$11)</f>
        <v>3.59712438217328</v>
      </c>
      <c r="E213" s="2" t="n">
        <f aca="false">IF(B213&lt;Test1_Hand!$B$12,1,0)</f>
        <v>0</v>
      </c>
      <c r="F213" s="23" t="n">
        <f aca="false">Test1_Hand!$B$4+E213*D213</f>
        <v>16</v>
      </c>
      <c r="G213" s="24" t="n">
        <f aca="false">Test1_Hand!$B$6*E213*D213+Test1_Hand!$B$7*MAX(0,F213-Test1_Hand!$B$5)</f>
        <v>0</v>
      </c>
      <c r="H213" s="2" t="n">
        <f aca="false">IF(B213&lt;Test1_Hand!$B$13,1,0)</f>
        <v>0</v>
      </c>
      <c r="I213" s="23" t="n">
        <f aca="false">Test1_Hand!$B$4+H213*D213</f>
        <v>16</v>
      </c>
      <c r="J213" s="24" t="n">
        <f aca="false">Test1_Hand!$B$6*H213*D213+Test1_Hand!$B$7*MAX(0,I213-Test1_Hand!$B$5)+Test1_Hand!$B$14</f>
        <v>6000</v>
      </c>
    </row>
    <row r="214" customFormat="false" ht="15" hidden="false" customHeight="false" outlineLevel="0" collapsed="false">
      <c r="A214" s="2" t="n">
        <v>202</v>
      </c>
      <c r="B214" s="22" t="n">
        <v>0.460437846730189</v>
      </c>
      <c r="C214" s="22" t="n">
        <v>0.60449579815047</v>
      </c>
      <c r="D214" s="23" t="n">
        <f aca="false">BETAINV(C214,Test1_Hand!$B$21,Test1_Hand!$B$22,Test1_Hand!$B$9,Test1_Hand!$B$11)</f>
        <v>3.76415735816895</v>
      </c>
      <c r="E214" s="2" t="n">
        <f aca="false">IF(B214&lt;Test1_Hand!$B$12,1,0)</f>
        <v>1</v>
      </c>
      <c r="F214" s="23" t="n">
        <f aca="false">Test1_Hand!$B$4+E214*D214</f>
        <v>19.764157358169</v>
      </c>
      <c r="G214" s="24" t="n">
        <f aca="false">Test1_Hand!$B$6*E214*D214+Test1_Hand!$B$7*MAX(0,F214-Test1_Hand!$B$5)</f>
        <v>30113.2588653516</v>
      </c>
      <c r="H214" s="2" t="n">
        <f aca="false">IF(B214&lt;Test1_Hand!$B$13,1,0)</f>
        <v>0</v>
      </c>
      <c r="I214" s="23" t="n">
        <f aca="false">Test1_Hand!$B$4+H214*D214</f>
        <v>16</v>
      </c>
      <c r="J214" s="24" t="n">
        <f aca="false">Test1_Hand!$B$6*H214*D214+Test1_Hand!$B$7*MAX(0,I214-Test1_Hand!$B$5)+Test1_Hand!$B$14</f>
        <v>6000</v>
      </c>
    </row>
    <row r="215" customFormat="false" ht="15" hidden="false" customHeight="false" outlineLevel="0" collapsed="false">
      <c r="A215" s="2" t="n">
        <v>203</v>
      </c>
      <c r="B215" s="22" t="n">
        <v>0.149865541789284</v>
      </c>
      <c r="C215" s="22" t="n">
        <v>0.73890663626684</v>
      </c>
      <c r="D215" s="23" t="n">
        <f aca="false">BETAINV(C215,Test1_Hand!$B$21,Test1_Hand!$B$22,Test1_Hand!$B$9,Test1_Hand!$B$11)</f>
        <v>4.3229837904558</v>
      </c>
      <c r="E215" s="2" t="n">
        <f aca="false">IF(B215&lt;Test1_Hand!$B$12,1,0)</f>
        <v>1</v>
      </c>
      <c r="F215" s="23" t="n">
        <f aca="false">Test1_Hand!$B$4+E215*D215</f>
        <v>20.3229837904558</v>
      </c>
      <c r="G215" s="24" t="n">
        <f aca="false">Test1_Hand!$B$6*E215*D215+Test1_Hand!$B$7*MAX(0,F215-Test1_Hand!$B$5)</f>
        <v>36198.7892759254</v>
      </c>
      <c r="H215" s="2" t="n">
        <f aca="false">IF(B215&lt;Test1_Hand!$B$13,1,0)</f>
        <v>1</v>
      </c>
      <c r="I215" s="23" t="n">
        <f aca="false">Test1_Hand!$B$4+H215*D215</f>
        <v>20.3229837904558</v>
      </c>
      <c r="J215" s="24" t="n">
        <f aca="false">Test1_Hand!$B$6*H215*D215+Test1_Hand!$B$7*MAX(0,I215-Test1_Hand!$B$5)+Test1_Hand!$B$14</f>
        <v>42198.7892759254</v>
      </c>
    </row>
    <row r="216" customFormat="false" ht="15" hidden="false" customHeight="false" outlineLevel="0" collapsed="false">
      <c r="A216" s="2" t="n">
        <v>204</v>
      </c>
      <c r="B216" s="22" t="n">
        <v>0.162554295126963</v>
      </c>
      <c r="C216" s="22" t="n">
        <v>0.808594046046197</v>
      </c>
      <c r="D216" s="23" t="n">
        <f aca="false">BETAINV(C216,Test1_Hand!$B$21,Test1_Hand!$B$22,Test1_Hand!$B$9,Test1_Hand!$B$11)</f>
        <v>4.6724451886011</v>
      </c>
      <c r="E216" s="2" t="n">
        <f aca="false">IF(B216&lt;Test1_Hand!$B$12,1,0)</f>
        <v>1</v>
      </c>
      <c r="F216" s="23" t="n">
        <f aca="false">Test1_Hand!$B$4+E216*D216</f>
        <v>20.6724451886011</v>
      </c>
      <c r="G216" s="24" t="n">
        <f aca="false">Test1_Hand!$B$6*E216*D216+Test1_Hand!$B$7*MAX(0,F216-Test1_Hand!$B$5)</f>
        <v>40741.7874518143</v>
      </c>
      <c r="H216" s="2" t="n">
        <f aca="false">IF(B216&lt;Test1_Hand!$B$13,1,0)</f>
        <v>1</v>
      </c>
      <c r="I216" s="23" t="n">
        <f aca="false">Test1_Hand!$B$4+H216*D216</f>
        <v>20.6724451886011</v>
      </c>
      <c r="J216" s="24" t="n">
        <f aca="false">Test1_Hand!$B$6*H216*D216+Test1_Hand!$B$7*MAX(0,I216-Test1_Hand!$B$5)+Test1_Hand!$B$14</f>
        <v>46741.7874518143</v>
      </c>
    </row>
    <row r="217" customFormat="false" ht="15" hidden="false" customHeight="false" outlineLevel="0" collapsed="false">
      <c r="A217" s="2" t="n">
        <v>205</v>
      </c>
      <c r="B217" s="22" t="n">
        <v>0.572704828356614</v>
      </c>
      <c r="C217" s="22" t="n">
        <v>0.935819962781393</v>
      </c>
      <c r="D217" s="23" t="n">
        <f aca="false">BETAINV(C217,Test1_Hand!$B$21,Test1_Hand!$B$22,Test1_Hand!$B$9,Test1_Hand!$B$11)</f>
        <v>5.60699063087525</v>
      </c>
      <c r="E217" s="2" t="n">
        <f aca="false">IF(B217&lt;Test1_Hand!$B$12,1,0)</f>
        <v>0</v>
      </c>
      <c r="F217" s="23" t="n">
        <f aca="false">Test1_Hand!$B$4+E217*D217</f>
        <v>16</v>
      </c>
      <c r="G217" s="24" t="n">
        <f aca="false">Test1_Hand!$B$6*E217*D217+Test1_Hand!$B$7*MAX(0,F217-Test1_Hand!$B$5)</f>
        <v>0</v>
      </c>
      <c r="H217" s="2" t="n">
        <f aca="false">IF(B217&lt;Test1_Hand!$B$13,1,0)</f>
        <v>0</v>
      </c>
      <c r="I217" s="23" t="n">
        <f aca="false">Test1_Hand!$B$4+H217*D217</f>
        <v>16</v>
      </c>
      <c r="J217" s="24" t="n">
        <f aca="false">Test1_Hand!$B$6*H217*D217+Test1_Hand!$B$7*MAX(0,I217-Test1_Hand!$B$5)+Test1_Hand!$B$14</f>
        <v>6000</v>
      </c>
    </row>
    <row r="218" customFormat="false" ht="15" hidden="false" customHeight="false" outlineLevel="0" collapsed="false">
      <c r="A218" s="2" t="n">
        <v>206</v>
      </c>
      <c r="B218" s="22" t="n">
        <v>0.417356155742263</v>
      </c>
      <c r="C218" s="22" t="n">
        <v>0.658370238208466</v>
      </c>
      <c r="D218" s="23" t="n">
        <f aca="false">BETAINV(C218,Test1_Hand!$B$21,Test1_Hand!$B$22,Test1_Hand!$B$9,Test1_Hand!$B$11)</f>
        <v>3.97560592572624</v>
      </c>
      <c r="E218" s="2" t="n">
        <f aca="false">IF(B218&lt;Test1_Hand!$B$12,1,0)</f>
        <v>1</v>
      </c>
      <c r="F218" s="23" t="n">
        <f aca="false">Test1_Hand!$B$4+E218*D218</f>
        <v>19.9756059257262</v>
      </c>
      <c r="G218" s="24" t="n">
        <f aca="false">Test1_Hand!$B$6*E218*D218+Test1_Hand!$B$7*MAX(0,F218-Test1_Hand!$B$5)</f>
        <v>31804.8474058099</v>
      </c>
      <c r="H218" s="2" t="n">
        <f aca="false">IF(B218&lt;Test1_Hand!$B$13,1,0)</f>
        <v>0</v>
      </c>
      <c r="I218" s="23" t="n">
        <f aca="false">Test1_Hand!$B$4+H218*D218</f>
        <v>16</v>
      </c>
      <c r="J218" s="24" t="n">
        <f aca="false">Test1_Hand!$B$6*H218*D218+Test1_Hand!$B$7*MAX(0,I218-Test1_Hand!$B$5)+Test1_Hand!$B$14</f>
        <v>6000</v>
      </c>
    </row>
    <row r="219" customFormat="false" ht="15" hidden="false" customHeight="false" outlineLevel="0" collapsed="false">
      <c r="A219" s="2" t="n">
        <v>207</v>
      </c>
      <c r="B219" s="22" t="n">
        <v>0.073460053361786</v>
      </c>
      <c r="C219" s="22" t="n">
        <v>0.30343028823174</v>
      </c>
      <c r="D219" s="23" t="n">
        <f aca="false">BETAINV(C219,Test1_Hand!$B$21,Test1_Hand!$B$22,Test1_Hand!$B$9,Test1_Hand!$B$11)</f>
        <v>2.70234137806785</v>
      </c>
      <c r="E219" s="2" t="n">
        <f aca="false">IF(B219&lt;Test1_Hand!$B$12,1,0)</f>
        <v>1</v>
      </c>
      <c r="F219" s="23" t="n">
        <f aca="false">Test1_Hand!$B$4+E219*D219</f>
        <v>18.7023413780679</v>
      </c>
      <c r="G219" s="24" t="n">
        <f aca="false">Test1_Hand!$B$6*E219*D219+Test1_Hand!$B$7*MAX(0,F219-Test1_Hand!$B$5)</f>
        <v>21618.7310245428</v>
      </c>
      <c r="H219" s="2" t="n">
        <f aca="false">IF(B219&lt;Test1_Hand!$B$13,1,0)</f>
        <v>1</v>
      </c>
      <c r="I219" s="23" t="n">
        <f aca="false">Test1_Hand!$B$4+H219*D219</f>
        <v>18.7023413780679</v>
      </c>
      <c r="J219" s="24" t="n">
        <f aca="false">Test1_Hand!$B$6*H219*D219+Test1_Hand!$B$7*MAX(0,I219-Test1_Hand!$B$5)+Test1_Hand!$B$14</f>
        <v>27618.7310245428</v>
      </c>
    </row>
    <row r="220" customFormat="false" ht="15" hidden="false" customHeight="false" outlineLevel="0" collapsed="false">
      <c r="A220" s="2" t="n">
        <v>208</v>
      </c>
      <c r="B220" s="22" t="n">
        <v>0.162211390981524</v>
      </c>
      <c r="C220" s="22" t="n">
        <v>0.668488125189681</v>
      </c>
      <c r="D220" s="23" t="n">
        <f aca="false">BETAINV(C220,Test1_Hand!$B$21,Test1_Hand!$B$22,Test1_Hand!$B$9,Test1_Hand!$B$11)</f>
        <v>4.01690226004276</v>
      </c>
      <c r="E220" s="2" t="n">
        <f aca="false">IF(B220&lt;Test1_Hand!$B$12,1,0)</f>
        <v>1</v>
      </c>
      <c r="F220" s="23" t="n">
        <f aca="false">Test1_Hand!$B$4+E220*D220</f>
        <v>20.0169022600428</v>
      </c>
      <c r="G220" s="24" t="n">
        <f aca="false">Test1_Hand!$B$6*E220*D220+Test1_Hand!$B$7*MAX(0,F220-Test1_Hand!$B$5)</f>
        <v>32219.7293805559</v>
      </c>
      <c r="H220" s="2" t="n">
        <f aca="false">IF(B220&lt;Test1_Hand!$B$13,1,0)</f>
        <v>1</v>
      </c>
      <c r="I220" s="23" t="n">
        <f aca="false">Test1_Hand!$B$4+H220*D220</f>
        <v>20.0169022600428</v>
      </c>
      <c r="J220" s="24" t="n">
        <f aca="false">Test1_Hand!$B$6*H220*D220+Test1_Hand!$B$7*MAX(0,I220-Test1_Hand!$B$5)+Test1_Hand!$B$14</f>
        <v>38219.7293805559</v>
      </c>
    </row>
    <row r="221" customFormat="false" ht="15" hidden="false" customHeight="false" outlineLevel="0" collapsed="false">
      <c r="A221" s="2" t="n">
        <v>209</v>
      </c>
      <c r="B221" s="22" t="n">
        <v>0.12109474411399</v>
      </c>
      <c r="C221" s="22" t="n">
        <v>0.498488967605525</v>
      </c>
      <c r="D221" s="23" t="n">
        <f aca="false">BETAINV(C221,Test1_Hand!$B$21,Test1_Hand!$B$22,Test1_Hand!$B$9,Test1_Hand!$B$11)</f>
        <v>3.37725858618043</v>
      </c>
      <c r="E221" s="2" t="n">
        <f aca="false">IF(B221&lt;Test1_Hand!$B$12,1,0)</f>
        <v>1</v>
      </c>
      <c r="F221" s="23" t="n">
        <f aca="false">Test1_Hand!$B$4+E221*D221</f>
        <v>19.3772585861804</v>
      </c>
      <c r="G221" s="24" t="n">
        <f aca="false">Test1_Hand!$B$6*E221*D221+Test1_Hand!$B$7*MAX(0,F221-Test1_Hand!$B$5)</f>
        <v>27018.0686894434</v>
      </c>
      <c r="H221" s="2" t="n">
        <f aca="false">IF(B221&lt;Test1_Hand!$B$13,1,0)</f>
        <v>1</v>
      </c>
      <c r="I221" s="23" t="n">
        <f aca="false">Test1_Hand!$B$4+H221*D221</f>
        <v>19.3772585861804</v>
      </c>
      <c r="J221" s="24" t="n">
        <f aca="false">Test1_Hand!$B$6*H221*D221+Test1_Hand!$B$7*MAX(0,I221-Test1_Hand!$B$5)+Test1_Hand!$B$14</f>
        <v>33018.0686894434</v>
      </c>
    </row>
    <row r="222" customFormat="false" ht="15" hidden="false" customHeight="false" outlineLevel="0" collapsed="false">
      <c r="A222" s="2" t="n">
        <v>210</v>
      </c>
      <c r="B222" s="22" t="n">
        <v>0.252672160754548</v>
      </c>
      <c r="C222" s="22" t="n">
        <v>0.167835833592047</v>
      </c>
      <c r="D222" s="23" t="n">
        <f aca="false">BETAINV(C222,Test1_Hand!$B$21,Test1_Hand!$B$22,Test1_Hand!$B$9,Test1_Hand!$B$11)</f>
        <v>2.20061656450385</v>
      </c>
      <c r="E222" s="2" t="n">
        <f aca="false">IF(B222&lt;Test1_Hand!$B$12,1,0)</f>
        <v>1</v>
      </c>
      <c r="F222" s="23" t="n">
        <f aca="false">Test1_Hand!$B$4+E222*D222</f>
        <v>18.2006165645039</v>
      </c>
      <c r="G222" s="24" t="n">
        <f aca="false">Test1_Hand!$B$6*E222*D222+Test1_Hand!$B$7*MAX(0,F222-Test1_Hand!$B$5)</f>
        <v>17604.9325160308</v>
      </c>
      <c r="H222" s="2" t="n">
        <f aca="false">IF(B222&lt;Test1_Hand!$B$13,1,0)</f>
        <v>0</v>
      </c>
      <c r="I222" s="23" t="n">
        <f aca="false">Test1_Hand!$B$4+H222*D222</f>
        <v>16</v>
      </c>
      <c r="J222" s="24" t="n">
        <f aca="false">Test1_Hand!$B$6*H222*D222+Test1_Hand!$B$7*MAX(0,I222-Test1_Hand!$B$5)+Test1_Hand!$B$14</f>
        <v>6000</v>
      </c>
    </row>
    <row r="223" customFormat="false" ht="15" hidden="false" customHeight="false" outlineLevel="0" collapsed="false">
      <c r="A223" s="2" t="n">
        <v>211</v>
      </c>
      <c r="B223" s="22" t="n">
        <v>0.813347082843097</v>
      </c>
      <c r="C223" s="22" t="n">
        <v>0.243822442737648</v>
      </c>
      <c r="D223" s="23" t="n">
        <f aca="false">BETAINV(C223,Test1_Hand!$B$21,Test1_Hand!$B$22,Test1_Hand!$B$9,Test1_Hand!$B$11)</f>
        <v>2.49001393342248</v>
      </c>
      <c r="E223" s="2" t="n">
        <f aca="false">IF(B223&lt;Test1_Hand!$B$12,1,0)</f>
        <v>0</v>
      </c>
      <c r="F223" s="23" t="n">
        <f aca="false">Test1_Hand!$B$4+E223*D223</f>
        <v>16</v>
      </c>
      <c r="G223" s="24" t="n">
        <f aca="false">Test1_Hand!$B$6*E223*D223+Test1_Hand!$B$7*MAX(0,F223-Test1_Hand!$B$5)</f>
        <v>0</v>
      </c>
      <c r="H223" s="2" t="n">
        <f aca="false">IF(B223&lt;Test1_Hand!$B$13,1,0)</f>
        <v>0</v>
      </c>
      <c r="I223" s="23" t="n">
        <f aca="false">Test1_Hand!$B$4+H223*D223</f>
        <v>16</v>
      </c>
      <c r="J223" s="24" t="n">
        <f aca="false">Test1_Hand!$B$6*H223*D223+Test1_Hand!$B$7*MAX(0,I223-Test1_Hand!$B$5)+Test1_Hand!$B$14</f>
        <v>6000</v>
      </c>
    </row>
    <row r="224" customFormat="false" ht="15" hidden="false" customHeight="false" outlineLevel="0" collapsed="false">
      <c r="A224" s="2" t="n">
        <v>212</v>
      </c>
      <c r="B224" s="22" t="n">
        <v>0.0798723149319669</v>
      </c>
      <c r="C224" s="22" t="n">
        <v>0.392421799645912</v>
      </c>
      <c r="D224" s="23" t="n">
        <f aca="false">BETAINV(C224,Test1_Hand!$B$21,Test1_Hand!$B$22,Test1_Hand!$B$9,Test1_Hand!$B$11)</f>
        <v>3.00971676028785</v>
      </c>
      <c r="E224" s="2" t="n">
        <f aca="false">IF(B224&lt;Test1_Hand!$B$12,1,0)</f>
        <v>1</v>
      </c>
      <c r="F224" s="23" t="n">
        <f aca="false">Test1_Hand!$B$4+E224*D224</f>
        <v>19.0097167602878</v>
      </c>
      <c r="G224" s="24" t="n">
        <f aca="false">Test1_Hand!$B$6*E224*D224+Test1_Hand!$B$7*MAX(0,F224-Test1_Hand!$B$5)</f>
        <v>24077.7340823028</v>
      </c>
      <c r="H224" s="2" t="n">
        <f aca="false">IF(B224&lt;Test1_Hand!$B$13,1,0)</f>
        <v>1</v>
      </c>
      <c r="I224" s="23" t="n">
        <f aca="false">Test1_Hand!$B$4+H224*D224</f>
        <v>19.0097167602878</v>
      </c>
      <c r="J224" s="24" t="n">
        <f aca="false">Test1_Hand!$B$6*H224*D224+Test1_Hand!$B$7*MAX(0,I224-Test1_Hand!$B$5)+Test1_Hand!$B$14</f>
        <v>30077.7340823028</v>
      </c>
    </row>
    <row r="225" customFormat="false" ht="15" hidden="false" customHeight="false" outlineLevel="0" collapsed="false">
      <c r="A225" s="2" t="n">
        <v>213</v>
      </c>
      <c r="B225" s="22" t="n">
        <v>0.210717579914849</v>
      </c>
      <c r="C225" s="22" t="n">
        <v>0.714018784152092</v>
      </c>
      <c r="D225" s="23" t="n">
        <f aca="false">BETAINV(C225,Test1_Hand!$B$21,Test1_Hand!$B$22,Test1_Hand!$B$9,Test1_Hand!$B$11)</f>
        <v>4.21059051742447</v>
      </c>
      <c r="E225" s="2" t="n">
        <f aca="false">IF(B225&lt;Test1_Hand!$B$12,1,0)</f>
        <v>1</v>
      </c>
      <c r="F225" s="23" t="n">
        <f aca="false">Test1_Hand!$B$4+E225*D225</f>
        <v>20.2105905174245</v>
      </c>
      <c r="G225" s="24" t="n">
        <f aca="false">Test1_Hand!$B$6*E225*D225+Test1_Hand!$B$7*MAX(0,F225-Test1_Hand!$B$5)</f>
        <v>34737.676726518</v>
      </c>
      <c r="H225" s="2" t="n">
        <f aca="false">IF(B225&lt;Test1_Hand!$B$13,1,0)</f>
        <v>0</v>
      </c>
      <c r="I225" s="23" t="n">
        <f aca="false">Test1_Hand!$B$4+H225*D225</f>
        <v>16</v>
      </c>
      <c r="J225" s="24" t="n">
        <f aca="false">Test1_Hand!$B$6*H225*D225+Test1_Hand!$B$7*MAX(0,I225-Test1_Hand!$B$5)+Test1_Hand!$B$14</f>
        <v>6000</v>
      </c>
    </row>
    <row r="226" customFormat="false" ht="15" hidden="false" customHeight="false" outlineLevel="0" collapsed="false">
      <c r="A226" s="2" t="n">
        <v>214</v>
      </c>
      <c r="B226" s="22" t="n">
        <v>0.618698519326602</v>
      </c>
      <c r="C226" s="22" t="n">
        <v>0.948940784161994</v>
      </c>
      <c r="D226" s="23" t="n">
        <f aca="false">BETAINV(C226,Test1_Hand!$B$21,Test1_Hand!$B$22,Test1_Hand!$B$9,Test1_Hand!$B$11)</f>
        <v>5.76043462982801</v>
      </c>
      <c r="E226" s="2" t="n">
        <f aca="false">IF(B226&lt;Test1_Hand!$B$12,1,0)</f>
        <v>0</v>
      </c>
      <c r="F226" s="23" t="n">
        <f aca="false">Test1_Hand!$B$4+E226*D226</f>
        <v>16</v>
      </c>
      <c r="G226" s="24" t="n">
        <f aca="false">Test1_Hand!$B$6*E226*D226+Test1_Hand!$B$7*MAX(0,F226-Test1_Hand!$B$5)</f>
        <v>0</v>
      </c>
      <c r="H226" s="2" t="n">
        <f aca="false">IF(B226&lt;Test1_Hand!$B$13,1,0)</f>
        <v>0</v>
      </c>
      <c r="I226" s="23" t="n">
        <f aca="false">Test1_Hand!$B$4+H226*D226</f>
        <v>16</v>
      </c>
      <c r="J226" s="24" t="n">
        <f aca="false">Test1_Hand!$B$6*H226*D226+Test1_Hand!$B$7*MAX(0,I226-Test1_Hand!$B$5)+Test1_Hand!$B$14</f>
        <v>6000</v>
      </c>
    </row>
    <row r="227" customFormat="false" ht="15" hidden="false" customHeight="false" outlineLevel="0" collapsed="false">
      <c r="A227" s="2" t="n">
        <v>215</v>
      </c>
      <c r="B227" s="22" t="n">
        <v>0.851342283015339</v>
      </c>
      <c r="C227" s="22" t="n">
        <v>0.3061041061602</v>
      </c>
      <c r="D227" s="23" t="n">
        <f aca="false">BETAINV(C227,Test1_Hand!$B$21,Test1_Hand!$B$22,Test1_Hand!$B$9,Test1_Hand!$B$11)</f>
        <v>2.71169138785708</v>
      </c>
      <c r="E227" s="2" t="n">
        <f aca="false">IF(B227&lt;Test1_Hand!$B$12,1,0)</f>
        <v>0</v>
      </c>
      <c r="F227" s="23" t="n">
        <f aca="false">Test1_Hand!$B$4+E227*D227</f>
        <v>16</v>
      </c>
      <c r="G227" s="24" t="n">
        <f aca="false">Test1_Hand!$B$6*E227*D227+Test1_Hand!$B$7*MAX(0,F227-Test1_Hand!$B$5)</f>
        <v>0</v>
      </c>
      <c r="H227" s="2" t="n">
        <f aca="false">IF(B227&lt;Test1_Hand!$B$13,1,0)</f>
        <v>0</v>
      </c>
      <c r="I227" s="23" t="n">
        <f aca="false">Test1_Hand!$B$4+H227*D227</f>
        <v>16</v>
      </c>
      <c r="J227" s="24" t="n">
        <f aca="false">Test1_Hand!$B$6*H227*D227+Test1_Hand!$B$7*MAX(0,I227-Test1_Hand!$B$5)+Test1_Hand!$B$14</f>
        <v>6000</v>
      </c>
    </row>
    <row r="228" customFormat="false" ht="15" hidden="false" customHeight="false" outlineLevel="0" collapsed="false">
      <c r="A228" s="2" t="n">
        <v>216</v>
      </c>
      <c r="B228" s="22" t="n">
        <v>0.860981693655663</v>
      </c>
      <c r="C228" s="22" t="n">
        <v>0.25298937915041</v>
      </c>
      <c r="D228" s="23" t="n">
        <f aca="false">BETAINV(C228,Test1_Hand!$B$21,Test1_Hand!$B$22,Test1_Hand!$B$9,Test1_Hand!$B$11)</f>
        <v>2.52326323902968</v>
      </c>
      <c r="E228" s="2" t="n">
        <f aca="false">IF(B228&lt;Test1_Hand!$B$12,1,0)</f>
        <v>0</v>
      </c>
      <c r="F228" s="23" t="n">
        <f aca="false">Test1_Hand!$B$4+E228*D228</f>
        <v>16</v>
      </c>
      <c r="G228" s="24" t="n">
        <f aca="false">Test1_Hand!$B$6*E228*D228+Test1_Hand!$B$7*MAX(0,F228-Test1_Hand!$B$5)</f>
        <v>0</v>
      </c>
      <c r="H228" s="2" t="n">
        <f aca="false">IF(B228&lt;Test1_Hand!$B$13,1,0)</f>
        <v>0</v>
      </c>
      <c r="I228" s="23" t="n">
        <f aca="false">Test1_Hand!$B$4+H228*D228</f>
        <v>16</v>
      </c>
      <c r="J228" s="24" t="n">
        <f aca="false">Test1_Hand!$B$6*H228*D228+Test1_Hand!$B$7*MAX(0,I228-Test1_Hand!$B$5)+Test1_Hand!$B$14</f>
        <v>6000</v>
      </c>
    </row>
    <row r="229" customFormat="false" ht="15" hidden="false" customHeight="false" outlineLevel="0" collapsed="false">
      <c r="A229" s="2" t="n">
        <v>217</v>
      </c>
      <c r="B229" s="22" t="n">
        <v>0.853450923792102</v>
      </c>
      <c r="C229" s="22" t="n">
        <v>0.145001341204324</v>
      </c>
      <c r="D229" s="23" t="n">
        <f aca="false">BETAINV(C229,Test1_Hand!$B$21,Test1_Hand!$B$22,Test1_Hand!$B$9,Test1_Hand!$B$11)</f>
        <v>2.10653895560649</v>
      </c>
      <c r="E229" s="2" t="n">
        <f aca="false">IF(B229&lt;Test1_Hand!$B$12,1,0)</f>
        <v>0</v>
      </c>
      <c r="F229" s="23" t="n">
        <f aca="false">Test1_Hand!$B$4+E229*D229</f>
        <v>16</v>
      </c>
      <c r="G229" s="24" t="n">
        <f aca="false">Test1_Hand!$B$6*E229*D229+Test1_Hand!$B$7*MAX(0,F229-Test1_Hand!$B$5)</f>
        <v>0</v>
      </c>
      <c r="H229" s="2" t="n">
        <f aca="false">IF(B229&lt;Test1_Hand!$B$13,1,0)</f>
        <v>0</v>
      </c>
      <c r="I229" s="23" t="n">
        <f aca="false">Test1_Hand!$B$4+H229*D229</f>
        <v>16</v>
      </c>
      <c r="J229" s="24" t="n">
        <f aca="false">Test1_Hand!$B$6*H229*D229+Test1_Hand!$B$7*MAX(0,I229-Test1_Hand!$B$5)+Test1_Hand!$B$14</f>
        <v>6000</v>
      </c>
    </row>
    <row r="230" customFormat="false" ht="15" hidden="false" customHeight="false" outlineLevel="0" collapsed="false">
      <c r="A230" s="2" t="n">
        <v>218</v>
      </c>
      <c r="B230" s="22" t="n">
        <v>0.928626129799554</v>
      </c>
      <c r="C230" s="22" t="n">
        <v>0.564447069760687</v>
      </c>
      <c r="D230" s="23" t="n">
        <f aca="false">BETAINV(C230,Test1_Hand!$B$21,Test1_Hand!$B$22,Test1_Hand!$B$9,Test1_Hand!$B$11)</f>
        <v>3.61436549429346</v>
      </c>
      <c r="E230" s="2" t="n">
        <f aca="false">IF(B230&lt;Test1_Hand!$B$12,1,0)</f>
        <v>0</v>
      </c>
      <c r="F230" s="23" t="n">
        <f aca="false">Test1_Hand!$B$4+E230*D230</f>
        <v>16</v>
      </c>
      <c r="G230" s="24" t="n">
        <f aca="false">Test1_Hand!$B$6*E230*D230+Test1_Hand!$B$7*MAX(0,F230-Test1_Hand!$B$5)</f>
        <v>0</v>
      </c>
      <c r="H230" s="2" t="n">
        <f aca="false">IF(B230&lt;Test1_Hand!$B$13,1,0)</f>
        <v>0</v>
      </c>
      <c r="I230" s="23" t="n">
        <f aca="false">Test1_Hand!$B$4+H230*D230</f>
        <v>16</v>
      </c>
      <c r="J230" s="24" t="n">
        <f aca="false">Test1_Hand!$B$6*H230*D230+Test1_Hand!$B$7*MAX(0,I230-Test1_Hand!$B$5)+Test1_Hand!$B$14</f>
        <v>6000</v>
      </c>
    </row>
    <row r="231" customFormat="false" ht="15" hidden="false" customHeight="false" outlineLevel="0" collapsed="false">
      <c r="A231" s="2" t="n">
        <v>219</v>
      </c>
      <c r="B231" s="22" t="n">
        <v>0.457460312966137</v>
      </c>
      <c r="C231" s="22" t="n">
        <v>0.402946173695777</v>
      </c>
      <c r="D231" s="23" t="n">
        <f aca="false">BETAINV(C231,Test1_Hand!$B$21,Test1_Hand!$B$22,Test1_Hand!$B$9,Test1_Hand!$B$11)</f>
        <v>3.04585697025152</v>
      </c>
      <c r="E231" s="2" t="n">
        <f aca="false">IF(B231&lt;Test1_Hand!$B$12,1,0)</f>
        <v>1</v>
      </c>
      <c r="F231" s="23" t="n">
        <f aca="false">Test1_Hand!$B$4+E231*D231</f>
        <v>19.0458569702515</v>
      </c>
      <c r="G231" s="24" t="n">
        <f aca="false">Test1_Hand!$B$6*E231*D231+Test1_Hand!$B$7*MAX(0,F231-Test1_Hand!$B$5)</f>
        <v>24366.8557620121</v>
      </c>
      <c r="H231" s="2" t="n">
        <f aca="false">IF(B231&lt;Test1_Hand!$B$13,1,0)</f>
        <v>0</v>
      </c>
      <c r="I231" s="23" t="n">
        <f aca="false">Test1_Hand!$B$4+H231*D231</f>
        <v>16</v>
      </c>
      <c r="J231" s="24" t="n">
        <f aca="false">Test1_Hand!$B$6*H231*D231+Test1_Hand!$B$7*MAX(0,I231-Test1_Hand!$B$5)+Test1_Hand!$B$14</f>
        <v>6000</v>
      </c>
    </row>
    <row r="232" customFormat="false" ht="15" hidden="false" customHeight="false" outlineLevel="0" collapsed="false">
      <c r="A232" s="2" t="n">
        <v>220</v>
      </c>
      <c r="B232" s="22" t="n">
        <v>0.377472182575875</v>
      </c>
      <c r="C232" s="22" t="n">
        <v>0.157231644224114</v>
      </c>
      <c r="D232" s="23" t="n">
        <f aca="false">BETAINV(C232,Test1_Hand!$B$21,Test1_Hand!$B$22,Test1_Hand!$B$9,Test1_Hand!$B$11)</f>
        <v>2.15747828875478</v>
      </c>
      <c r="E232" s="2" t="n">
        <f aca="false">IF(B232&lt;Test1_Hand!$B$12,1,0)</f>
        <v>1</v>
      </c>
      <c r="F232" s="23" t="n">
        <f aca="false">Test1_Hand!$B$4+E232*D232</f>
        <v>18.1574782887548</v>
      </c>
      <c r="G232" s="24" t="n">
        <f aca="false">Test1_Hand!$B$6*E232*D232+Test1_Hand!$B$7*MAX(0,F232-Test1_Hand!$B$5)</f>
        <v>17259.8263100382</v>
      </c>
      <c r="H232" s="2" t="n">
        <f aca="false">IF(B232&lt;Test1_Hand!$B$13,1,0)</f>
        <v>0</v>
      </c>
      <c r="I232" s="23" t="n">
        <f aca="false">Test1_Hand!$B$4+H232*D232</f>
        <v>16</v>
      </c>
      <c r="J232" s="24" t="n">
        <f aca="false">Test1_Hand!$B$6*H232*D232+Test1_Hand!$B$7*MAX(0,I232-Test1_Hand!$B$5)+Test1_Hand!$B$14</f>
        <v>6000</v>
      </c>
    </row>
    <row r="233" customFormat="false" ht="15" hidden="false" customHeight="false" outlineLevel="0" collapsed="false">
      <c r="A233" s="2" t="n">
        <v>221</v>
      </c>
      <c r="B233" s="22" t="n">
        <v>0.631204988061298</v>
      </c>
      <c r="C233" s="22" t="n">
        <v>0.35585531520357</v>
      </c>
      <c r="D233" s="23" t="n">
        <f aca="false">BETAINV(C233,Test1_Hand!$B$21,Test1_Hand!$B$22,Test1_Hand!$B$9,Test1_Hand!$B$11)</f>
        <v>2.8840653804823</v>
      </c>
      <c r="E233" s="2" t="n">
        <f aca="false">IF(B233&lt;Test1_Hand!$B$12,1,0)</f>
        <v>0</v>
      </c>
      <c r="F233" s="23" t="n">
        <f aca="false">Test1_Hand!$B$4+E233*D233</f>
        <v>16</v>
      </c>
      <c r="G233" s="24" t="n">
        <f aca="false">Test1_Hand!$B$6*E233*D233+Test1_Hand!$B$7*MAX(0,F233-Test1_Hand!$B$5)</f>
        <v>0</v>
      </c>
      <c r="H233" s="2" t="n">
        <f aca="false">IF(B233&lt;Test1_Hand!$B$13,1,0)</f>
        <v>0</v>
      </c>
      <c r="I233" s="23" t="n">
        <f aca="false">Test1_Hand!$B$4+H233*D233</f>
        <v>16</v>
      </c>
      <c r="J233" s="24" t="n">
        <f aca="false">Test1_Hand!$B$6*H233*D233+Test1_Hand!$B$7*MAX(0,I233-Test1_Hand!$B$5)+Test1_Hand!$B$14</f>
        <v>6000</v>
      </c>
    </row>
    <row r="234" customFormat="false" ht="15" hidden="false" customHeight="false" outlineLevel="0" collapsed="false">
      <c r="A234" s="2" t="n">
        <v>222</v>
      </c>
      <c r="B234" s="22" t="n">
        <v>0.880435191167615</v>
      </c>
      <c r="C234" s="22" t="n">
        <v>0.123666732602327</v>
      </c>
      <c r="D234" s="23" t="n">
        <f aca="false">BETAINV(C234,Test1_Hand!$B$21,Test1_Hand!$B$22,Test1_Hand!$B$9,Test1_Hand!$B$11)</f>
        <v>2.01402728439856</v>
      </c>
      <c r="E234" s="2" t="n">
        <f aca="false">IF(B234&lt;Test1_Hand!$B$12,1,0)</f>
        <v>0</v>
      </c>
      <c r="F234" s="23" t="n">
        <f aca="false">Test1_Hand!$B$4+E234*D234</f>
        <v>16</v>
      </c>
      <c r="G234" s="24" t="n">
        <f aca="false">Test1_Hand!$B$6*E234*D234+Test1_Hand!$B$7*MAX(0,F234-Test1_Hand!$B$5)</f>
        <v>0</v>
      </c>
      <c r="H234" s="2" t="n">
        <f aca="false">IF(B234&lt;Test1_Hand!$B$13,1,0)</f>
        <v>0</v>
      </c>
      <c r="I234" s="23" t="n">
        <f aca="false">Test1_Hand!$B$4+H234*D234</f>
        <v>16</v>
      </c>
      <c r="J234" s="24" t="n">
        <f aca="false">Test1_Hand!$B$6*H234*D234+Test1_Hand!$B$7*MAX(0,I234-Test1_Hand!$B$5)+Test1_Hand!$B$14</f>
        <v>6000</v>
      </c>
    </row>
    <row r="235" customFormat="false" ht="15" hidden="false" customHeight="false" outlineLevel="0" collapsed="false">
      <c r="A235" s="2" t="n">
        <v>223</v>
      </c>
      <c r="B235" s="22" t="n">
        <v>0.467981356607868</v>
      </c>
      <c r="C235" s="22" t="n">
        <v>0.585354934316585</v>
      </c>
      <c r="D235" s="23" t="n">
        <f aca="false">BETAINV(C235,Test1_Hand!$B$21,Test1_Hand!$B$22,Test1_Hand!$B$9,Test1_Hand!$B$11)</f>
        <v>3.69189927350818</v>
      </c>
      <c r="E235" s="2" t="n">
        <f aca="false">IF(B235&lt;Test1_Hand!$B$12,1,0)</f>
        <v>1</v>
      </c>
      <c r="F235" s="23" t="n">
        <f aca="false">Test1_Hand!$B$4+E235*D235</f>
        <v>19.6918992735082</v>
      </c>
      <c r="G235" s="24" t="n">
        <f aca="false">Test1_Hand!$B$6*E235*D235+Test1_Hand!$B$7*MAX(0,F235-Test1_Hand!$B$5)</f>
        <v>29535.1941880654</v>
      </c>
      <c r="H235" s="2" t="n">
        <f aca="false">IF(B235&lt;Test1_Hand!$B$13,1,0)</f>
        <v>0</v>
      </c>
      <c r="I235" s="23" t="n">
        <f aca="false">Test1_Hand!$B$4+H235*D235</f>
        <v>16</v>
      </c>
      <c r="J235" s="24" t="n">
        <f aca="false">Test1_Hand!$B$6*H235*D235+Test1_Hand!$B$7*MAX(0,I235-Test1_Hand!$B$5)+Test1_Hand!$B$14</f>
        <v>6000</v>
      </c>
    </row>
    <row r="236" customFormat="false" ht="15" hidden="false" customHeight="false" outlineLevel="0" collapsed="false">
      <c r="A236" s="2" t="n">
        <v>224</v>
      </c>
      <c r="B236" s="22" t="n">
        <v>0.728972835630886</v>
      </c>
      <c r="C236" s="22" t="n">
        <v>0.6552193805882</v>
      </c>
      <c r="D236" s="23" t="n">
        <f aca="false">BETAINV(C236,Test1_Hand!$B$21,Test1_Hand!$B$22,Test1_Hand!$B$9,Test1_Hand!$B$11)</f>
        <v>3.96285930288824</v>
      </c>
      <c r="E236" s="2" t="n">
        <f aca="false">IF(B236&lt;Test1_Hand!$B$12,1,0)</f>
        <v>0</v>
      </c>
      <c r="F236" s="23" t="n">
        <f aca="false">Test1_Hand!$B$4+E236*D236</f>
        <v>16</v>
      </c>
      <c r="G236" s="24" t="n">
        <f aca="false">Test1_Hand!$B$6*E236*D236+Test1_Hand!$B$7*MAX(0,F236-Test1_Hand!$B$5)</f>
        <v>0</v>
      </c>
      <c r="H236" s="2" t="n">
        <f aca="false">IF(B236&lt;Test1_Hand!$B$13,1,0)</f>
        <v>0</v>
      </c>
      <c r="I236" s="23" t="n">
        <f aca="false">Test1_Hand!$B$4+H236*D236</f>
        <v>16</v>
      </c>
      <c r="J236" s="24" t="n">
        <f aca="false">Test1_Hand!$B$6*H236*D236+Test1_Hand!$B$7*MAX(0,I236-Test1_Hand!$B$5)+Test1_Hand!$B$14</f>
        <v>6000</v>
      </c>
    </row>
    <row r="237" customFormat="false" ht="15" hidden="false" customHeight="false" outlineLevel="0" collapsed="false">
      <c r="A237" s="2" t="n">
        <v>225</v>
      </c>
      <c r="B237" s="22" t="n">
        <v>0.426532204551267</v>
      </c>
      <c r="C237" s="22" t="n">
        <v>0.731539166591077</v>
      </c>
      <c r="D237" s="23" t="n">
        <f aca="false">BETAINV(C237,Test1_Hand!$B$21,Test1_Hand!$B$22,Test1_Hand!$B$9,Test1_Hand!$B$11)</f>
        <v>4.28915896941609</v>
      </c>
      <c r="E237" s="2" t="n">
        <f aca="false">IF(B237&lt;Test1_Hand!$B$12,1,0)</f>
        <v>1</v>
      </c>
      <c r="F237" s="23" t="n">
        <f aca="false">Test1_Hand!$B$4+E237*D237</f>
        <v>20.2891589694161</v>
      </c>
      <c r="G237" s="24" t="n">
        <f aca="false">Test1_Hand!$B$6*E237*D237+Test1_Hand!$B$7*MAX(0,F237-Test1_Hand!$B$5)</f>
        <v>35759.0666024092</v>
      </c>
      <c r="H237" s="2" t="n">
        <f aca="false">IF(B237&lt;Test1_Hand!$B$13,1,0)</f>
        <v>0</v>
      </c>
      <c r="I237" s="23" t="n">
        <f aca="false">Test1_Hand!$B$4+H237*D237</f>
        <v>16</v>
      </c>
      <c r="J237" s="24" t="n">
        <f aca="false">Test1_Hand!$B$6*H237*D237+Test1_Hand!$B$7*MAX(0,I237-Test1_Hand!$B$5)+Test1_Hand!$B$14</f>
        <v>6000</v>
      </c>
    </row>
    <row r="238" customFormat="false" ht="15" hidden="false" customHeight="false" outlineLevel="0" collapsed="false">
      <c r="A238" s="2" t="n">
        <v>226</v>
      </c>
      <c r="B238" s="22" t="n">
        <v>0.709994614128471</v>
      </c>
      <c r="C238" s="22" t="n">
        <v>0.381577261438245</v>
      </c>
      <c r="D238" s="23" t="n">
        <f aca="false">BETAINV(C238,Test1_Hand!$B$21,Test1_Hand!$B$22,Test1_Hand!$B$9,Test1_Hand!$B$11)</f>
        <v>2.97248218132994</v>
      </c>
      <c r="E238" s="2" t="n">
        <f aca="false">IF(B238&lt;Test1_Hand!$B$12,1,0)</f>
        <v>0</v>
      </c>
      <c r="F238" s="23" t="n">
        <f aca="false">Test1_Hand!$B$4+E238*D238</f>
        <v>16</v>
      </c>
      <c r="G238" s="24" t="n">
        <f aca="false">Test1_Hand!$B$6*E238*D238+Test1_Hand!$B$7*MAX(0,F238-Test1_Hand!$B$5)</f>
        <v>0</v>
      </c>
      <c r="H238" s="2" t="n">
        <f aca="false">IF(B238&lt;Test1_Hand!$B$13,1,0)</f>
        <v>0</v>
      </c>
      <c r="I238" s="23" t="n">
        <f aca="false">Test1_Hand!$B$4+H238*D238</f>
        <v>16</v>
      </c>
      <c r="J238" s="24" t="n">
        <f aca="false">Test1_Hand!$B$6*H238*D238+Test1_Hand!$B$7*MAX(0,I238-Test1_Hand!$B$5)+Test1_Hand!$B$14</f>
        <v>6000</v>
      </c>
    </row>
    <row r="239" customFormat="false" ht="15" hidden="false" customHeight="false" outlineLevel="0" collapsed="false">
      <c r="A239" s="2" t="n">
        <v>227</v>
      </c>
      <c r="B239" s="22" t="n">
        <v>0.428014593676548</v>
      </c>
      <c r="C239" s="22" t="n">
        <v>0.354505238315941</v>
      </c>
      <c r="D239" s="23" t="n">
        <f aca="false">BETAINV(C239,Test1_Hand!$B$21,Test1_Hand!$B$22,Test1_Hand!$B$9,Test1_Hand!$B$11)</f>
        <v>2.87941677995518</v>
      </c>
      <c r="E239" s="2" t="n">
        <f aca="false">IF(B239&lt;Test1_Hand!$B$12,1,0)</f>
        <v>1</v>
      </c>
      <c r="F239" s="23" t="n">
        <f aca="false">Test1_Hand!$B$4+E239*D239</f>
        <v>18.8794167799552</v>
      </c>
      <c r="G239" s="24" t="n">
        <f aca="false">Test1_Hand!$B$6*E239*D239+Test1_Hand!$B$7*MAX(0,F239-Test1_Hand!$B$5)</f>
        <v>23035.3342396414</v>
      </c>
      <c r="H239" s="2" t="n">
        <f aca="false">IF(B239&lt;Test1_Hand!$B$13,1,0)</f>
        <v>0</v>
      </c>
      <c r="I239" s="23" t="n">
        <f aca="false">Test1_Hand!$B$4+H239*D239</f>
        <v>16</v>
      </c>
      <c r="J239" s="24" t="n">
        <f aca="false">Test1_Hand!$B$6*H239*D239+Test1_Hand!$B$7*MAX(0,I239-Test1_Hand!$B$5)+Test1_Hand!$B$14</f>
        <v>6000</v>
      </c>
    </row>
    <row r="240" customFormat="false" ht="15" hidden="false" customHeight="false" outlineLevel="0" collapsed="false">
      <c r="A240" s="2" t="n">
        <v>228</v>
      </c>
      <c r="B240" s="22" t="n">
        <v>0.777532445392244</v>
      </c>
      <c r="C240" s="22" t="n">
        <v>0.142980180209655</v>
      </c>
      <c r="D240" s="23" t="n">
        <f aca="false">BETAINV(C240,Test1_Hand!$B$21,Test1_Hand!$B$22,Test1_Hand!$B$9,Test1_Hand!$B$11)</f>
        <v>2.09798577622482</v>
      </c>
      <c r="E240" s="2" t="n">
        <f aca="false">IF(B240&lt;Test1_Hand!$B$12,1,0)</f>
        <v>0</v>
      </c>
      <c r="F240" s="23" t="n">
        <f aca="false">Test1_Hand!$B$4+E240*D240</f>
        <v>16</v>
      </c>
      <c r="G240" s="24" t="n">
        <f aca="false">Test1_Hand!$B$6*E240*D240+Test1_Hand!$B$7*MAX(0,F240-Test1_Hand!$B$5)</f>
        <v>0</v>
      </c>
      <c r="H240" s="2" t="n">
        <f aca="false">IF(B240&lt;Test1_Hand!$B$13,1,0)</f>
        <v>0</v>
      </c>
      <c r="I240" s="23" t="n">
        <f aca="false">Test1_Hand!$B$4+H240*D240</f>
        <v>16</v>
      </c>
      <c r="J240" s="24" t="n">
        <f aca="false">Test1_Hand!$B$6*H240*D240+Test1_Hand!$B$7*MAX(0,I240-Test1_Hand!$B$5)+Test1_Hand!$B$14</f>
        <v>6000</v>
      </c>
    </row>
    <row r="241" customFormat="false" ht="15" hidden="false" customHeight="false" outlineLevel="0" collapsed="false">
      <c r="A241" s="2" t="n">
        <v>229</v>
      </c>
      <c r="B241" s="22" t="n">
        <v>0.815518462583309</v>
      </c>
      <c r="C241" s="22" t="n">
        <v>0.588124970400469</v>
      </c>
      <c r="D241" s="23" t="n">
        <f aca="false">BETAINV(C241,Test1_Hand!$B$21,Test1_Hand!$B$22,Test1_Hand!$B$9,Test1_Hand!$B$11)</f>
        <v>3.70227681080889</v>
      </c>
      <c r="E241" s="2" t="n">
        <f aca="false">IF(B241&lt;Test1_Hand!$B$12,1,0)</f>
        <v>0</v>
      </c>
      <c r="F241" s="23" t="n">
        <f aca="false">Test1_Hand!$B$4+E241*D241</f>
        <v>16</v>
      </c>
      <c r="G241" s="24" t="n">
        <f aca="false">Test1_Hand!$B$6*E241*D241+Test1_Hand!$B$7*MAX(0,F241-Test1_Hand!$B$5)</f>
        <v>0</v>
      </c>
      <c r="H241" s="2" t="n">
        <f aca="false">IF(B241&lt;Test1_Hand!$B$13,1,0)</f>
        <v>0</v>
      </c>
      <c r="I241" s="23" t="n">
        <f aca="false">Test1_Hand!$B$4+H241*D241</f>
        <v>16</v>
      </c>
      <c r="J241" s="24" t="n">
        <f aca="false">Test1_Hand!$B$6*H241*D241+Test1_Hand!$B$7*MAX(0,I241-Test1_Hand!$B$5)+Test1_Hand!$B$14</f>
        <v>6000</v>
      </c>
    </row>
    <row r="242" customFormat="false" ht="15" hidden="false" customHeight="false" outlineLevel="0" collapsed="false">
      <c r="A242" s="2" t="n">
        <v>230</v>
      </c>
      <c r="B242" s="22" t="n">
        <v>0.371146355808127</v>
      </c>
      <c r="C242" s="22" t="n">
        <v>0.942411741838846</v>
      </c>
      <c r="D242" s="23" t="n">
        <f aca="false">BETAINV(C242,Test1_Hand!$B$21,Test1_Hand!$B$22,Test1_Hand!$B$9,Test1_Hand!$B$11)</f>
        <v>5.68117107462156</v>
      </c>
      <c r="E242" s="2" t="n">
        <f aca="false">IF(B242&lt;Test1_Hand!$B$12,1,0)</f>
        <v>1</v>
      </c>
      <c r="F242" s="23" t="n">
        <f aca="false">Test1_Hand!$B$4+E242*D242</f>
        <v>21.6811710746216</v>
      </c>
      <c r="G242" s="24" t="n">
        <f aca="false">Test1_Hand!$B$6*E242*D242+Test1_Hand!$B$7*MAX(0,F242-Test1_Hand!$B$5)</f>
        <v>53855.2239700802</v>
      </c>
      <c r="H242" s="2" t="n">
        <f aca="false">IF(B242&lt;Test1_Hand!$B$13,1,0)</f>
        <v>0</v>
      </c>
      <c r="I242" s="23" t="n">
        <f aca="false">Test1_Hand!$B$4+H242*D242</f>
        <v>16</v>
      </c>
      <c r="J242" s="24" t="n">
        <f aca="false">Test1_Hand!$B$6*H242*D242+Test1_Hand!$B$7*MAX(0,I242-Test1_Hand!$B$5)+Test1_Hand!$B$14</f>
        <v>6000</v>
      </c>
    </row>
    <row r="243" customFormat="false" ht="15" hidden="false" customHeight="false" outlineLevel="0" collapsed="false">
      <c r="A243" s="2" t="n">
        <v>231</v>
      </c>
      <c r="B243" s="22" t="n">
        <v>0.957811728592023</v>
      </c>
      <c r="C243" s="22" t="n">
        <v>0.968605164855797</v>
      </c>
      <c r="D243" s="23" t="n">
        <f aca="false">BETAINV(C243,Test1_Hand!$B$21,Test1_Hand!$B$22,Test1_Hand!$B$9,Test1_Hand!$B$11)</f>
        <v>6.05079490576344</v>
      </c>
      <c r="E243" s="2" t="n">
        <f aca="false">IF(B243&lt;Test1_Hand!$B$12,1,0)</f>
        <v>0</v>
      </c>
      <c r="F243" s="23" t="n">
        <f aca="false">Test1_Hand!$B$4+E243*D243</f>
        <v>16</v>
      </c>
      <c r="G243" s="24" t="n">
        <f aca="false">Test1_Hand!$B$6*E243*D243+Test1_Hand!$B$7*MAX(0,F243-Test1_Hand!$B$5)</f>
        <v>0</v>
      </c>
      <c r="H243" s="2" t="n">
        <f aca="false">IF(B243&lt;Test1_Hand!$B$13,1,0)</f>
        <v>0</v>
      </c>
      <c r="I243" s="23" t="n">
        <f aca="false">Test1_Hand!$B$4+H243*D243</f>
        <v>16</v>
      </c>
      <c r="J243" s="24" t="n">
        <f aca="false">Test1_Hand!$B$6*H243*D243+Test1_Hand!$B$7*MAX(0,I243-Test1_Hand!$B$5)+Test1_Hand!$B$14</f>
        <v>6000</v>
      </c>
    </row>
    <row r="244" customFormat="false" ht="15" hidden="false" customHeight="false" outlineLevel="0" collapsed="false">
      <c r="A244" s="2" t="n">
        <v>232</v>
      </c>
      <c r="B244" s="22" t="n">
        <v>0.100901762112607</v>
      </c>
      <c r="C244" s="22" t="n">
        <v>0.490561491536753</v>
      </c>
      <c r="D244" s="23" t="n">
        <f aca="false">BETAINV(C244,Test1_Hand!$B$21,Test1_Hand!$B$22,Test1_Hand!$B$9,Test1_Hand!$B$11)</f>
        <v>3.34935777784498</v>
      </c>
      <c r="E244" s="2" t="n">
        <f aca="false">IF(B244&lt;Test1_Hand!$B$12,1,0)</f>
        <v>1</v>
      </c>
      <c r="F244" s="23" t="n">
        <f aca="false">Test1_Hand!$B$4+E244*D244</f>
        <v>19.349357777845</v>
      </c>
      <c r="G244" s="24" t="n">
        <f aca="false">Test1_Hand!$B$6*E244*D244+Test1_Hand!$B$7*MAX(0,F244-Test1_Hand!$B$5)</f>
        <v>26794.8622227599</v>
      </c>
      <c r="H244" s="2" t="n">
        <f aca="false">IF(B244&lt;Test1_Hand!$B$13,1,0)</f>
        <v>1</v>
      </c>
      <c r="I244" s="23" t="n">
        <f aca="false">Test1_Hand!$B$4+H244*D244</f>
        <v>19.349357777845</v>
      </c>
      <c r="J244" s="24" t="n">
        <f aca="false">Test1_Hand!$B$6*H244*D244+Test1_Hand!$B$7*MAX(0,I244-Test1_Hand!$B$5)+Test1_Hand!$B$14</f>
        <v>32794.8622227599</v>
      </c>
    </row>
    <row r="245" customFormat="false" ht="15" hidden="false" customHeight="false" outlineLevel="0" collapsed="false">
      <c r="A245" s="2" t="n">
        <v>233</v>
      </c>
      <c r="B245" s="22" t="n">
        <v>0.920842047649333</v>
      </c>
      <c r="C245" s="22" t="n">
        <v>0.00886641270706601</v>
      </c>
      <c r="D245" s="23" t="n">
        <f aca="false">BETAINV(C245,Test1_Hand!$B$21,Test1_Hand!$B$22,Test1_Hand!$B$9,Test1_Hand!$B$11)</f>
        <v>1.26774283401441</v>
      </c>
      <c r="E245" s="2" t="n">
        <f aca="false">IF(B245&lt;Test1_Hand!$B$12,1,0)</f>
        <v>0</v>
      </c>
      <c r="F245" s="23" t="n">
        <f aca="false">Test1_Hand!$B$4+E245*D245</f>
        <v>16</v>
      </c>
      <c r="G245" s="24" t="n">
        <f aca="false">Test1_Hand!$B$6*E245*D245+Test1_Hand!$B$7*MAX(0,F245-Test1_Hand!$B$5)</f>
        <v>0</v>
      </c>
      <c r="H245" s="2" t="n">
        <f aca="false">IF(B245&lt;Test1_Hand!$B$13,1,0)</f>
        <v>0</v>
      </c>
      <c r="I245" s="23" t="n">
        <f aca="false">Test1_Hand!$B$4+H245*D245</f>
        <v>16</v>
      </c>
      <c r="J245" s="24" t="n">
        <f aca="false">Test1_Hand!$B$6*H245*D245+Test1_Hand!$B$7*MAX(0,I245-Test1_Hand!$B$5)+Test1_Hand!$B$14</f>
        <v>6000</v>
      </c>
    </row>
    <row r="246" customFormat="false" ht="15" hidden="false" customHeight="false" outlineLevel="0" collapsed="false">
      <c r="A246" s="2" t="n">
        <v>234</v>
      </c>
      <c r="B246" s="22" t="n">
        <v>0.299961596446788</v>
      </c>
      <c r="C246" s="22" t="n">
        <v>0.459505849401594</v>
      </c>
      <c r="D246" s="23" t="n">
        <f aca="false">BETAINV(C246,Test1_Hand!$B$21,Test1_Hand!$B$22,Test1_Hand!$B$9,Test1_Hand!$B$11)</f>
        <v>3.24093851739123</v>
      </c>
      <c r="E246" s="2" t="n">
        <f aca="false">IF(B246&lt;Test1_Hand!$B$12,1,0)</f>
        <v>1</v>
      </c>
      <c r="F246" s="23" t="n">
        <f aca="false">Test1_Hand!$B$4+E246*D246</f>
        <v>19.2409385173912</v>
      </c>
      <c r="G246" s="24" t="n">
        <f aca="false">Test1_Hand!$B$6*E246*D246+Test1_Hand!$B$7*MAX(0,F246-Test1_Hand!$B$5)</f>
        <v>25927.5081391298</v>
      </c>
      <c r="H246" s="2" t="n">
        <f aca="false">IF(B246&lt;Test1_Hand!$B$13,1,0)</f>
        <v>0</v>
      </c>
      <c r="I246" s="23" t="n">
        <f aca="false">Test1_Hand!$B$4+H246*D246</f>
        <v>16</v>
      </c>
      <c r="J246" s="24" t="n">
        <f aca="false">Test1_Hand!$B$6*H246*D246+Test1_Hand!$B$7*MAX(0,I246-Test1_Hand!$B$5)+Test1_Hand!$B$14</f>
        <v>6000</v>
      </c>
    </row>
    <row r="247" customFormat="false" ht="15" hidden="false" customHeight="false" outlineLevel="0" collapsed="false">
      <c r="A247" s="2" t="n">
        <v>235</v>
      </c>
      <c r="B247" s="22" t="n">
        <v>0.278044702534519</v>
      </c>
      <c r="C247" s="22" t="n">
        <v>0.571517638973555</v>
      </c>
      <c r="D247" s="23" t="n">
        <f aca="false">BETAINV(C247,Test1_Hand!$B$21,Test1_Hand!$B$22,Test1_Hand!$B$9,Test1_Hand!$B$11)</f>
        <v>3.64043447138403</v>
      </c>
      <c r="E247" s="2" t="n">
        <f aca="false">IF(B247&lt;Test1_Hand!$B$12,1,0)</f>
        <v>1</v>
      </c>
      <c r="F247" s="23" t="n">
        <f aca="false">Test1_Hand!$B$4+E247*D247</f>
        <v>19.640434471384</v>
      </c>
      <c r="G247" s="24" t="n">
        <f aca="false">Test1_Hand!$B$6*E247*D247+Test1_Hand!$B$7*MAX(0,F247-Test1_Hand!$B$5)</f>
        <v>29123.4757710722</v>
      </c>
      <c r="H247" s="2" t="n">
        <f aca="false">IF(B247&lt;Test1_Hand!$B$13,1,0)</f>
        <v>0</v>
      </c>
      <c r="I247" s="23" t="n">
        <f aca="false">Test1_Hand!$B$4+H247*D247</f>
        <v>16</v>
      </c>
      <c r="J247" s="24" t="n">
        <f aca="false">Test1_Hand!$B$6*H247*D247+Test1_Hand!$B$7*MAX(0,I247-Test1_Hand!$B$5)+Test1_Hand!$B$14</f>
        <v>6000</v>
      </c>
    </row>
    <row r="248" customFormat="false" ht="15" hidden="false" customHeight="false" outlineLevel="0" collapsed="false">
      <c r="A248" s="2" t="n">
        <v>236</v>
      </c>
      <c r="B248" s="22" t="n">
        <v>0.536208705687008</v>
      </c>
      <c r="C248" s="22" t="n">
        <v>0.844106158183072</v>
      </c>
      <c r="D248" s="23" t="n">
        <f aca="false">BETAINV(C248,Test1_Hand!$B$21,Test1_Hand!$B$22,Test1_Hand!$B$9,Test1_Hand!$B$11)</f>
        <v>4.87903526704476</v>
      </c>
      <c r="E248" s="2" t="n">
        <f aca="false">IF(B248&lt;Test1_Hand!$B$12,1,0)</f>
        <v>0</v>
      </c>
      <c r="F248" s="23" t="n">
        <f aca="false">Test1_Hand!$B$4+E248*D248</f>
        <v>16</v>
      </c>
      <c r="G248" s="24" t="n">
        <f aca="false">Test1_Hand!$B$6*E248*D248+Test1_Hand!$B$7*MAX(0,F248-Test1_Hand!$B$5)</f>
        <v>0</v>
      </c>
      <c r="H248" s="2" t="n">
        <f aca="false">IF(B248&lt;Test1_Hand!$B$13,1,0)</f>
        <v>0</v>
      </c>
      <c r="I248" s="23" t="n">
        <f aca="false">Test1_Hand!$B$4+H248*D248</f>
        <v>16</v>
      </c>
      <c r="J248" s="24" t="n">
        <f aca="false">Test1_Hand!$B$6*H248*D248+Test1_Hand!$B$7*MAX(0,I248-Test1_Hand!$B$5)+Test1_Hand!$B$14</f>
        <v>6000</v>
      </c>
    </row>
    <row r="249" customFormat="false" ht="15" hidden="false" customHeight="false" outlineLevel="0" collapsed="false">
      <c r="A249" s="2" t="n">
        <v>237</v>
      </c>
      <c r="B249" s="22" t="n">
        <v>0.239527188759973</v>
      </c>
      <c r="C249" s="22" t="n">
        <v>0.756078660505435</v>
      </c>
      <c r="D249" s="23" t="n">
        <f aca="false">BETAINV(C249,Test1_Hand!$B$21,Test1_Hand!$B$22,Test1_Hand!$B$9,Test1_Hand!$B$11)</f>
        <v>4.4038237736926</v>
      </c>
      <c r="E249" s="2" t="n">
        <f aca="false">IF(B249&lt;Test1_Hand!$B$12,1,0)</f>
        <v>1</v>
      </c>
      <c r="F249" s="23" t="n">
        <f aca="false">Test1_Hand!$B$4+E249*D249</f>
        <v>20.4038237736926</v>
      </c>
      <c r="G249" s="24" t="n">
        <f aca="false">Test1_Hand!$B$6*E249*D249+Test1_Hand!$B$7*MAX(0,F249-Test1_Hand!$B$5)</f>
        <v>37249.7090580038</v>
      </c>
      <c r="H249" s="2" t="n">
        <f aca="false">IF(B249&lt;Test1_Hand!$B$13,1,0)</f>
        <v>0</v>
      </c>
      <c r="I249" s="23" t="n">
        <f aca="false">Test1_Hand!$B$4+H249*D249</f>
        <v>16</v>
      </c>
      <c r="J249" s="24" t="n">
        <f aca="false">Test1_Hand!$B$6*H249*D249+Test1_Hand!$B$7*MAX(0,I249-Test1_Hand!$B$5)+Test1_Hand!$B$14</f>
        <v>6000</v>
      </c>
    </row>
    <row r="250" customFormat="false" ht="15" hidden="false" customHeight="false" outlineLevel="0" collapsed="false">
      <c r="A250" s="2" t="n">
        <v>238</v>
      </c>
      <c r="B250" s="22" t="n">
        <v>0.493509942687713</v>
      </c>
      <c r="C250" s="22" t="n">
        <v>0.965271336489623</v>
      </c>
      <c r="D250" s="23" t="n">
        <f aca="false">BETAINV(C250,Test1_Hand!$B$21,Test1_Hand!$B$22,Test1_Hand!$B$9,Test1_Hand!$B$11)</f>
        <v>5.9942207792201</v>
      </c>
      <c r="E250" s="2" t="n">
        <f aca="false">IF(B250&lt;Test1_Hand!$B$12,1,0)</f>
        <v>1</v>
      </c>
      <c r="F250" s="23" t="n">
        <f aca="false">Test1_Hand!$B$4+E250*D250</f>
        <v>21.9942207792201</v>
      </c>
      <c r="G250" s="24" t="n">
        <f aca="false">Test1_Hand!$B$6*E250*D250+Test1_Hand!$B$7*MAX(0,F250-Test1_Hand!$B$5)</f>
        <v>57924.8701298612</v>
      </c>
      <c r="H250" s="2" t="n">
        <f aca="false">IF(B250&lt;Test1_Hand!$B$13,1,0)</f>
        <v>0</v>
      </c>
      <c r="I250" s="23" t="n">
        <f aca="false">Test1_Hand!$B$4+H250*D250</f>
        <v>16</v>
      </c>
      <c r="J250" s="24" t="n">
        <f aca="false">Test1_Hand!$B$6*H250*D250+Test1_Hand!$B$7*MAX(0,I250-Test1_Hand!$B$5)+Test1_Hand!$B$14</f>
        <v>6000</v>
      </c>
    </row>
    <row r="251" customFormat="false" ht="15" hidden="false" customHeight="false" outlineLevel="0" collapsed="false">
      <c r="A251" s="2" t="n">
        <v>239</v>
      </c>
      <c r="B251" s="22" t="n">
        <v>0.858289147432145</v>
      </c>
      <c r="C251" s="22" t="n">
        <v>0.0205619417902598</v>
      </c>
      <c r="D251" s="23" t="n">
        <f aca="false">BETAINV(C251,Test1_Hand!$B$21,Test1_Hand!$B$22,Test1_Hand!$B$9,Test1_Hand!$B$11)</f>
        <v>1.40370922285996</v>
      </c>
      <c r="E251" s="2" t="n">
        <f aca="false">IF(B251&lt;Test1_Hand!$B$12,1,0)</f>
        <v>0</v>
      </c>
      <c r="F251" s="23" t="n">
        <f aca="false">Test1_Hand!$B$4+E251*D251</f>
        <v>16</v>
      </c>
      <c r="G251" s="24" t="n">
        <f aca="false">Test1_Hand!$B$6*E251*D251+Test1_Hand!$B$7*MAX(0,F251-Test1_Hand!$B$5)</f>
        <v>0</v>
      </c>
      <c r="H251" s="2" t="n">
        <f aca="false">IF(B251&lt;Test1_Hand!$B$13,1,0)</f>
        <v>0</v>
      </c>
      <c r="I251" s="23" t="n">
        <f aca="false">Test1_Hand!$B$4+H251*D251</f>
        <v>16</v>
      </c>
      <c r="J251" s="24" t="n">
        <f aca="false">Test1_Hand!$B$6*H251*D251+Test1_Hand!$B$7*MAX(0,I251-Test1_Hand!$B$5)+Test1_Hand!$B$14</f>
        <v>6000</v>
      </c>
    </row>
    <row r="252" customFormat="false" ht="15" hidden="false" customHeight="false" outlineLevel="0" collapsed="false">
      <c r="A252" s="2" t="n">
        <v>240</v>
      </c>
      <c r="B252" s="22" t="n">
        <v>0.399561070409879</v>
      </c>
      <c r="C252" s="22" t="n">
        <v>0.255049708414571</v>
      </c>
      <c r="D252" s="23" t="n">
        <f aca="false">BETAINV(C252,Test1_Hand!$B$21,Test1_Hand!$B$22,Test1_Hand!$B$9,Test1_Hand!$B$11)</f>
        <v>2.53070081557068</v>
      </c>
      <c r="E252" s="2" t="n">
        <f aca="false">IF(B252&lt;Test1_Hand!$B$12,1,0)</f>
        <v>1</v>
      </c>
      <c r="F252" s="23" t="n">
        <f aca="false">Test1_Hand!$B$4+E252*D252</f>
        <v>18.5307008155707</v>
      </c>
      <c r="G252" s="24" t="n">
        <f aca="false">Test1_Hand!$B$6*E252*D252+Test1_Hand!$B$7*MAX(0,F252-Test1_Hand!$B$5)</f>
        <v>20245.6065245654</v>
      </c>
      <c r="H252" s="2" t="n">
        <f aca="false">IF(B252&lt;Test1_Hand!$B$13,1,0)</f>
        <v>0</v>
      </c>
      <c r="I252" s="23" t="n">
        <f aca="false">Test1_Hand!$B$4+H252*D252</f>
        <v>16</v>
      </c>
      <c r="J252" s="24" t="n">
        <f aca="false">Test1_Hand!$B$6*H252*D252+Test1_Hand!$B$7*MAX(0,I252-Test1_Hand!$B$5)+Test1_Hand!$B$14</f>
        <v>6000</v>
      </c>
    </row>
    <row r="253" customFormat="false" ht="15" hidden="false" customHeight="false" outlineLevel="0" collapsed="false">
      <c r="A253" s="2" t="n">
        <v>241</v>
      </c>
      <c r="B253" s="22" t="n">
        <v>0.488045749898493</v>
      </c>
      <c r="C253" s="22" t="n">
        <v>0.996210885389238</v>
      </c>
      <c r="D253" s="23" t="n">
        <f aca="false">BETAINV(C253,Test1_Hand!$B$21,Test1_Hand!$B$22,Test1_Hand!$B$9,Test1_Hand!$B$11)</f>
        <v>6.91209544574757</v>
      </c>
      <c r="E253" s="2" t="n">
        <f aca="false">IF(B253&lt;Test1_Hand!$B$12,1,0)</f>
        <v>1</v>
      </c>
      <c r="F253" s="23" t="n">
        <f aca="false">Test1_Hand!$B$4+E253*D253</f>
        <v>22.9120954457476</v>
      </c>
      <c r="G253" s="24" t="n">
        <f aca="false">Test1_Hand!$B$6*E253*D253+Test1_Hand!$B$7*MAX(0,F253-Test1_Hand!$B$5)</f>
        <v>69857.2407947184</v>
      </c>
      <c r="H253" s="2" t="n">
        <f aca="false">IF(B253&lt;Test1_Hand!$B$13,1,0)</f>
        <v>0</v>
      </c>
      <c r="I253" s="23" t="n">
        <f aca="false">Test1_Hand!$B$4+H253*D253</f>
        <v>16</v>
      </c>
      <c r="J253" s="24" t="n">
        <f aca="false">Test1_Hand!$B$6*H253*D253+Test1_Hand!$B$7*MAX(0,I253-Test1_Hand!$B$5)+Test1_Hand!$B$14</f>
        <v>6000</v>
      </c>
    </row>
    <row r="254" customFormat="false" ht="15" hidden="false" customHeight="false" outlineLevel="0" collapsed="false">
      <c r="A254" s="2" t="n">
        <v>242</v>
      </c>
      <c r="B254" s="22" t="n">
        <v>0.579238455414137</v>
      </c>
      <c r="C254" s="22" t="n">
        <v>0.0690212893416432</v>
      </c>
      <c r="D254" s="23" t="n">
        <f aca="false">BETAINV(C254,Test1_Hand!$B$21,Test1_Hand!$B$22,Test1_Hand!$B$9,Test1_Hand!$B$11)</f>
        <v>1.74397447016028</v>
      </c>
      <c r="E254" s="2" t="n">
        <f aca="false">IF(B254&lt;Test1_Hand!$B$12,1,0)</f>
        <v>0</v>
      </c>
      <c r="F254" s="23" t="n">
        <f aca="false">Test1_Hand!$B$4+E254*D254</f>
        <v>16</v>
      </c>
      <c r="G254" s="24" t="n">
        <f aca="false">Test1_Hand!$B$6*E254*D254+Test1_Hand!$B$7*MAX(0,F254-Test1_Hand!$B$5)</f>
        <v>0</v>
      </c>
      <c r="H254" s="2" t="n">
        <f aca="false">IF(B254&lt;Test1_Hand!$B$13,1,0)</f>
        <v>0</v>
      </c>
      <c r="I254" s="23" t="n">
        <f aca="false">Test1_Hand!$B$4+H254*D254</f>
        <v>16</v>
      </c>
      <c r="J254" s="24" t="n">
        <f aca="false">Test1_Hand!$B$6*H254*D254+Test1_Hand!$B$7*MAX(0,I254-Test1_Hand!$B$5)+Test1_Hand!$B$14</f>
        <v>6000</v>
      </c>
    </row>
    <row r="255" customFormat="false" ht="15" hidden="false" customHeight="false" outlineLevel="0" collapsed="false">
      <c r="A255" s="2" t="n">
        <v>243</v>
      </c>
      <c r="B255" s="22" t="n">
        <v>0.747374441481969</v>
      </c>
      <c r="C255" s="22" t="n">
        <v>0.200842169927281</v>
      </c>
      <c r="D255" s="23" t="n">
        <f aca="false">BETAINV(C255,Test1_Hand!$B$21,Test1_Hand!$B$22,Test1_Hand!$B$9,Test1_Hand!$B$11)</f>
        <v>2.32992851279264</v>
      </c>
      <c r="E255" s="2" t="n">
        <f aca="false">IF(B255&lt;Test1_Hand!$B$12,1,0)</f>
        <v>0</v>
      </c>
      <c r="F255" s="23" t="n">
        <f aca="false">Test1_Hand!$B$4+E255*D255</f>
        <v>16</v>
      </c>
      <c r="G255" s="24" t="n">
        <f aca="false">Test1_Hand!$B$6*E255*D255+Test1_Hand!$B$7*MAX(0,F255-Test1_Hand!$B$5)</f>
        <v>0</v>
      </c>
      <c r="H255" s="2" t="n">
        <f aca="false">IF(B255&lt;Test1_Hand!$B$13,1,0)</f>
        <v>0</v>
      </c>
      <c r="I255" s="23" t="n">
        <f aca="false">Test1_Hand!$B$4+H255*D255</f>
        <v>16</v>
      </c>
      <c r="J255" s="24" t="n">
        <f aca="false">Test1_Hand!$B$6*H255*D255+Test1_Hand!$B$7*MAX(0,I255-Test1_Hand!$B$5)+Test1_Hand!$B$14</f>
        <v>6000</v>
      </c>
    </row>
    <row r="256" customFormat="false" ht="15" hidden="false" customHeight="false" outlineLevel="0" collapsed="false">
      <c r="A256" s="2" t="n">
        <v>244</v>
      </c>
      <c r="B256" s="22" t="n">
        <v>0.462754219384743</v>
      </c>
      <c r="C256" s="22" t="n">
        <v>0.635941453808727</v>
      </c>
      <c r="D256" s="23" t="n">
        <f aca="false">BETAINV(C256,Test1_Hand!$B$21,Test1_Hand!$B$22,Test1_Hand!$B$9,Test1_Hand!$B$11)</f>
        <v>3.88596812410937</v>
      </c>
      <c r="E256" s="2" t="n">
        <f aca="false">IF(B256&lt;Test1_Hand!$B$12,1,0)</f>
        <v>1</v>
      </c>
      <c r="F256" s="23" t="n">
        <f aca="false">Test1_Hand!$B$4+E256*D256</f>
        <v>19.8859681241094</v>
      </c>
      <c r="G256" s="24" t="n">
        <f aca="false">Test1_Hand!$B$6*E256*D256+Test1_Hand!$B$7*MAX(0,F256-Test1_Hand!$B$5)</f>
        <v>31087.7449928749</v>
      </c>
      <c r="H256" s="2" t="n">
        <f aca="false">IF(B256&lt;Test1_Hand!$B$13,1,0)</f>
        <v>0</v>
      </c>
      <c r="I256" s="23" t="n">
        <f aca="false">Test1_Hand!$B$4+H256*D256</f>
        <v>16</v>
      </c>
      <c r="J256" s="24" t="n">
        <f aca="false">Test1_Hand!$B$6*H256*D256+Test1_Hand!$B$7*MAX(0,I256-Test1_Hand!$B$5)+Test1_Hand!$B$14</f>
        <v>6000</v>
      </c>
    </row>
    <row r="257" customFormat="false" ht="15" hidden="false" customHeight="false" outlineLevel="0" collapsed="false">
      <c r="A257" s="2" t="n">
        <v>245</v>
      </c>
      <c r="B257" s="22" t="n">
        <v>0.912795436793711</v>
      </c>
      <c r="C257" s="22" t="n">
        <v>0.341281552407683</v>
      </c>
      <c r="D257" s="23" t="n">
        <f aca="false">BETAINV(C257,Test1_Hand!$B$21,Test1_Hand!$B$22,Test1_Hand!$B$9,Test1_Hand!$B$11)</f>
        <v>2.83382066094791</v>
      </c>
      <c r="E257" s="2" t="n">
        <f aca="false">IF(B257&lt;Test1_Hand!$B$12,1,0)</f>
        <v>0</v>
      </c>
      <c r="F257" s="23" t="n">
        <f aca="false">Test1_Hand!$B$4+E257*D257</f>
        <v>16</v>
      </c>
      <c r="G257" s="24" t="n">
        <f aca="false">Test1_Hand!$B$6*E257*D257+Test1_Hand!$B$7*MAX(0,F257-Test1_Hand!$B$5)</f>
        <v>0</v>
      </c>
      <c r="H257" s="2" t="n">
        <f aca="false">IF(B257&lt;Test1_Hand!$B$13,1,0)</f>
        <v>0</v>
      </c>
      <c r="I257" s="23" t="n">
        <f aca="false">Test1_Hand!$B$4+H257*D257</f>
        <v>16</v>
      </c>
      <c r="J257" s="24" t="n">
        <f aca="false">Test1_Hand!$B$6*H257*D257+Test1_Hand!$B$7*MAX(0,I257-Test1_Hand!$B$5)+Test1_Hand!$B$14</f>
        <v>6000</v>
      </c>
    </row>
    <row r="258" customFormat="false" ht="15" hidden="false" customHeight="false" outlineLevel="0" collapsed="false">
      <c r="A258" s="2" t="n">
        <v>246</v>
      </c>
      <c r="B258" s="22" t="n">
        <v>0.66504320525455</v>
      </c>
      <c r="C258" s="22" t="n">
        <v>0.035322167465738</v>
      </c>
      <c r="D258" s="23" t="n">
        <f aca="false">BETAINV(C258,Test1_Hand!$B$21,Test1_Hand!$B$22,Test1_Hand!$B$9,Test1_Hand!$B$11)</f>
        <v>1.52847195372453</v>
      </c>
      <c r="E258" s="2" t="n">
        <f aca="false">IF(B258&lt;Test1_Hand!$B$12,1,0)</f>
        <v>0</v>
      </c>
      <c r="F258" s="23" t="n">
        <f aca="false">Test1_Hand!$B$4+E258*D258</f>
        <v>16</v>
      </c>
      <c r="G258" s="24" t="n">
        <f aca="false">Test1_Hand!$B$6*E258*D258+Test1_Hand!$B$7*MAX(0,F258-Test1_Hand!$B$5)</f>
        <v>0</v>
      </c>
      <c r="H258" s="2" t="n">
        <f aca="false">IF(B258&lt;Test1_Hand!$B$13,1,0)</f>
        <v>0</v>
      </c>
      <c r="I258" s="23" t="n">
        <f aca="false">Test1_Hand!$B$4+H258*D258</f>
        <v>16</v>
      </c>
      <c r="J258" s="24" t="n">
        <f aca="false">Test1_Hand!$B$6*H258*D258+Test1_Hand!$B$7*MAX(0,I258-Test1_Hand!$B$5)+Test1_Hand!$B$14</f>
        <v>6000</v>
      </c>
    </row>
    <row r="259" customFormat="false" ht="15" hidden="false" customHeight="false" outlineLevel="0" collapsed="false">
      <c r="A259" s="2" t="n">
        <v>247</v>
      </c>
      <c r="B259" s="22" t="n">
        <v>0.0624256684650422</v>
      </c>
      <c r="C259" s="22" t="n">
        <v>0.425414985680358</v>
      </c>
      <c r="D259" s="23" t="n">
        <f aca="false">BETAINV(C259,Test1_Hand!$B$21,Test1_Hand!$B$22,Test1_Hand!$B$9,Test1_Hand!$B$11)</f>
        <v>3.1231160455752</v>
      </c>
      <c r="E259" s="2" t="n">
        <f aca="false">IF(B259&lt;Test1_Hand!$B$12,1,0)</f>
        <v>1</v>
      </c>
      <c r="F259" s="23" t="n">
        <f aca="false">Test1_Hand!$B$4+E259*D259</f>
        <v>19.1231160455752</v>
      </c>
      <c r="G259" s="24" t="n">
        <f aca="false">Test1_Hand!$B$6*E259*D259+Test1_Hand!$B$7*MAX(0,F259-Test1_Hand!$B$5)</f>
        <v>24984.9283646016</v>
      </c>
      <c r="H259" s="2" t="n">
        <f aca="false">IF(B259&lt;Test1_Hand!$B$13,1,0)</f>
        <v>1</v>
      </c>
      <c r="I259" s="23" t="n">
        <f aca="false">Test1_Hand!$B$4+H259*D259</f>
        <v>19.1231160455752</v>
      </c>
      <c r="J259" s="24" t="n">
        <f aca="false">Test1_Hand!$B$6*H259*D259+Test1_Hand!$B$7*MAX(0,I259-Test1_Hand!$B$5)+Test1_Hand!$B$14</f>
        <v>30984.9283646016</v>
      </c>
    </row>
    <row r="260" customFormat="false" ht="15" hidden="false" customHeight="false" outlineLevel="0" collapsed="false">
      <c r="A260" s="2" t="n">
        <v>248</v>
      </c>
      <c r="B260" s="22" t="n">
        <v>0.589817024551012</v>
      </c>
      <c r="C260" s="22" t="n">
        <v>0.283374447674378</v>
      </c>
      <c r="D260" s="23" t="n">
        <f aca="false">BETAINV(C260,Test1_Hand!$B$21,Test1_Hand!$B$22,Test1_Hand!$B$9,Test1_Hand!$B$11)</f>
        <v>2.63180916662712</v>
      </c>
      <c r="E260" s="2" t="n">
        <f aca="false">IF(B260&lt;Test1_Hand!$B$12,1,0)</f>
        <v>0</v>
      </c>
      <c r="F260" s="23" t="n">
        <f aca="false">Test1_Hand!$B$4+E260*D260</f>
        <v>16</v>
      </c>
      <c r="G260" s="24" t="n">
        <f aca="false">Test1_Hand!$B$6*E260*D260+Test1_Hand!$B$7*MAX(0,F260-Test1_Hand!$B$5)</f>
        <v>0</v>
      </c>
      <c r="H260" s="2" t="n">
        <f aca="false">IF(B260&lt;Test1_Hand!$B$13,1,0)</f>
        <v>0</v>
      </c>
      <c r="I260" s="23" t="n">
        <f aca="false">Test1_Hand!$B$4+H260*D260</f>
        <v>16</v>
      </c>
      <c r="J260" s="24" t="n">
        <f aca="false">Test1_Hand!$B$6*H260*D260+Test1_Hand!$B$7*MAX(0,I260-Test1_Hand!$B$5)+Test1_Hand!$B$14</f>
        <v>6000</v>
      </c>
    </row>
    <row r="261" customFormat="false" ht="15" hidden="false" customHeight="false" outlineLevel="0" collapsed="false">
      <c r="A261" s="2" t="n">
        <v>249</v>
      </c>
      <c r="B261" s="22" t="n">
        <v>0.742661017414171</v>
      </c>
      <c r="C261" s="22" t="n">
        <v>0.320883991785113</v>
      </c>
      <c r="D261" s="23" t="n">
        <f aca="false">BETAINV(C261,Test1_Hand!$B$21,Test1_Hand!$B$22,Test1_Hand!$B$9,Test1_Hand!$B$11)</f>
        <v>2.7631855262068</v>
      </c>
      <c r="E261" s="2" t="n">
        <f aca="false">IF(B261&lt;Test1_Hand!$B$12,1,0)</f>
        <v>0</v>
      </c>
      <c r="F261" s="23" t="n">
        <f aca="false">Test1_Hand!$B$4+E261*D261</f>
        <v>16</v>
      </c>
      <c r="G261" s="24" t="n">
        <f aca="false">Test1_Hand!$B$6*E261*D261+Test1_Hand!$B$7*MAX(0,F261-Test1_Hand!$B$5)</f>
        <v>0</v>
      </c>
      <c r="H261" s="2" t="n">
        <f aca="false">IF(B261&lt;Test1_Hand!$B$13,1,0)</f>
        <v>0</v>
      </c>
      <c r="I261" s="23" t="n">
        <f aca="false">Test1_Hand!$B$4+H261*D261</f>
        <v>16</v>
      </c>
      <c r="J261" s="24" t="n">
        <f aca="false">Test1_Hand!$B$6*H261*D261+Test1_Hand!$B$7*MAX(0,I261-Test1_Hand!$B$5)+Test1_Hand!$B$14</f>
        <v>6000</v>
      </c>
    </row>
    <row r="262" customFormat="false" ht="15" hidden="false" customHeight="false" outlineLevel="0" collapsed="false">
      <c r="A262" s="2" t="n">
        <v>250</v>
      </c>
      <c r="B262" s="22" t="n">
        <v>0.27020983392968</v>
      </c>
      <c r="C262" s="22" t="n">
        <v>0.695917156728804</v>
      </c>
      <c r="D262" s="23" t="n">
        <f aca="false">BETAINV(C262,Test1_Hand!$B$21,Test1_Hand!$B$22,Test1_Hand!$B$9,Test1_Hand!$B$11)</f>
        <v>4.13191603635175</v>
      </c>
      <c r="E262" s="2" t="n">
        <f aca="false">IF(B262&lt;Test1_Hand!$B$12,1,0)</f>
        <v>1</v>
      </c>
      <c r="F262" s="23" t="n">
        <f aca="false">Test1_Hand!$B$4+E262*D262</f>
        <v>20.1319160363518</v>
      </c>
      <c r="G262" s="24" t="n">
        <f aca="false">Test1_Hand!$B$6*E262*D262+Test1_Hand!$B$7*MAX(0,F262-Test1_Hand!$B$5)</f>
        <v>33714.9084725728</v>
      </c>
      <c r="H262" s="2" t="n">
        <f aca="false">IF(B262&lt;Test1_Hand!$B$13,1,0)</f>
        <v>0</v>
      </c>
      <c r="I262" s="23" t="n">
        <f aca="false">Test1_Hand!$B$4+H262*D262</f>
        <v>16</v>
      </c>
      <c r="J262" s="24" t="n">
        <f aca="false">Test1_Hand!$B$6*H262*D262+Test1_Hand!$B$7*MAX(0,I262-Test1_Hand!$B$5)+Test1_Hand!$B$14</f>
        <v>6000</v>
      </c>
    </row>
    <row r="263" customFormat="false" ht="15" hidden="false" customHeight="false" outlineLevel="0" collapsed="false">
      <c r="A263" s="2" t="n">
        <v>251</v>
      </c>
      <c r="B263" s="22" t="n">
        <v>0.708612359963129</v>
      </c>
      <c r="C263" s="22" t="n">
        <v>0.976185972315033</v>
      </c>
      <c r="D263" s="23" t="n">
        <f aca="false">BETAINV(C263,Test1_Hand!$B$21,Test1_Hand!$B$22,Test1_Hand!$B$9,Test1_Hand!$B$11)</f>
        <v>6.19682752530977</v>
      </c>
      <c r="E263" s="2" t="n">
        <f aca="false">IF(B263&lt;Test1_Hand!$B$12,1,0)</f>
        <v>0</v>
      </c>
      <c r="F263" s="23" t="n">
        <f aca="false">Test1_Hand!$B$4+E263*D263</f>
        <v>16</v>
      </c>
      <c r="G263" s="24" t="n">
        <f aca="false">Test1_Hand!$B$6*E263*D263+Test1_Hand!$B$7*MAX(0,F263-Test1_Hand!$B$5)</f>
        <v>0</v>
      </c>
      <c r="H263" s="2" t="n">
        <f aca="false">IF(B263&lt;Test1_Hand!$B$13,1,0)</f>
        <v>0</v>
      </c>
      <c r="I263" s="23" t="n">
        <f aca="false">Test1_Hand!$B$4+H263*D263</f>
        <v>16</v>
      </c>
      <c r="J263" s="24" t="n">
        <f aca="false">Test1_Hand!$B$6*H263*D263+Test1_Hand!$B$7*MAX(0,I263-Test1_Hand!$B$5)+Test1_Hand!$B$14</f>
        <v>6000</v>
      </c>
    </row>
    <row r="264" customFormat="false" ht="15" hidden="false" customHeight="false" outlineLevel="0" collapsed="false">
      <c r="A264" s="2" t="n">
        <v>252</v>
      </c>
      <c r="B264" s="22" t="n">
        <v>0.132744790186426</v>
      </c>
      <c r="C264" s="22" t="n">
        <v>0.0963575906841857</v>
      </c>
      <c r="D264" s="23" t="n">
        <f aca="false">BETAINV(C264,Test1_Hand!$B$21,Test1_Hand!$B$22,Test1_Hand!$B$9,Test1_Hand!$B$11)</f>
        <v>1.88664128231224</v>
      </c>
      <c r="E264" s="2" t="n">
        <f aca="false">IF(B264&lt;Test1_Hand!$B$12,1,0)</f>
        <v>1</v>
      </c>
      <c r="F264" s="23" t="n">
        <f aca="false">Test1_Hand!$B$4+E264*D264</f>
        <v>17.8866412823122</v>
      </c>
      <c r="G264" s="24" t="n">
        <f aca="false">Test1_Hand!$B$6*E264*D264+Test1_Hand!$B$7*MAX(0,F264-Test1_Hand!$B$5)</f>
        <v>15093.1302584979</v>
      </c>
      <c r="H264" s="2" t="n">
        <f aca="false">IF(B264&lt;Test1_Hand!$B$13,1,0)</f>
        <v>1</v>
      </c>
      <c r="I264" s="23" t="n">
        <f aca="false">Test1_Hand!$B$4+H264*D264</f>
        <v>17.8866412823122</v>
      </c>
      <c r="J264" s="24" t="n">
        <f aca="false">Test1_Hand!$B$6*H264*D264+Test1_Hand!$B$7*MAX(0,I264-Test1_Hand!$B$5)+Test1_Hand!$B$14</f>
        <v>21093.1302584979</v>
      </c>
    </row>
    <row r="265" customFormat="false" ht="15" hidden="false" customHeight="false" outlineLevel="0" collapsed="false">
      <c r="A265" s="2" t="n">
        <v>253</v>
      </c>
      <c r="B265" s="22" t="n">
        <v>0.831735063244198</v>
      </c>
      <c r="C265" s="22" t="n">
        <v>0.276254373356875</v>
      </c>
      <c r="D265" s="23" t="n">
        <f aca="false">BETAINV(C265,Test1_Hand!$B$21,Test1_Hand!$B$22,Test1_Hand!$B$9,Test1_Hand!$B$11)</f>
        <v>2.60657631698714</v>
      </c>
      <c r="E265" s="2" t="n">
        <f aca="false">IF(B265&lt;Test1_Hand!$B$12,1,0)</f>
        <v>0</v>
      </c>
      <c r="F265" s="23" t="n">
        <f aca="false">Test1_Hand!$B$4+E265*D265</f>
        <v>16</v>
      </c>
      <c r="G265" s="24" t="n">
        <f aca="false">Test1_Hand!$B$6*E265*D265+Test1_Hand!$B$7*MAX(0,F265-Test1_Hand!$B$5)</f>
        <v>0</v>
      </c>
      <c r="H265" s="2" t="n">
        <f aca="false">IF(B265&lt;Test1_Hand!$B$13,1,0)</f>
        <v>0</v>
      </c>
      <c r="I265" s="23" t="n">
        <f aca="false">Test1_Hand!$B$4+H265*D265</f>
        <v>16</v>
      </c>
      <c r="J265" s="24" t="n">
        <f aca="false">Test1_Hand!$B$6*H265*D265+Test1_Hand!$B$7*MAX(0,I265-Test1_Hand!$B$5)+Test1_Hand!$B$14</f>
        <v>6000</v>
      </c>
    </row>
    <row r="266" customFormat="false" ht="15" hidden="false" customHeight="false" outlineLevel="0" collapsed="false">
      <c r="A266" s="2" t="n">
        <v>254</v>
      </c>
      <c r="B266" s="22" t="n">
        <v>0.906209014985246</v>
      </c>
      <c r="C266" s="22" t="n">
        <v>0.571602143670665</v>
      </c>
      <c r="D266" s="23" t="n">
        <f aca="false">BETAINV(C266,Test1_Hand!$B$21,Test1_Hand!$B$22,Test1_Hand!$B$9,Test1_Hand!$B$11)</f>
        <v>3.64074694291399</v>
      </c>
      <c r="E266" s="2" t="n">
        <f aca="false">IF(B266&lt;Test1_Hand!$B$12,1,0)</f>
        <v>0</v>
      </c>
      <c r="F266" s="23" t="n">
        <f aca="false">Test1_Hand!$B$4+E266*D266</f>
        <v>16</v>
      </c>
      <c r="G266" s="24" t="n">
        <f aca="false">Test1_Hand!$B$6*E266*D266+Test1_Hand!$B$7*MAX(0,F266-Test1_Hand!$B$5)</f>
        <v>0</v>
      </c>
      <c r="H266" s="2" t="n">
        <f aca="false">IF(B266&lt;Test1_Hand!$B$13,1,0)</f>
        <v>0</v>
      </c>
      <c r="I266" s="23" t="n">
        <f aca="false">Test1_Hand!$B$4+H266*D266</f>
        <v>16</v>
      </c>
      <c r="J266" s="24" t="n">
        <f aca="false">Test1_Hand!$B$6*H266*D266+Test1_Hand!$B$7*MAX(0,I266-Test1_Hand!$B$5)+Test1_Hand!$B$14</f>
        <v>6000</v>
      </c>
    </row>
    <row r="267" customFormat="false" ht="15" hidden="false" customHeight="false" outlineLevel="0" collapsed="false">
      <c r="A267" s="2" t="n">
        <v>255</v>
      </c>
      <c r="B267" s="22" t="n">
        <v>0.601719613638427</v>
      </c>
      <c r="C267" s="22" t="n">
        <v>0.004705813326082</v>
      </c>
      <c r="D267" s="23" t="n">
        <f aca="false">BETAINV(C267,Test1_Hand!$B$21,Test1_Hand!$B$22,Test1_Hand!$B$9,Test1_Hand!$B$11)</f>
        <v>1.19737446108028</v>
      </c>
      <c r="E267" s="2" t="n">
        <f aca="false">IF(B267&lt;Test1_Hand!$B$12,1,0)</f>
        <v>0</v>
      </c>
      <c r="F267" s="23" t="n">
        <f aca="false">Test1_Hand!$B$4+E267*D267</f>
        <v>16</v>
      </c>
      <c r="G267" s="24" t="n">
        <f aca="false">Test1_Hand!$B$6*E267*D267+Test1_Hand!$B$7*MAX(0,F267-Test1_Hand!$B$5)</f>
        <v>0</v>
      </c>
      <c r="H267" s="2" t="n">
        <f aca="false">IF(B267&lt;Test1_Hand!$B$13,1,0)</f>
        <v>0</v>
      </c>
      <c r="I267" s="23" t="n">
        <f aca="false">Test1_Hand!$B$4+H267*D267</f>
        <v>16</v>
      </c>
      <c r="J267" s="24" t="n">
        <f aca="false">Test1_Hand!$B$6*H267*D267+Test1_Hand!$B$7*MAX(0,I267-Test1_Hand!$B$5)+Test1_Hand!$B$14</f>
        <v>6000</v>
      </c>
    </row>
    <row r="268" customFormat="false" ht="15" hidden="false" customHeight="false" outlineLevel="0" collapsed="false">
      <c r="A268" s="2" t="n">
        <v>256</v>
      </c>
      <c r="B268" s="22" t="n">
        <v>0.566381500807042</v>
      </c>
      <c r="C268" s="22" t="n">
        <v>0.870499002063766</v>
      </c>
      <c r="D268" s="23" t="n">
        <f aca="false">BETAINV(C268,Test1_Hand!$B$21,Test1_Hand!$B$22,Test1_Hand!$B$9,Test1_Hand!$B$11)</f>
        <v>5.05164535685872</v>
      </c>
      <c r="E268" s="2" t="n">
        <f aca="false">IF(B268&lt;Test1_Hand!$B$12,1,0)</f>
        <v>0</v>
      </c>
      <c r="F268" s="23" t="n">
        <f aca="false">Test1_Hand!$B$4+E268*D268</f>
        <v>16</v>
      </c>
      <c r="G268" s="24" t="n">
        <f aca="false">Test1_Hand!$B$6*E268*D268+Test1_Hand!$B$7*MAX(0,F268-Test1_Hand!$B$5)</f>
        <v>0</v>
      </c>
      <c r="H268" s="2" t="n">
        <f aca="false">IF(B268&lt;Test1_Hand!$B$13,1,0)</f>
        <v>0</v>
      </c>
      <c r="I268" s="23" t="n">
        <f aca="false">Test1_Hand!$B$4+H268*D268</f>
        <v>16</v>
      </c>
      <c r="J268" s="24" t="n">
        <f aca="false">Test1_Hand!$B$6*H268*D268+Test1_Hand!$B$7*MAX(0,I268-Test1_Hand!$B$5)+Test1_Hand!$B$14</f>
        <v>6000</v>
      </c>
    </row>
    <row r="269" customFormat="false" ht="15" hidden="false" customHeight="false" outlineLevel="0" collapsed="false">
      <c r="A269" s="2" t="n">
        <v>257</v>
      </c>
      <c r="B269" s="22" t="n">
        <v>0.99381788683324</v>
      </c>
      <c r="C269" s="22" t="n">
        <v>0.380600205323573</v>
      </c>
      <c r="D269" s="23" t="n">
        <f aca="false">BETAINV(C269,Test1_Hand!$B$21,Test1_Hand!$B$22,Test1_Hand!$B$9,Test1_Hand!$B$11)</f>
        <v>2.96912702727385</v>
      </c>
      <c r="E269" s="2" t="n">
        <f aca="false">IF(B269&lt;Test1_Hand!$B$12,1,0)</f>
        <v>0</v>
      </c>
      <c r="F269" s="23" t="n">
        <f aca="false">Test1_Hand!$B$4+E269*D269</f>
        <v>16</v>
      </c>
      <c r="G269" s="24" t="n">
        <f aca="false">Test1_Hand!$B$6*E269*D269+Test1_Hand!$B$7*MAX(0,F269-Test1_Hand!$B$5)</f>
        <v>0</v>
      </c>
      <c r="H269" s="2" t="n">
        <f aca="false">IF(B269&lt;Test1_Hand!$B$13,1,0)</f>
        <v>0</v>
      </c>
      <c r="I269" s="23" t="n">
        <f aca="false">Test1_Hand!$B$4+H269*D269</f>
        <v>16</v>
      </c>
      <c r="J269" s="24" t="n">
        <f aca="false">Test1_Hand!$B$6*H269*D269+Test1_Hand!$B$7*MAX(0,I269-Test1_Hand!$B$5)+Test1_Hand!$B$14</f>
        <v>6000</v>
      </c>
    </row>
    <row r="270" customFormat="false" ht="15" hidden="false" customHeight="false" outlineLevel="0" collapsed="false">
      <c r="A270" s="2" t="n">
        <v>258</v>
      </c>
      <c r="B270" s="22" t="n">
        <v>0.167968299577852</v>
      </c>
      <c r="C270" s="22" t="n">
        <v>0.903811184724593</v>
      </c>
      <c r="D270" s="23" t="n">
        <f aca="false">BETAINV(C270,Test1_Hand!$B$21,Test1_Hand!$B$22,Test1_Hand!$B$9,Test1_Hand!$B$11)</f>
        <v>5.30414138066908</v>
      </c>
      <c r="E270" s="2" t="n">
        <f aca="false">IF(B270&lt;Test1_Hand!$B$12,1,0)</f>
        <v>1</v>
      </c>
      <c r="F270" s="23" t="n">
        <f aca="false">Test1_Hand!$B$4+E270*D270</f>
        <v>21.3041413806691</v>
      </c>
      <c r="G270" s="24" t="n">
        <f aca="false">Test1_Hand!$B$6*E270*D270+Test1_Hand!$B$7*MAX(0,F270-Test1_Hand!$B$5)</f>
        <v>48953.8379486981</v>
      </c>
      <c r="H270" s="2" t="n">
        <f aca="false">IF(B270&lt;Test1_Hand!$B$13,1,0)</f>
        <v>1</v>
      </c>
      <c r="I270" s="23" t="n">
        <f aca="false">Test1_Hand!$B$4+H270*D270</f>
        <v>21.3041413806691</v>
      </c>
      <c r="J270" s="24" t="n">
        <f aca="false">Test1_Hand!$B$6*H270*D270+Test1_Hand!$B$7*MAX(0,I270-Test1_Hand!$B$5)+Test1_Hand!$B$14</f>
        <v>54953.8379486981</v>
      </c>
    </row>
    <row r="271" customFormat="false" ht="15" hidden="false" customHeight="false" outlineLevel="0" collapsed="false">
      <c r="A271" s="2" t="n">
        <v>259</v>
      </c>
      <c r="B271" s="22" t="n">
        <v>0.414378741994212</v>
      </c>
      <c r="C271" s="22" t="n">
        <v>0.452279506857061</v>
      </c>
      <c r="D271" s="23" t="n">
        <f aca="false">BETAINV(C271,Test1_Hand!$B$21,Test1_Hand!$B$22,Test1_Hand!$B$9,Test1_Hand!$B$11)</f>
        <v>3.21587822638708</v>
      </c>
      <c r="E271" s="2" t="n">
        <f aca="false">IF(B271&lt;Test1_Hand!$B$12,1,0)</f>
        <v>1</v>
      </c>
      <c r="F271" s="23" t="n">
        <f aca="false">Test1_Hand!$B$4+E271*D271</f>
        <v>19.2158782263871</v>
      </c>
      <c r="G271" s="24" t="n">
        <f aca="false">Test1_Hand!$B$6*E271*D271+Test1_Hand!$B$7*MAX(0,F271-Test1_Hand!$B$5)</f>
        <v>25727.0258110966</v>
      </c>
      <c r="H271" s="2" t="n">
        <f aca="false">IF(B271&lt;Test1_Hand!$B$13,1,0)</f>
        <v>0</v>
      </c>
      <c r="I271" s="23" t="n">
        <f aca="false">Test1_Hand!$B$4+H271*D271</f>
        <v>16</v>
      </c>
      <c r="J271" s="24" t="n">
        <f aca="false">Test1_Hand!$B$6*H271*D271+Test1_Hand!$B$7*MAX(0,I271-Test1_Hand!$B$5)+Test1_Hand!$B$14</f>
        <v>6000</v>
      </c>
    </row>
    <row r="272" customFormat="false" ht="15" hidden="false" customHeight="false" outlineLevel="0" collapsed="false">
      <c r="A272" s="2" t="n">
        <v>260</v>
      </c>
      <c r="B272" s="22" t="n">
        <v>0.469166171719909</v>
      </c>
      <c r="C272" s="22" t="n">
        <v>0.54743545914281</v>
      </c>
      <c r="D272" s="23" t="n">
        <f aca="false">BETAINV(C272,Test1_Hand!$B$21,Test1_Hand!$B$22,Test1_Hand!$B$9,Test1_Hand!$B$11)</f>
        <v>3.5522242037316</v>
      </c>
      <c r="E272" s="2" t="n">
        <f aca="false">IF(B272&lt;Test1_Hand!$B$12,1,0)</f>
        <v>1</v>
      </c>
      <c r="F272" s="23" t="n">
        <f aca="false">Test1_Hand!$B$4+E272*D272</f>
        <v>19.5522242037316</v>
      </c>
      <c r="G272" s="24" t="n">
        <f aca="false">Test1_Hand!$B$6*E272*D272+Test1_Hand!$B$7*MAX(0,F272-Test1_Hand!$B$5)</f>
        <v>28417.7936298528</v>
      </c>
      <c r="H272" s="2" t="n">
        <f aca="false">IF(B272&lt;Test1_Hand!$B$13,1,0)</f>
        <v>0</v>
      </c>
      <c r="I272" s="23" t="n">
        <f aca="false">Test1_Hand!$B$4+H272*D272</f>
        <v>16</v>
      </c>
      <c r="J272" s="24" t="n">
        <f aca="false">Test1_Hand!$B$6*H272*D272+Test1_Hand!$B$7*MAX(0,I272-Test1_Hand!$B$5)+Test1_Hand!$B$14</f>
        <v>6000</v>
      </c>
    </row>
    <row r="273" customFormat="false" ht="15" hidden="false" customHeight="false" outlineLevel="0" collapsed="false">
      <c r="A273" s="2" t="n">
        <v>261</v>
      </c>
      <c r="B273" s="22" t="n">
        <v>0.0606385978744896</v>
      </c>
      <c r="C273" s="22" t="n">
        <v>0.0152227477753447</v>
      </c>
      <c r="D273" s="23" t="n">
        <f aca="false">BETAINV(C273,Test1_Hand!$B$21,Test1_Hand!$B$22,Test1_Hand!$B$9,Test1_Hand!$B$11)</f>
        <v>1.34827047382345</v>
      </c>
      <c r="E273" s="2" t="n">
        <f aca="false">IF(B273&lt;Test1_Hand!$B$12,1,0)</f>
        <v>1</v>
      </c>
      <c r="F273" s="23" t="n">
        <f aca="false">Test1_Hand!$B$4+E273*D273</f>
        <v>17.3482704738234</v>
      </c>
      <c r="G273" s="24" t="n">
        <f aca="false">Test1_Hand!$B$6*E273*D273+Test1_Hand!$B$7*MAX(0,F273-Test1_Hand!$B$5)</f>
        <v>10786.1637905876</v>
      </c>
      <c r="H273" s="2" t="n">
        <f aca="false">IF(B273&lt;Test1_Hand!$B$13,1,0)</f>
        <v>1</v>
      </c>
      <c r="I273" s="23" t="n">
        <f aca="false">Test1_Hand!$B$4+H273*D273</f>
        <v>17.3482704738234</v>
      </c>
      <c r="J273" s="24" t="n">
        <f aca="false">Test1_Hand!$B$6*H273*D273+Test1_Hand!$B$7*MAX(0,I273-Test1_Hand!$B$5)+Test1_Hand!$B$14</f>
        <v>16786.1637905876</v>
      </c>
    </row>
    <row r="274" customFormat="false" ht="15" hidden="false" customHeight="false" outlineLevel="0" collapsed="false">
      <c r="A274" s="2" t="n">
        <v>262</v>
      </c>
      <c r="B274" s="22" t="n">
        <v>0.767088998399388</v>
      </c>
      <c r="C274" s="22" t="n">
        <v>0.632632226313354</v>
      </c>
      <c r="D274" s="23" t="n">
        <f aca="false">BETAINV(C274,Test1_Hand!$B$21,Test1_Hand!$B$22,Test1_Hand!$B$9,Test1_Hand!$B$11)</f>
        <v>3.87294850774025</v>
      </c>
      <c r="E274" s="2" t="n">
        <f aca="false">IF(B274&lt;Test1_Hand!$B$12,1,0)</f>
        <v>0</v>
      </c>
      <c r="F274" s="23" t="n">
        <f aca="false">Test1_Hand!$B$4+E274*D274</f>
        <v>16</v>
      </c>
      <c r="G274" s="24" t="n">
        <f aca="false">Test1_Hand!$B$6*E274*D274+Test1_Hand!$B$7*MAX(0,F274-Test1_Hand!$B$5)</f>
        <v>0</v>
      </c>
      <c r="H274" s="2" t="n">
        <f aca="false">IF(B274&lt;Test1_Hand!$B$13,1,0)</f>
        <v>0</v>
      </c>
      <c r="I274" s="23" t="n">
        <f aca="false">Test1_Hand!$B$4+H274*D274</f>
        <v>16</v>
      </c>
      <c r="J274" s="24" t="n">
        <f aca="false">Test1_Hand!$B$6*H274*D274+Test1_Hand!$B$7*MAX(0,I274-Test1_Hand!$B$5)+Test1_Hand!$B$14</f>
        <v>6000</v>
      </c>
    </row>
    <row r="275" customFormat="false" ht="15" hidden="false" customHeight="false" outlineLevel="0" collapsed="false">
      <c r="A275" s="2" t="n">
        <v>263</v>
      </c>
      <c r="B275" s="22" t="n">
        <v>0.394157214688147</v>
      </c>
      <c r="C275" s="22" t="n">
        <v>0.654533318184404</v>
      </c>
      <c r="D275" s="23" t="n">
        <f aca="false">BETAINV(C275,Test1_Hand!$B$21,Test1_Hand!$B$22,Test1_Hand!$B$9,Test1_Hand!$B$11)</f>
        <v>3.96009081865168</v>
      </c>
      <c r="E275" s="2" t="n">
        <f aca="false">IF(B275&lt;Test1_Hand!$B$12,1,0)</f>
        <v>1</v>
      </c>
      <c r="F275" s="23" t="n">
        <f aca="false">Test1_Hand!$B$4+E275*D275</f>
        <v>19.9600908186517</v>
      </c>
      <c r="G275" s="24" t="n">
        <f aca="false">Test1_Hand!$B$6*E275*D275+Test1_Hand!$B$7*MAX(0,F275-Test1_Hand!$B$5)</f>
        <v>31680.7265492135</v>
      </c>
      <c r="H275" s="2" t="n">
        <f aca="false">IF(B275&lt;Test1_Hand!$B$13,1,0)</f>
        <v>0</v>
      </c>
      <c r="I275" s="23" t="n">
        <f aca="false">Test1_Hand!$B$4+H275*D275</f>
        <v>16</v>
      </c>
      <c r="J275" s="24" t="n">
        <f aca="false">Test1_Hand!$B$6*H275*D275+Test1_Hand!$B$7*MAX(0,I275-Test1_Hand!$B$5)+Test1_Hand!$B$14</f>
        <v>6000</v>
      </c>
    </row>
    <row r="276" customFormat="false" ht="15" hidden="false" customHeight="false" outlineLevel="0" collapsed="false">
      <c r="A276" s="2" t="n">
        <v>264</v>
      </c>
      <c r="B276" s="22" t="n">
        <v>0.712794570275183</v>
      </c>
      <c r="C276" s="22" t="n">
        <v>0.291128811472769</v>
      </c>
      <c r="D276" s="23" t="n">
        <f aca="false">BETAINV(C276,Test1_Hand!$B$21,Test1_Hand!$B$22,Test1_Hand!$B$9,Test1_Hand!$B$11)</f>
        <v>2.65916889887367</v>
      </c>
      <c r="E276" s="2" t="n">
        <f aca="false">IF(B276&lt;Test1_Hand!$B$12,1,0)</f>
        <v>0</v>
      </c>
      <c r="F276" s="23" t="n">
        <f aca="false">Test1_Hand!$B$4+E276*D276</f>
        <v>16</v>
      </c>
      <c r="G276" s="24" t="n">
        <f aca="false">Test1_Hand!$B$6*E276*D276+Test1_Hand!$B$7*MAX(0,F276-Test1_Hand!$B$5)</f>
        <v>0</v>
      </c>
      <c r="H276" s="2" t="n">
        <f aca="false">IF(B276&lt;Test1_Hand!$B$13,1,0)</f>
        <v>0</v>
      </c>
      <c r="I276" s="23" t="n">
        <f aca="false">Test1_Hand!$B$4+H276*D276</f>
        <v>16</v>
      </c>
      <c r="J276" s="24" t="n">
        <f aca="false">Test1_Hand!$B$6*H276*D276+Test1_Hand!$B$7*MAX(0,I276-Test1_Hand!$B$5)+Test1_Hand!$B$14</f>
        <v>6000</v>
      </c>
    </row>
    <row r="277" customFormat="false" ht="15" hidden="false" customHeight="false" outlineLevel="0" collapsed="false">
      <c r="A277" s="2" t="n">
        <v>265</v>
      </c>
      <c r="B277" s="22" t="n">
        <v>0.391975398640998</v>
      </c>
      <c r="C277" s="22" t="n">
        <v>0.247407815072382</v>
      </c>
      <c r="D277" s="23" t="n">
        <f aca="false">BETAINV(C277,Test1_Hand!$B$21,Test1_Hand!$B$22,Test1_Hand!$B$9,Test1_Hand!$B$11)</f>
        <v>2.50304990365783</v>
      </c>
      <c r="E277" s="2" t="n">
        <f aca="false">IF(B277&lt;Test1_Hand!$B$12,1,0)</f>
        <v>1</v>
      </c>
      <c r="F277" s="23" t="n">
        <f aca="false">Test1_Hand!$B$4+E277*D277</f>
        <v>18.5030499036578</v>
      </c>
      <c r="G277" s="24" t="n">
        <f aca="false">Test1_Hand!$B$6*E277*D277+Test1_Hand!$B$7*MAX(0,F277-Test1_Hand!$B$5)</f>
        <v>20024.3992292626</v>
      </c>
      <c r="H277" s="2" t="n">
        <f aca="false">IF(B277&lt;Test1_Hand!$B$13,1,0)</f>
        <v>0</v>
      </c>
      <c r="I277" s="23" t="n">
        <f aca="false">Test1_Hand!$B$4+H277*D277</f>
        <v>16</v>
      </c>
      <c r="J277" s="24" t="n">
        <f aca="false">Test1_Hand!$B$6*H277*D277+Test1_Hand!$B$7*MAX(0,I277-Test1_Hand!$B$5)+Test1_Hand!$B$14</f>
        <v>6000</v>
      </c>
    </row>
    <row r="278" customFormat="false" ht="15" hidden="false" customHeight="false" outlineLevel="0" collapsed="false">
      <c r="A278" s="2" t="n">
        <v>266</v>
      </c>
      <c r="B278" s="22" t="n">
        <v>0.13811995451401</v>
      </c>
      <c r="C278" s="22" t="n">
        <v>0.59180311813941</v>
      </c>
      <c r="D278" s="23" t="n">
        <f aca="false">BETAINV(C278,Test1_Hand!$B$21,Test1_Hand!$B$22,Test1_Hand!$B$9,Test1_Hand!$B$11)</f>
        <v>3.71609689765236</v>
      </c>
      <c r="E278" s="2" t="n">
        <f aca="false">IF(B278&lt;Test1_Hand!$B$12,1,0)</f>
        <v>1</v>
      </c>
      <c r="F278" s="23" t="n">
        <f aca="false">Test1_Hand!$B$4+E278*D278</f>
        <v>19.7160968976524</v>
      </c>
      <c r="G278" s="24" t="n">
        <f aca="false">Test1_Hand!$B$6*E278*D278+Test1_Hand!$B$7*MAX(0,F278-Test1_Hand!$B$5)</f>
        <v>29728.7751812189</v>
      </c>
      <c r="H278" s="2" t="n">
        <f aca="false">IF(B278&lt;Test1_Hand!$B$13,1,0)</f>
        <v>1</v>
      </c>
      <c r="I278" s="23" t="n">
        <f aca="false">Test1_Hand!$B$4+H278*D278</f>
        <v>19.7160968976524</v>
      </c>
      <c r="J278" s="24" t="n">
        <f aca="false">Test1_Hand!$B$6*H278*D278+Test1_Hand!$B$7*MAX(0,I278-Test1_Hand!$B$5)+Test1_Hand!$B$14</f>
        <v>35728.7751812189</v>
      </c>
    </row>
    <row r="279" customFormat="false" ht="15" hidden="false" customHeight="false" outlineLevel="0" collapsed="false">
      <c r="A279" s="2" t="n">
        <v>267</v>
      </c>
      <c r="B279" s="22" t="n">
        <v>0.737653354286084</v>
      </c>
      <c r="C279" s="22" t="n">
        <v>0.607852854330865</v>
      </c>
      <c r="D279" s="23" t="n">
        <f aca="false">BETAINV(C279,Test1_Hand!$B$21,Test1_Hand!$B$22,Test1_Hand!$B$9,Test1_Hand!$B$11)</f>
        <v>3.77696881123388</v>
      </c>
      <c r="E279" s="2" t="n">
        <f aca="false">IF(B279&lt;Test1_Hand!$B$12,1,0)</f>
        <v>0</v>
      </c>
      <c r="F279" s="23" t="n">
        <f aca="false">Test1_Hand!$B$4+E279*D279</f>
        <v>16</v>
      </c>
      <c r="G279" s="24" t="n">
        <f aca="false">Test1_Hand!$B$6*E279*D279+Test1_Hand!$B$7*MAX(0,F279-Test1_Hand!$B$5)</f>
        <v>0</v>
      </c>
      <c r="H279" s="2" t="n">
        <f aca="false">IF(B279&lt;Test1_Hand!$B$13,1,0)</f>
        <v>0</v>
      </c>
      <c r="I279" s="23" t="n">
        <f aca="false">Test1_Hand!$B$4+H279*D279</f>
        <v>16</v>
      </c>
      <c r="J279" s="24" t="n">
        <f aca="false">Test1_Hand!$B$6*H279*D279+Test1_Hand!$B$7*MAX(0,I279-Test1_Hand!$B$5)+Test1_Hand!$B$14</f>
        <v>6000</v>
      </c>
    </row>
    <row r="280" customFormat="false" ht="15" hidden="false" customHeight="false" outlineLevel="0" collapsed="false">
      <c r="A280" s="2" t="n">
        <v>268</v>
      </c>
      <c r="B280" s="22" t="n">
        <v>0.255404586681532</v>
      </c>
      <c r="C280" s="22" t="n">
        <v>0.641414039573086</v>
      </c>
      <c r="D280" s="23" t="n">
        <f aca="false">BETAINV(C280,Test1_Hand!$B$21,Test1_Hand!$B$22,Test1_Hand!$B$9,Test1_Hand!$B$11)</f>
        <v>3.90761109621198</v>
      </c>
      <c r="E280" s="2" t="n">
        <f aca="false">IF(B280&lt;Test1_Hand!$B$12,1,0)</f>
        <v>1</v>
      </c>
      <c r="F280" s="23" t="n">
        <f aca="false">Test1_Hand!$B$4+E280*D280</f>
        <v>19.907611096212</v>
      </c>
      <c r="G280" s="24" t="n">
        <f aca="false">Test1_Hand!$B$6*E280*D280+Test1_Hand!$B$7*MAX(0,F280-Test1_Hand!$B$5)</f>
        <v>31260.8887696958</v>
      </c>
      <c r="H280" s="2" t="n">
        <f aca="false">IF(B280&lt;Test1_Hand!$B$13,1,0)</f>
        <v>0</v>
      </c>
      <c r="I280" s="23" t="n">
        <f aca="false">Test1_Hand!$B$4+H280*D280</f>
        <v>16</v>
      </c>
      <c r="J280" s="24" t="n">
        <f aca="false">Test1_Hand!$B$6*H280*D280+Test1_Hand!$B$7*MAX(0,I280-Test1_Hand!$B$5)+Test1_Hand!$B$14</f>
        <v>6000</v>
      </c>
    </row>
    <row r="281" customFormat="false" ht="15" hidden="false" customHeight="false" outlineLevel="0" collapsed="false">
      <c r="A281" s="2" t="n">
        <v>269</v>
      </c>
      <c r="B281" s="22" t="n">
        <v>0.411057854358255</v>
      </c>
      <c r="C281" s="22" t="n">
        <v>0.446542243325757</v>
      </c>
      <c r="D281" s="23" t="n">
        <f aca="false">BETAINV(C281,Test1_Hand!$B$21,Test1_Hand!$B$22,Test1_Hand!$B$9,Test1_Hand!$B$11)</f>
        <v>3.19601856276992</v>
      </c>
      <c r="E281" s="2" t="n">
        <f aca="false">IF(B281&lt;Test1_Hand!$B$12,1,0)</f>
        <v>1</v>
      </c>
      <c r="F281" s="23" t="n">
        <f aca="false">Test1_Hand!$B$4+E281*D281</f>
        <v>19.1960185627699</v>
      </c>
      <c r="G281" s="24" t="n">
        <f aca="false">Test1_Hand!$B$6*E281*D281+Test1_Hand!$B$7*MAX(0,F281-Test1_Hand!$B$5)</f>
        <v>25568.1485021594</v>
      </c>
      <c r="H281" s="2" t="n">
        <f aca="false">IF(B281&lt;Test1_Hand!$B$13,1,0)</f>
        <v>0</v>
      </c>
      <c r="I281" s="23" t="n">
        <f aca="false">Test1_Hand!$B$4+H281*D281</f>
        <v>16</v>
      </c>
      <c r="J281" s="24" t="n">
        <f aca="false">Test1_Hand!$B$6*H281*D281+Test1_Hand!$B$7*MAX(0,I281-Test1_Hand!$B$5)+Test1_Hand!$B$14</f>
        <v>6000</v>
      </c>
    </row>
    <row r="282" customFormat="false" ht="15" hidden="false" customHeight="false" outlineLevel="0" collapsed="false">
      <c r="A282" s="2" t="n">
        <v>270</v>
      </c>
      <c r="B282" s="22" t="n">
        <v>0.0130422587921562</v>
      </c>
      <c r="C282" s="22" t="n">
        <v>0.779035984648147</v>
      </c>
      <c r="D282" s="23" t="n">
        <f aca="false">BETAINV(C282,Test1_Hand!$B$21,Test1_Hand!$B$22,Test1_Hand!$B$9,Test1_Hand!$B$11)</f>
        <v>4.51684361566484</v>
      </c>
      <c r="E282" s="2" t="n">
        <f aca="false">IF(B282&lt;Test1_Hand!$B$12,1,0)</f>
        <v>1</v>
      </c>
      <c r="F282" s="23" t="n">
        <f aca="false">Test1_Hand!$B$4+E282*D282</f>
        <v>20.5168436156648</v>
      </c>
      <c r="G282" s="24" t="n">
        <f aca="false">Test1_Hand!$B$6*E282*D282+Test1_Hand!$B$7*MAX(0,F282-Test1_Hand!$B$5)</f>
        <v>38718.9670036429</v>
      </c>
      <c r="H282" s="2" t="n">
        <f aca="false">IF(B282&lt;Test1_Hand!$B$13,1,0)</f>
        <v>1</v>
      </c>
      <c r="I282" s="23" t="n">
        <f aca="false">Test1_Hand!$B$4+H282*D282</f>
        <v>20.5168436156648</v>
      </c>
      <c r="J282" s="24" t="n">
        <f aca="false">Test1_Hand!$B$6*H282*D282+Test1_Hand!$B$7*MAX(0,I282-Test1_Hand!$B$5)+Test1_Hand!$B$14</f>
        <v>44718.9670036429</v>
      </c>
    </row>
    <row r="283" customFormat="false" ht="15" hidden="false" customHeight="false" outlineLevel="0" collapsed="false">
      <c r="A283" s="2" t="n">
        <v>271</v>
      </c>
      <c r="B283" s="22" t="n">
        <v>0.897406504616496</v>
      </c>
      <c r="C283" s="22" t="n">
        <v>0.291603455414689</v>
      </c>
      <c r="D283" s="23" t="n">
        <f aca="false">BETAINV(C283,Test1_Hand!$B$21,Test1_Hand!$B$22,Test1_Hand!$B$9,Test1_Hand!$B$11)</f>
        <v>2.66083974367015</v>
      </c>
      <c r="E283" s="2" t="n">
        <f aca="false">IF(B283&lt;Test1_Hand!$B$12,1,0)</f>
        <v>0</v>
      </c>
      <c r="F283" s="23" t="n">
        <f aca="false">Test1_Hand!$B$4+E283*D283</f>
        <v>16</v>
      </c>
      <c r="G283" s="24" t="n">
        <f aca="false">Test1_Hand!$B$6*E283*D283+Test1_Hand!$B$7*MAX(0,F283-Test1_Hand!$B$5)</f>
        <v>0</v>
      </c>
      <c r="H283" s="2" t="n">
        <f aca="false">IF(B283&lt;Test1_Hand!$B$13,1,0)</f>
        <v>0</v>
      </c>
      <c r="I283" s="23" t="n">
        <f aca="false">Test1_Hand!$B$4+H283*D283</f>
        <v>16</v>
      </c>
      <c r="J283" s="24" t="n">
        <f aca="false">Test1_Hand!$B$6*H283*D283+Test1_Hand!$B$7*MAX(0,I283-Test1_Hand!$B$5)+Test1_Hand!$B$14</f>
        <v>6000</v>
      </c>
    </row>
    <row r="284" customFormat="false" ht="15" hidden="false" customHeight="false" outlineLevel="0" collapsed="false">
      <c r="A284" s="2" t="n">
        <v>272</v>
      </c>
      <c r="B284" s="22" t="n">
        <v>0.36185755986535</v>
      </c>
      <c r="C284" s="22" t="n">
        <v>0.49149039671624</v>
      </c>
      <c r="D284" s="23" t="n">
        <f aca="false">BETAINV(C284,Test1_Hand!$B$21,Test1_Hand!$B$22,Test1_Hand!$B$9,Test1_Hand!$B$11)</f>
        <v>3.35262177998441</v>
      </c>
      <c r="E284" s="2" t="n">
        <f aca="false">IF(B284&lt;Test1_Hand!$B$12,1,0)</f>
        <v>1</v>
      </c>
      <c r="F284" s="23" t="n">
        <f aca="false">Test1_Hand!$B$4+E284*D284</f>
        <v>19.3526217799844</v>
      </c>
      <c r="G284" s="24" t="n">
        <f aca="false">Test1_Hand!$B$6*E284*D284+Test1_Hand!$B$7*MAX(0,F284-Test1_Hand!$B$5)</f>
        <v>26820.9742398753</v>
      </c>
      <c r="H284" s="2" t="n">
        <f aca="false">IF(B284&lt;Test1_Hand!$B$13,1,0)</f>
        <v>0</v>
      </c>
      <c r="I284" s="23" t="n">
        <f aca="false">Test1_Hand!$B$4+H284*D284</f>
        <v>16</v>
      </c>
      <c r="J284" s="24" t="n">
        <f aca="false">Test1_Hand!$B$6*H284*D284+Test1_Hand!$B$7*MAX(0,I284-Test1_Hand!$B$5)+Test1_Hand!$B$14</f>
        <v>6000</v>
      </c>
    </row>
    <row r="285" customFormat="false" ht="15" hidden="false" customHeight="false" outlineLevel="0" collapsed="false">
      <c r="A285" s="2" t="n">
        <v>273</v>
      </c>
      <c r="B285" s="22" t="n">
        <v>0.397790612381143</v>
      </c>
      <c r="C285" s="22" t="n">
        <v>0.369412418878497</v>
      </c>
      <c r="D285" s="23" t="n">
        <f aca="false">BETAINV(C285,Test1_Hand!$B$21,Test1_Hand!$B$22,Test1_Hand!$B$9,Test1_Hand!$B$11)</f>
        <v>2.93069496017852</v>
      </c>
      <c r="E285" s="2" t="n">
        <f aca="false">IF(B285&lt;Test1_Hand!$B$12,1,0)</f>
        <v>1</v>
      </c>
      <c r="F285" s="23" t="n">
        <f aca="false">Test1_Hand!$B$4+E285*D285</f>
        <v>18.9306949601785</v>
      </c>
      <c r="G285" s="24" t="n">
        <f aca="false">Test1_Hand!$B$6*E285*D285+Test1_Hand!$B$7*MAX(0,F285-Test1_Hand!$B$5)</f>
        <v>23445.5596814282</v>
      </c>
      <c r="H285" s="2" t="n">
        <f aca="false">IF(B285&lt;Test1_Hand!$B$13,1,0)</f>
        <v>0</v>
      </c>
      <c r="I285" s="23" t="n">
        <f aca="false">Test1_Hand!$B$4+H285*D285</f>
        <v>16</v>
      </c>
      <c r="J285" s="24" t="n">
        <f aca="false">Test1_Hand!$B$6*H285*D285+Test1_Hand!$B$7*MAX(0,I285-Test1_Hand!$B$5)+Test1_Hand!$B$14</f>
        <v>6000</v>
      </c>
    </row>
    <row r="286" customFormat="false" ht="15" hidden="false" customHeight="false" outlineLevel="0" collapsed="false">
      <c r="A286" s="2" t="n">
        <v>274</v>
      </c>
      <c r="B286" s="22" t="n">
        <v>0.745966198819892</v>
      </c>
      <c r="C286" s="22" t="n">
        <v>0.653564171072922</v>
      </c>
      <c r="D286" s="23" t="n">
        <f aca="false">BETAINV(C286,Test1_Hand!$B$21,Test1_Hand!$B$22,Test1_Hand!$B$9,Test1_Hand!$B$11)</f>
        <v>3.9561841839319</v>
      </c>
      <c r="E286" s="2" t="n">
        <f aca="false">IF(B286&lt;Test1_Hand!$B$12,1,0)</f>
        <v>0</v>
      </c>
      <c r="F286" s="23" t="n">
        <f aca="false">Test1_Hand!$B$4+E286*D286</f>
        <v>16</v>
      </c>
      <c r="G286" s="24" t="n">
        <f aca="false">Test1_Hand!$B$6*E286*D286+Test1_Hand!$B$7*MAX(0,F286-Test1_Hand!$B$5)</f>
        <v>0</v>
      </c>
      <c r="H286" s="2" t="n">
        <f aca="false">IF(B286&lt;Test1_Hand!$B$13,1,0)</f>
        <v>0</v>
      </c>
      <c r="I286" s="23" t="n">
        <f aca="false">Test1_Hand!$B$4+H286*D286</f>
        <v>16</v>
      </c>
      <c r="J286" s="24" t="n">
        <f aca="false">Test1_Hand!$B$6*H286*D286+Test1_Hand!$B$7*MAX(0,I286-Test1_Hand!$B$5)+Test1_Hand!$B$14</f>
        <v>6000</v>
      </c>
    </row>
    <row r="287" customFormat="false" ht="15" hidden="false" customHeight="false" outlineLevel="0" collapsed="false">
      <c r="A287" s="2" t="n">
        <v>275</v>
      </c>
      <c r="B287" s="22" t="n">
        <v>0.3208530115185</v>
      </c>
      <c r="C287" s="22" t="n">
        <v>0.634571458077368</v>
      </c>
      <c r="D287" s="23" t="n">
        <f aca="false">BETAINV(C287,Test1_Hand!$B$21,Test1_Hand!$B$22,Test1_Hand!$B$9,Test1_Hand!$B$11)</f>
        <v>3.88057199907558</v>
      </c>
      <c r="E287" s="2" t="n">
        <f aca="false">IF(B287&lt;Test1_Hand!$B$12,1,0)</f>
        <v>1</v>
      </c>
      <c r="F287" s="23" t="n">
        <f aca="false">Test1_Hand!$B$4+E287*D287</f>
        <v>19.8805719990756</v>
      </c>
      <c r="G287" s="24" t="n">
        <f aca="false">Test1_Hand!$B$6*E287*D287+Test1_Hand!$B$7*MAX(0,F287-Test1_Hand!$B$5)</f>
        <v>31044.5759926046</v>
      </c>
      <c r="H287" s="2" t="n">
        <f aca="false">IF(B287&lt;Test1_Hand!$B$13,1,0)</f>
        <v>0</v>
      </c>
      <c r="I287" s="23" t="n">
        <f aca="false">Test1_Hand!$B$4+H287*D287</f>
        <v>16</v>
      </c>
      <c r="J287" s="24" t="n">
        <f aca="false">Test1_Hand!$B$6*H287*D287+Test1_Hand!$B$7*MAX(0,I287-Test1_Hand!$B$5)+Test1_Hand!$B$14</f>
        <v>6000</v>
      </c>
    </row>
    <row r="288" customFormat="false" ht="15" hidden="false" customHeight="false" outlineLevel="0" collapsed="false">
      <c r="A288" s="2" t="n">
        <v>276</v>
      </c>
      <c r="B288" s="22" t="n">
        <v>0.68352335328041</v>
      </c>
      <c r="C288" s="22" t="n">
        <v>0.44007264412831</v>
      </c>
      <c r="D288" s="23" t="n">
        <f aca="false">BETAINV(C288,Test1_Hand!$B$21,Test1_Hand!$B$22,Test1_Hand!$B$9,Test1_Hand!$B$11)</f>
        <v>3.17365886635504</v>
      </c>
      <c r="E288" s="2" t="n">
        <f aca="false">IF(B288&lt;Test1_Hand!$B$12,1,0)</f>
        <v>0</v>
      </c>
      <c r="F288" s="23" t="n">
        <f aca="false">Test1_Hand!$B$4+E288*D288</f>
        <v>16</v>
      </c>
      <c r="G288" s="24" t="n">
        <f aca="false">Test1_Hand!$B$6*E288*D288+Test1_Hand!$B$7*MAX(0,F288-Test1_Hand!$B$5)</f>
        <v>0</v>
      </c>
      <c r="H288" s="2" t="n">
        <f aca="false">IF(B288&lt;Test1_Hand!$B$13,1,0)</f>
        <v>0</v>
      </c>
      <c r="I288" s="23" t="n">
        <f aca="false">Test1_Hand!$B$4+H288*D288</f>
        <v>16</v>
      </c>
      <c r="J288" s="24" t="n">
        <f aca="false">Test1_Hand!$B$6*H288*D288+Test1_Hand!$B$7*MAX(0,I288-Test1_Hand!$B$5)+Test1_Hand!$B$14</f>
        <v>6000</v>
      </c>
    </row>
    <row r="289" customFormat="false" ht="15" hidden="false" customHeight="false" outlineLevel="0" collapsed="false">
      <c r="A289" s="2" t="n">
        <v>277</v>
      </c>
      <c r="B289" s="22" t="n">
        <v>0.260757155882917</v>
      </c>
      <c r="C289" s="22" t="n">
        <v>0.862905101367713</v>
      </c>
      <c r="D289" s="23" t="n">
        <f aca="false">BETAINV(C289,Test1_Hand!$B$21,Test1_Hand!$B$22,Test1_Hand!$B$9,Test1_Hand!$B$11)</f>
        <v>4.99994139353935</v>
      </c>
      <c r="E289" s="2" t="n">
        <f aca="false">IF(B289&lt;Test1_Hand!$B$12,1,0)</f>
        <v>1</v>
      </c>
      <c r="F289" s="23" t="n">
        <f aca="false">Test1_Hand!$B$4+E289*D289</f>
        <v>20.9999413935394</v>
      </c>
      <c r="G289" s="24" t="n">
        <f aca="false">Test1_Hand!$B$6*E289*D289+Test1_Hand!$B$7*MAX(0,F289-Test1_Hand!$B$5)</f>
        <v>44999.2381160116</v>
      </c>
      <c r="H289" s="2" t="n">
        <f aca="false">IF(B289&lt;Test1_Hand!$B$13,1,0)</f>
        <v>0</v>
      </c>
      <c r="I289" s="23" t="n">
        <f aca="false">Test1_Hand!$B$4+H289*D289</f>
        <v>16</v>
      </c>
      <c r="J289" s="24" t="n">
        <f aca="false">Test1_Hand!$B$6*H289*D289+Test1_Hand!$B$7*MAX(0,I289-Test1_Hand!$B$5)+Test1_Hand!$B$14</f>
        <v>6000</v>
      </c>
    </row>
    <row r="290" customFormat="false" ht="15" hidden="false" customHeight="false" outlineLevel="0" collapsed="false">
      <c r="A290" s="2" t="n">
        <v>278</v>
      </c>
      <c r="B290" s="22" t="n">
        <v>0.00574281294647361</v>
      </c>
      <c r="C290" s="22" t="n">
        <v>0.719302436370571</v>
      </c>
      <c r="D290" s="23" t="n">
        <f aca="false">BETAINV(C290,Test1_Hand!$B$21,Test1_Hand!$B$22,Test1_Hand!$B$9,Test1_Hand!$B$11)</f>
        <v>4.23402007148874</v>
      </c>
      <c r="E290" s="2" t="n">
        <f aca="false">IF(B290&lt;Test1_Hand!$B$12,1,0)</f>
        <v>1</v>
      </c>
      <c r="F290" s="23" t="n">
        <f aca="false">Test1_Hand!$B$4+E290*D290</f>
        <v>20.2340200714887</v>
      </c>
      <c r="G290" s="24" t="n">
        <f aca="false">Test1_Hand!$B$6*E290*D290+Test1_Hand!$B$7*MAX(0,F290-Test1_Hand!$B$5)</f>
        <v>35042.2609293537</v>
      </c>
      <c r="H290" s="2" t="n">
        <f aca="false">IF(B290&lt;Test1_Hand!$B$13,1,0)</f>
        <v>1</v>
      </c>
      <c r="I290" s="23" t="n">
        <f aca="false">Test1_Hand!$B$4+H290*D290</f>
        <v>20.2340200714887</v>
      </c>
      <c r="J290" s="24" t="n">
        <f aca="false">Test1_Hand!$B$6*H290*D290+Test1_Hand!$B$7*MAX(0,I290-Test1_Hand!$B$5)+Test1_Hand!$B$14</f>
        <v>41042.2609293537</v>
      </c>
    </row>
    <row r="291" customFormat="false" ht="15" hidden="false" customHeight="false" outlineLevel="0" collapsed="false">
      <c r="A291" s="2" t="n">
        <v>279</v>
      </c>
      <c r="B291" s="22" t="n">
        <v>0.808968097806782</v>
      </c>
      <c r="C291" s="22" t="n">
        <v>0.210947277724194</v>
      </c>
      <c r="D291" s="23" t="n">
        <f aca="false">BETAINV(C291,Test1_Hand!$B$21,Test1_Hand!$B$22,Test1_Hand!$B$9,Test1_Hand!$B$11)</f>
        <v>2.36828478814628</v>
      </c>
      <c r="E291" s="2" t="n">
        <f aca="false">IF(B291&lt;Test1_Hand!$B$12,1,0)</f>
        <v>0</v>
      </c>
      <c r="F291" s="23" t="n">
        <f aca="false">Test1_Hand!$B$4+E291*D291</f>
        <v>16</v>
      </c>
      <c r="G291" s="24" t="n">
        <f aca="false">Test1_Hand!$B$6*E291*D291+Test1_Hand!$B$7*MAX(0,F291-Test1_Hand!$B$5)</f>
        <v>0</v>
      </c>
      <c r="H291" s="2" t="n">
        <f aca="false">IF(B291&lt;Test1_Hand!$B$13,1,0)</f>
        <v>0</v>
      </c>
      <c r="I291" s="23" t="n">
        <f aca="false">Test1_Hand!$B$4+H291*D291</f>
        <v>16</v>
      </c>
      <c r="J291" s="24" t="n">
        <f aca="false">Test1_Hand!$B$6*H291*D291+Test1_Hand!$B$7*MAX(0,I291-Test1_Hand!$B$5)+Test1_Hand!$B$14</f>
        <v>6000</v>
      </c>
    </row>
    <row r="292" customFormat="false" ht="15" hidden="false" customHeight="false" outlineLevel="0" collapsed="false">
      <c r="A292" s="2" t="n">
        <v>280</v>
      </c>
      <c r="B292" s="22" t="n">
        <v>0.570001040188474</v>
      </c>
      <c r="C292" s="22" t="n">
        <v>0.9820898365079</v>
      </c>
      <c r="D292" s="23" t="n">
        <f aca="false">BETAINV(C292,Test1_Hand!$B$21,Test1_Hand!$B$22,Test1_Hand!$B$9,Test1_Hand!$B$11)</f>
        <v>6.33484497873807</v>
      </c>
      <c r="E292" s="2" t="n">
        <f aca="false">IF(B292&lt;Test1_Hand!$B$12,1,0)</f>
        <v>0</v>
      </c>
      <c r="F292" s="23" t="n">
        <f aca="false">Test1_Hand!$B$4+E292*D292</f>
        <v>16</v>
      </c>
      <c r="G292" s="24" t="n">
        <f aca="false">Test1_Hand!$B$6*E292*D292+Test1_Hand!$B$7*MAX(0,F292-Test1_Hand!$B$5)</f>
        <v>0</v>
      </c>
      <c r="H292" s="2" t="n">
        <f aca="false">IF(B292&lt;Test1_Hand!$B$13,1,0)</f>
        <v>0</v>
      </c>
      <c r="I292" s="23" t="n">
        <f aca="false">Test1_Hand!$B$4+H292*D292</f>
        <v>16</v>
      </c>
      <c r="J292" s="24" t="n">
        <f aca="false">Test1_Hand!$B$6*H292*D292+Test1_Hand!$B$7*MAX(0,I292-Test1_Hand!$B$5)+Test1_Hand!$B$14</f>
        <v>6000</v>
      </c>
    </row>
    <row r="293" customFormat="false" ht="15" hidden="false" customHeight="false" outlineLevel="0" collapsed="false">
      <c r="A293" s="2" t="n">
        <v>281</v>
      </c>
      <c r="B293" s="22" t="n">
        <v>0.301586032252144</v>
      </c>
      <c r="C293" s="22" t="n">
        <v>0.615180700481108</v>
      </c>
      <c r="D293" s="23" t="n">
        <f aca="false">BETAINV(C293,Test1_Hand!$B$21,Test1_Hand!$B$22,Test1_Hand!$B$9,Test1_Hand!$B$11)</f>
        <v>3.80508682443502</v>
      </c>
      <c r="E293" s="2" t="n">
        <f aca="false">IF(B293&lt;Test1_Hand!$B$12,1,0)</f>
        <v>1</v>
      </c>
      <c r="F293" s="23" t="n">
        <f aca="false">Test1_Hand!$B$4+E293*D293</f>
        <v>19.805086824435</v>
      </c>
      <c r="G293" s="24" t="n">
        <f aca="false">Test1_Hand!$B$6*E293*D293+Test1_Hand!$B$7*MAX(0,F293-Test1_Hand!$B$5)</f>
        <v>30440.6945954801</v>
      </c>
      <c r="H293" s="2" t="n">
        <f aca="false">IF(B293&lt;Test1_Hand!$B$13,1,0)</f>
        <v>0</v>
      </c>
      <c r="I293" s="23" t="n">
        <f aca="false">Test1_Hand!$B$4+H293*D293</f>
        <v>16</v>
      </c>
      <c r="J293" s="24" t="n">
        <f aca="false">Test1_Hand!$B$6*H293*D293+Test1_Hand!$B$7*MAX(0,I293-Test1_Hand!$B$5)+Test1_Hand!$B$14</f>
        <v>6000</v>
      </c>
    </row>
    <row r="294" customFormat="false" ht="15" hidden="false" customHeight="false" outlineLevel="0" collapsed="false">
      <c r="A294" s="2" t="n">
        <v>282</v>
      </c>
      <c r="B294" s="22" t="n">
        <v>0.413714352653956</v>
      </c>
      <c r="C294" s="22" t="n">
        <v>0.441020842413512</v>
      </c>
      <c r="D294" s="23" t="n">
        <f aca="false">BETAINV(C294,Test1_Hand!$B$21,Test1_Hand!$B$22,Test1_Hand!$B$9,Test1_Hand!$B$11)</f>
        <v>3.17693378456431</v>
      </c>
      <c r="E294" s="2" t="n">
        <f aca="false">IF(B294&lt;Test1_Hand!$B$12,1,0)</f>
        <v>1</v>
      </c>
      <c r="F294" s="23" t="n">
        <f aca="false">Test1_Hand!$B$4+E294*D294</f>
        <v>19.1769337845643</v>
      </c>
      <c r="G294" s="24" t="n">
        <f aca="false">Test1_Hand!$B$6*E294*D294+Test1_Hand!$B$7*MAX(0,F294-Test1_Hand!$B$5)</f>
        <v>25415.4702765145</v>
      </c>
      <c r="H294" s="2" t="n">
        <f aca="false">IF(B294&lt;Test1_Hand!$B$13,1,0)</f>
        <v>0</v>
      </c>
      <c r="I294" s="23" t="n">
        <f aca="false">Test1_Hand!$B$4+H294*D294</f>
        <v>16</v>
      </c>
      <c r="J294" s="24" t="n">
        <f aca="false">Test1_Hand!$B$6*H294*D294+Test1_Hand!$B$7*MAX(0,I294-Test1_Hand!$B$5)+Test1_Hand!$B$14</f>
        <v>6000</v>
      </c>
    </row>
    <row r="295" customFormat="false" ht="15" hidden="false" customHeight="false" outlineLevel="0" collapsed="false">
      <c r="A295" s="2" t="n">
        <v>283</v>
      </c>
      <c r="B295" s="22" t="n">
        <v>0.752711655237168</v>
      </c>
      <c r="C295" s="22" t="n">
        <v>0.545150916895117</v>
      </c>
      <c r="D295" s="23" t="n">
        <f aca="false">BETAINV(C295,Test1_Hand!$B$21,Test1_Hand!$B$22,Test1_Hand!$B$9,Test1_Hand!$B$11)</f>
        <v>3.54393765798801</v>
      </c>
      <c r="E295" s="2" t="n">
        <f aca="false">IF(B295&lt;Test1_Hand!$B$12,1,0)</f>
        <v>0</v>
      </c>
      <c r="F295" s="23" t="n">
        <f aca="false">Test1_Hand!$B$4+E295*D295</f>
        <v>16</v>
      </c>
      <c r="G295" s="24" t="n">
        <f aca="false">Test1_Hand!$B$6*E295*D295+Test1_Hand!$B$7*MAX(0,F295-Test1_Hand!$B$5)</f>
        <v>0</v>
      </c>
      <c r="H295" s="2" t="n">
        <f aca="false">IF(B295&lt;Test1_Hand!$B$13,1,0)</f>
        <v>0</v>
      </c>
      <c r="I295" s="23" t="n">
        <f aca="false">Test1_Hand!$B$4+H295*D295</f>
        <v>16</v>
      </c>
      <c r="J295" s="24" t="n">
        <f aca="false">Test1_Hand!$B$6*H295*D295+Test1_Hand!$B$7*MAX(0,I295-Test1_Hand!$B$5)+Test1_Hand!$B$14</f>
        <v>6000</v>
      </c>
    </row>
    <row r="296" customFormat="false" ht="15" hidden="false" customHeight="false" outlineLevel="0" collapsed="false">
      <c r="A296" s="2" t="n">
        <v>284</v>
      </c>
      <c r="B296" s="22" t="n">
        <v>0.277451910246358</v>
      </c>
      <c r="C296" s="22" t="n">
        <v>0.741418135201156</v>
      </c>
      <c r="D296" s="23" t="n">
        <f aca="false">BETAINV(C296,Test1_Hand!$B$21,Test1_Hand!$B$22,Test1_Hand!$B$9,Test1_Hand!$B$11)</f>
        <v>4.33462791248324</v>
      </c>
      <c r="E296" s="2" t="n">
        <f aca="false">IF(B296&lt;Test1_Hand!$B$12,1,0)</f>
        <v>1</v>
      </c>
      <c r="F296" s="23" t="n">
        <f aca="false">Test1_Hand!$B$4+E296*D296</f>
        <v>20.3346279124832</v>
      </c>
      <c r="G296" s="24" t="n">
        <f aca="false">Test1_Hand!$B$6*E296*D296+Test1_Hand!$B$7*MAX(0,F296-Test1_Hand!$B$5)</f>
        <v>36350.1628622821</v>
      </c>
      <c r="H296" s="2" t="n">
        <f aca="false">IF(B296&lt;Test1_Hand!$B$13,1,0)</f>
        <v>0</v>
      </c>
      <c r="I296" s="23" t="n">
        <f aca="false">Test1_Hand!$B$4+H296*D296</f>
        <v>16</v>
      </c>
      <c r="J296" s="24" t="n">
        <f aca="false">Test1_Hand!$B$6*H296*D296+Test1_Hand!$B$7*MAX(0,I296-Test1_Hand!$B$5)+Test1_Hand!$B$14</f>
        <v>6000</v>
      </c>
    </row>
    <row r="297" customFormat="false" ht="15" hidden="false" customHeight="false" outlineLevel="0" collapsed="false">
      <c r="A297" s="2" t="n">
        <v>285</v>
      </c>
      <c r="B297" s="22" t="n">
        <v>0.559252674648105</v>
      </c>
      <c r="C297" s="22" t="n">
        <v>0.30792724546347</v>
      </c>
      <c r="D297" s="23" t="n">
        <f aca="false">BETAINV(C297,Test1_Hand!$B$21,Test1_Hand!$B$22,Test1_Hand!$B$9,Test1_Hand!$B$11)</f>
        <v>2.7180602751474</v>
      </c>
      <c r="E297" s="2" t="n">
        <f aca="false">IF(B297&lt;Test1_Hand!$B$12,1,0)</f>
        <v>0</v>
      </c>
      <c r="F297" s="23" t="n">
        <f aca="false">Test1_Hand!$B$4+E297*D297</f>
        <v>16</v>
      </c>
      <c r="G297" s="24" t="n">
        <f aca="false">Test1_Hand!$B$6*E297*D297+Test1_Hand!$B$7*MAX(0,F297-Test1_Hand!$B$5)</f>
        <v>0</v>
      </c>
      <c r="H297" s="2" t="n">
        <f aca="false">IF(B297&lt;Test1_Hand!$B$13,1,0)</f>
        <v>0</v>
      </c>
      <c r="I297" s="23" t="n">
        <f aca="false">Test1_Hand!$B$4+H297*D297</f>
        <v>16</v>
      </c>
      <c r="J297" s="24" t="n">
        <f aca="false">Test1_Hand!$B$6*H297*D297+Test1_Hand!$B$7*MAX(0,I297-Test1_Hand!$B$5)+Test1_Hand!$B$14</f>
        <v>6000</v>
      </c>
    </row>
    <row r="298" customFormat="false" ht="15" hidden="false" customHeight="false" outlineLevel="0" collapsed="false">
      <c r="A298" s="2" t="n">
        <v>286</v>
      </c>
      <c r="B298" s="22" t="n">
        <v>0.597067075536707</v>
      </c>
      <c r="C298" s="22" t="n">
        <v>0.742236508705327</v>
      </c>
      <c r="D298" s="23" t="n">
        <f aca="false">BETAINV(C298,Test1_Hand!$B$21,Test1_Hand!$B$22,Test1_Hand!$B$9,Test1_Hand!$B$11)</f>
        <v>4.33843496097695</v>
      </c>
      <c r="E298" s="2" t="n">
        <f aca="false">IF(B298&lt;Test1_Hand!$B$12,1,0)</f>
        <v>0</v>
      </c>
      <c r="F298" s="23" t="n">
        <f aca="false">Test1_Hand!$B$4+E298*D298</f>
        <v>16</v>
      </c>
      <c r="G298" s="24" t="n">
        <f aca="false">Test1_Hand!$B$6*E298*D298+Test1_Hand!$B$7*MAX(0,F298-Test1_Hand!$B$5)</f>
        <v>0</v>
      </c>
      <c r="H298" s="2" t="n">
        <f aca="false">IF(B298&lt;Test1_Hand!$B$13,1,0)</f>
        <v>0</v>
      </c>
      <c r="I298" s="23" t="n">
        <f aca="false">Test1_Hand!$B$4+H298*D298</f>
        <v>16</v>
      </c>
      <c r="J298" s="24" t="n">
        <f aca="false">Test1_Hand!$B$6*H298*D298+Test1_Hand!$B$7*MAX(0,I298-Test1_Hand!$B$5)+Test1_Hand!$B$14</f>
        <v>6000</v>
      </c>
    </row>
    <row r="299" customFormat="false" ht="15" hidden="false" customHeight="false" outlineLevel="0" collapsed="false">
      <c r="A299" s="2" t="n">
        <v>287</v>
      </c>
      <c r="B299" s="22" t="n">
        <v>0.0640129802910968</v>
      </c>
      <c r="C299" s="22" t="n">
        <v>0.16543819943631</v>
      </c>
      <c r="D299" s="23" t="n">
        <f aca="false">BETAINV(C299,Test1_Hand!$B$21,Test1_Hand!$B$22,Test1_Hand!$B$9,Test1_Hand!$B$11)</f>
        <v>2.19093992445916</v>
      </c>
      <c r="E299" s="2" t="n">
        <f aca="false">IF(B299&lt;Test1_Hand!$B$12,1,0)</f>
        <v>1</v>
      </c>
      <c r="F299" s="23" t="n">
        <f aca="false">Test1_Hand!$B$4+E299*D299</f>
        <v>18.1909399244592</v>
      </c>
      <c r="G299" s="24" t="n">
        <f aca="false">Test1_Hand!$B$6*E299*D299+Test1_Hand!$B$7*MAX(0,F299-Test1_Hand!$B$5)</f>
        <v>17527.5193956732</v>
      </c>
      <c r="H299" s="2" t="n">
        <f aca="false">IF(B299&lt;Test1_Hand!$B$13,1,0)</f>
        <v>1</v>
      </c>
      <c r="I299" s="23" t="n">
        <f aca="false">Test1_Hand!$B$4+H299*D299</f>
        <v>18.1909399244592</v>
      </c>
      <c r="J299" s="24" t="n">
        <f aca="false">Test1_Hand!$B$6*H299*D299+Test1_Hand!$B$7*MAX(0,I299-Test1_Hand!$B$5)+Test1_Hand!$B$14</f>
        <v>23527.5193956732</v>
      </c>
    </row>
    <row r="300" customFormat="false" ht="15" hidden="false" customHeight="false" outlineLevel="0" collapsed="false">
      <c r="A300" s="2" t="n">
        <v>288</v>
      </c>
      <c r="B300" s="22" t="n">
        <v>0.352646906320987</v>
      </c>
      <c r="C300" s="22" t="n">
        <v>0.249248171799106</v>
      </c>
      <c r="D300" s="23" t="n">
        <f aca="false">BETAINV(C300,Test1_Hand!$B$21,Test1_Hand!$B$22,Test1_Hand!$B$9,Test1_Hand!$B$11)</f>
        <v>2.50972528346765</v>
      </c>
      <c r="E300" s="2" t="n">
        <f aca="false">IF(B300&lt;Test1_Hand!$B$12,1,0)</f>
        <v>1</v>
      </c>
      <c r="F300" s="23" t="n">
        <f aca="false">Test1_Hand!$B$4+E300*D300</f>
        <v>18.5097252834676</v>
      </c>
      <c r="G300" s="24" t="n">
        <f aca="false">Test1_Hand!$B$6*E300*D300+Test1_Hand!$B$7*MAX(0,F300-Test1_Hand!$B$5)</f>
        <v>20077.8022677412</v>
      </c>
      <c r="H300" s="2" t="n">
        <f aca="false">IF(B300&lt;Test1_Hand!$B$13,1,0)</f>
        <v>0</v>
      </c>
      <c r="I300" s="23" t="n">
        <f aca="false">Test1_Hand!$B$4+H300*D300</f>
        <v>16</v>
      </c>
      <c r="J300" s="24" t="n">
        <f aca="false">Test1_Hand!$B$6*H300*D300+Test1_Hand!$B$7*MAX(0,I300-Test1_Hand!$B$5)+Test1_Hand!$B$14</f>
        <v>6000</v>
      </c>
    </row>
    <row r="301" customFormat="false" ht="15" hidden="false" customHeight="false" outlineLevel="0" collapsed="false">
      <c r="A301" s="2" t="n">
        <v>289</v>
      </c>
      <c r="B301" s="22" t="n">
        <v>0.566378691463773</v>
      </c>
      <c r="C301" s="22" t="n">
        <v>0.0490726209126635</v>
      </c>
      <c r="D301" s="23" t="n">
        <f aca="false">BETAINV(C301,Test1_Hand!$B$21,Test1_Hand!$B$22,Test1_Hand!$B$9,Test1_Hand!$B$11)</f>
        <v>1.62416710048428</v>
      </c>
      <c r="E301" s="2" t="n">
        <f aca="false">IF(B301&lt;Test1_Hand!$B$12,1,0)</f>
        <v>0</v>
      </c>
      <c r="F301" s="23" t="n">
        <f aca="false">Test1_Hand!$B$4+E301*D301</f>
        <v>16</v>
      </c>
      <c r="G301" s="24" t="n">
        <f aca="false">Test1_Hand!$B$6*E301*D301+Test1_Hand!$B$7*MAX(0,F301-Test1_Hand!$B$5)</f>
        <v>0</v>
      </c>
      <c r="H301" s="2" t="n">
        <f aca="false">IF(B301&lt;Test1_Hand!$B$13,1,0)</f>
        <v>0</v>
      </c>
      <c r="I301" s="23" t="n">
        <f aca="false">Test1_Hand!$B$4+H301*D301</f>
        <v>16</v>
      </c>
      <c r="J301" s="24" t="n">
        <f aca="false">Test1_Hand!$B$6*H301*D301+Test1_Hand!$B$7*MAX(0,I301-Test1_Hand!$B$5)+Test1_Hand!$B$14</f>
        <v>6000</v>
      </c>
    </row>
    <row r="302" customFormat="false" ht="15" hidden="false" customHeight="false" outlineLevel="0" collapsed="false">
      <c r="A302" s="2" t="n">
        <v>290</v>
      </c>
      <c r="B302" s="22" t="n">
        <v>0.917616115564745</v>
      </c>
      <c r="C302" s="22" t="n">
        <v>0.735423359528748</v>
      </c>
      <c r="D302" s="23" t="n">
        <f aca="false">BETAINV(C302,Test1_Hand!$B$21,Test1_Hand!$B$22,Test1_Hand!$B$9,Test1_Hand!$B$11)</f>
        <v>4.30693067742195</v>
      </c>
      <c r="E302" s="2" t="n">
        <f aca="false">IF(B302&lt;Test1_Hand!$B$12,1,0)</f>
        <v>0</v>
      </c>
      <c r="F302" s="23" t="n">
        <f aca="false">Test1_Hand!$B$4+E302*D302</f>
        <v>16</v>
      </c>
      <c r="G302" s="24" t="n">
        <f aca="false">Test1_Hand!$B$6*E302*D302+Test1_Hand!$B$7*MAX(0,F302-Test1_Hand!$B$5)</f>
        <v>0</v>
      </c>
      <c r="H302" s="2" t="n">
        <f aca="false">IF(B302&lt;Test1_Hand!$B$13,1,0)</f>
        <v>0</v>
      </c>
      <c r="I302" s="23" t="n">
        <f aca="false">Test1_Hand!$B$4+H302*D302</f>
        <v>16</v>
      </c>
      <c r="J302" s="24" t="n">
        <f aca="false">Test1_Hand!$B$6*H302*D302+Test1_Hand!$B$7*MAX(0,I302-Test1_Hand!$B$5)+Test1_Hand!$B$14</f>
        <v>6000</v>
      </c>
    </row>
    <row r="303" customFormat="false" ht="15" hidden="false" customHeight="false" outlineLevel="0" collapsed="false">
      <c r="A303" s="2" t="n">
        <v>291</v>
      </c>
      <c r="B303" s="22" t="n">
        <v>0.419578732034904</v>
      </c>
      <c r="C303" s="22" t="n">
        <v>0.151908860515218</v>
      </c>
      <c r="D303" s="23" t="n">
        <f aca="false">BETAINV(C303,Test1_Hand!$B$21,Test1_Hand!$B$22,Test1_Hand!$B$9,Test1_Hand!$B$11)</f>
        <v>2.13547499148914</v>
      </c>
      <c r="E303" s="2" t="n">
        <f aca="false">IF(B303&lt;Test1_Hand!$B$12,1,0)</f>
        <v>1</v>
      </c>
      <c r="F303" s="23" t="n">
        <f aca="false">Test1_Hand!$B$4+E303*D303</f>
        <v>18.1354749914891</v>
      </c>
      <c r="G303" s="24" t="n">
        <f aca="false">Test1_Hand!$B$6*E303*D303+Test1_Hand!$B$7*MAX(0,F303-Test1_Hand!$B$5)</f>
        <v>17083.7999319131</v>
      </c>
      <c r="H303" s="2" t="n">
        <f aca="false">IF(B303&lt;Test1_Hand!$B$13,1,0)</f>
        <v>0</v>
      </c>
      <c r="I303" s="23" t="n">
        <f aca="false">Test1_Hand!$B$4+H303*D303</f>
        <v>16</v>
      </c>
      <c r="J303" s="24" t="n">
        <f aca="false">Test1_Hand!$B$6*H303*D303+Test1_Hand!$B$7*MAX(0,I303-Test1_Hand!$B$5)+Test1_Hand!$B$14</f>
        <v>6000</v>
      </c>
    </row>
    <row r="304" customFormat="false" ht="15" hidden="false" customHeight="false" outlineLevel="0" collapsed="false">
      <c r="A304" s="2" t="n">
        <v>292</v>
      </c>
      <c r="B304" s="22" t="n">
        <v>0.0627382281479566</v>
      </c>
      <c r="C304" s="22" t="n">
        <v>0.739201237259155</v>
      </c>
      <c r="D304" s="23" t="n">
        <f aca="false">BETAINV(C304,Test1_Hand!$B$21,Test1_Hand!$B$22,Test1_Hand!$B$9,Test1_Hand!$B$11)</f>
        <v>4.32434661026727</v>
      </c>
      <c r="E304" s="2" t="n">
        <f aca="false">IF(B304&lt;Test1_Hand!$B$12,1,0)</f>
        <v>1</v>
      </c>
      <c r="F304" s="23" t="n">
        <f aca="false">Test1_Hand!$B$4+E304*D304</f>
        <v>20.3243466102673</v>
      </c>
      <c r="G304" s="24" t="n">
        <f aca="false">Test1_Hand!$B$6*E304*D304+Test1_Hand!$B$7*MAX(0,F304-Test1_Hand!$B$5)</f>
        <v>36216.5059334745</v>
      </c>
      <c r="H304" s="2" t="n">
        <f aca="false">IF(B304&lt;Test1_Hand!$B$13,1,0)</f>
        <v>1</v>
      </c>
      <c r="I304" s="23" t="n">
        <f aca="false">Test1_Hand!$B$4+H304*D304</f>
        <v>20.3243466102673</v>
      </c>
      <c r="J304" s="24" t="n">
        <f aca="false">Test1_Hand!$B$6*H304*D304+Test1_Hand!$B$7*MAX(0,I304-Test1_Hand!$B$5)+Test1_Hand!$B$14</f>
        <v>42216.5059334745</v>
      </c>
    </row>
    <row r="305" customFormat="false" ht="15" hidden="false" customHeight="false" outlineLevel="0" collapsed="false">
      <c r="A305" s="2" t="n">
        <v>293</v>
      </c>
      <c r="B305" s="22" t="n">
        <v>0.566504887428235</v>
      </c>
      <c r="C305" s="22" t="n">
        <v>0.415056962416005</v>
      </c>
      <c r="D305" s="23" t="n">
        <f aca="false">BETAINV(C305,Test1_Hand!$B$21,Test1_Hand!$B$22,Test1_Hand!$B$9,Test1_Hand!$B$11)</f>
        <v>3.08747523029772</v>
      </c>
      <c r="E305" s="2" t="n">
        <f aca="false">IF(B305&lt;Test1_Hand!$B$12,1,0)</f>
        <v>0</v>
      </c>
      <c r="F305" s="23" t="n">
        <f aca="false">Test1_Hand!$B$4+E305*D305</f>
        <v>16</v>
      </c>
      <c r="G305" s="24" t="n">
        <f aca="false">Test1_Hand!$B$6*E305*D305+Test1_Hand!$B$7*MAX(0,F305-Test1_Hand!$B$5)</f>
        <v>0</v>
      </c>
      <c r="H305" s="2" t="n">
        <f aca="false">IF(B305&lt;Test1_Hand!$B$13,1,0)</f>
        <v>0</v>
      </c>
      <c r="I305" s="23" t="n">
        <f aca="false">Test1_Hand!$B$4+H305*D305</f>
        <v>16</v>
      </c>
      <c r="J305" s="24" t="n">
        <f aca="false">Test1_Hand!$B$6*H305*D305+Test1_Hand!$B$7*MAX(0,I305-Test1_Hand!$B$5)+Test1_Hand!$B$14</f>
        <v>6000</v>
      </c>
    </row>
    <row r="306" customFormat="false" ht="15" hidden="false" customHeight="false" outlineLevel="0" collapsed="false">
      <c r="A306" s="2" t="n">
        <v>294</v>
      </c>
      <c r="B306" s="22" t="n">
        <v>0.313919283971236</v>
      </c>
      <c r="C306" s="22" t="n">
        <v>0.0541701040681636</v>
      </c>
      <c r="D306" s="23" t="n">
        <f aca="false">BETAINV(C306,Test1_Hand!$B$21,Test1_Hand!$B$22,Test1_Hand!$B$9,Test1_Hand!$B$11)</f>
        <v>1.65651929161104</v>
      </c>
      <c r="E306" s="2" t="n">
        <f aca="false">IF(B306&lt;Test1_Hand!$B$12,1,0)</f>
        <v>1</v>
      </c>
      <c r="F306" s="23" t="n">
        <f aca="false">Test1_Hand!$B$4+E306*D306</f>
        <v>17.656519291611</v>
      </c>
      <c r="G306" s="24" t="n">
        <f aca="false">Test1_Hand!$B$6*E306*D306+Test1_Hand!$B$7*MAX(0,F306-Test1_Hand!$B$5)</f>
        <v>13252.1543328883</v>
      </c>
      <c r="H306" s="2" t="n">
        <f aca="false">IF(B306&lt;Test1_Hand!$B$13,1,0)</f>
        <v>0</v>
      </c>
      <c r="I306" s="23" t="n">
        <f aca="false">Test1_Hand!$B$4+H306*D306</f>
        <v>16</v>
      </c>
      <c r="J306" s="24" t="n">
        <f aca="false">Test1_Hand!$B$6*H306*D306+Test1_Hand!$B$7*MAX(0,I306-Test1_Hand!$B$5)+Test1_Hand!$B$14</f>
        <v>6000</v>
      </c>
    </row>
    <row r="307" customFormat="false" ht="15" hidden="false" customHeight="false" outlineLevel="0" collapsed="false">
      <c r="A307" s="2" t="n">
        <v>295</v>
      </c>
      <c r="B307" s="22" t="n">
        <v>0.758415600663338</v>
      </c>
      <c r="C307" s="22" t="n">
        <v>0.210814278814353</v>
      </c>
      <c r="D307" s="23" t="n">
        <f aca="false">BETAINV(C307,Test1_Hand!$B$21,Test1_Hand!$B$22,Test1_Hand!$B$9,Test1_Hand!$B$11)</f>
        <v>2.36778316716417</v>
      </c>
      <c r="E307" s="2" t="n">
        <f aca="false">IF(B307&lt;Test1_Hand!$B$12,1,0)</f>
        <v>0</v>
      </c>
      <c r="F307" s="23" t="n">
        <f aca="false">Test1_Hand!$B$4+E307*D307</f>
        <v>16</v>
      </c>
      <c r="G307" s="24" t="n">
        <f aca="false">Test1_Hand!$B$6*E307*D307+Test1_Hand!$B$7*MAX(0,F307-Test1_Hand!$B$5)</f>
        <v>0</v>
      </c>
      <c r="H307" s="2" t="n">
        <f aca="false">IF(B307&lt;Test1_Hand!$B$13,1,0)</f>
        <v>0</v>
      </c>
      <c r="I307" s="23" t="n">
        <f aca="false">Test1_Hand!$B$4+H307*D307</f>
        <v>16</v>
      </c>
      <c r="J307" s="24" t="n">
        <f aca="false">Test1_Hand!$B$6*H307*D307+Test1_Hand!$B$7*MAX(0,I307-Test1_Hand!$B$5)+Test1_Hand!$B$14</f>
        <v>6000</v>
      </c>
    </row>
    <row r="308" customFormat="false" ht="15" hidden="false" customHeight="false" outlineLevel="0" collapsed="false">
      <c r="A308" s="2" t="n">
        <v>296</v>
      </c>
      <c r="B308" s="22" t="n">
        <v>0.26770800483522</v>
      </c>
      <c r="C308" s="22" t="n">
        <v>0.232879510868182</v>
      </c>
      <c r="D308" s="23" t="n">
        <f aca="false">BETAINV(C308,Test1_Hand!$B$21,Test1_Hand!$B$22,Test1_Hand!$B$9,Test1_Hand!$B$11)</f>
        <v>2.44995774547334</v>
      </c>
      <c r="E308" s="2" t="n">
        <f aca="false">IF(B308&lt;Test1_Hand!$B$12,1,0)</f>
        <v>1</v>
      </c>
      <c r="F308" s="23" t="n">
        <f aca="false">Test1_Hand!$B$4+E308*D308</f>
        <v>18.4499577454733</v>
      </c>
      <c r="G308" s="24" t="n">
        <f aca="false">Test1_Hand!$B$6*E308*D308+Test1_Hand!$B$7*MAX(0,F308-Test1_Hand!$B$5)</f>
        <v>19599.6619637867</v>
      </c>
      <c r="H308" s="2" t="n">
        <f aca="false">IF(B308&lt;Test1_Hand!$B$13,1,0)</f>
        <v>0</v>
      </c>
      <c r="I308" s="23" t="n">
        <f aca="false">Test1_Hand!$B$4+H308*D308</f>
        <v>16</v>
      </c>
      <c r="J308" s="24" t="n">
        <f aca="false">Test1_Hand!$B$6*H308*D308+Test1_Hand!$B$7*MAX(0,I308-Test1_Hand!$B$5)+Test1_Hand!$B$14</f>
        <v>6000</v>
      </c>
    </row>
    <row r="309" customFormat="false" ht="15" hidden="false" customHeight="false" outlineLevel="0" collapsed="false">
      <c r="A309" s="2" t="n">
        <v>297</v>
      </c>
      <c r="B309" s="22" t="n">
        <v>0.566374060920475</v>
      </c>
      <c r="C309" s="22" t="n">
        <v>0.290369367209201</v>
      </c>
      <c r="D309" s="23" t="n">
        <f aca="false">BETAINV(C309,Test1_Hand!$B$21,Test1_Hand!$B$22,Test1_Hand!$B$9,Test1_Hand!$B$11)</f>
        <v>2.65649460334052</v>
      </c>
      <c r="E309" s="2" t="n">
        <f aca="false">IF(B309&lt;Test1_Hand!$B$12,1,0)</f>
        <v>0</v>
      </c>
      <c r="F309" s="23" t="n">
        <f aca="false">Test1_Hand!$B$4+E309*D309</f>
        <v>16</v>
      </c>
      <c r="G309" s="24" t="n">
        <f aca="false">Test1_Hand!$B$6*E309*D309+Test1_Hand!$B$7*MAX(0,F309-Test1_Hand!$B$5)</f>
        <v>0</v>
      </c>
      <c r="H309" s="2" t="n">
        <f aca="false">IF(B309&lt;Test1_Hand!$B$13,1,0)</f>
        <v>0</v>
      </c>
      <c r="I309" s="23" t="n">
        <f aca="false">Test1_Hand!$B$4+H309*D309</f>
        <v>16</v>
      </c>
      <c r="J309" s="24" t="n">
        <f aca="false">Test1_Hand!$B$6*H309*D309+Test1_Hand!$B$7*MAX(0,I309-Test1_Hand!$B$5)+Test1_Hand!$B$14</f>
        <v>6000</v>
      </c>
    </row>
    <row r="310" customFormat="false" ht="15" hidden="false" customHeight="false" outlineLevel="0" collapsed="false">
      <c r="A310" s="2" t="n">
        <v>298</v>
      </c>
      <c r="B310" s="22" t="n">
        <v>0.108738379056018</v>
      </c>
      <c r="C310" s="22" t="n">
        <v>0.87274458790161</v>
      </c>
      <c r="D310" s="23" t="n">
        <f aca="false">BETAINV(C310,Test1_Hand!$B$21,Test1_Hand!$B$22,Test1_Hand!$B$9,Test1_Hand!$B$11)</f>
        <v>5.06729073804231</v>
      </c>
      <c r="E310" s="2" t="n">
        <f aca="false">IF(B310&lt;Test1_Hand!$B$12,1,0)</f>
        <v>1</v>
      </c>
      <c r="F310" s="23" t="n">
        <f aca="false">Test1_Hand!$B$4+E310*D310</f>
        <v>21.0672907380423</v>
      </c>
      <c r="G310" s="24" t="n">
        <f aca="false">Test1_Hand!$B$6*E310*D310+Test1_Hand!$B$7*MAX(0,F310-Test1_Hand!$B$5)</f>
        <v>45874.77959455</v>
      </c>
      <c r="H310" s="2" t="n">
        <f aca="false">IF(B310&lt;Test1_Hand!$B$13,1,0)</f>
        <v>1</v>
      </c>
      <c r="I310" s="23" t="n">
        <f aca="false">Test1_Hand!$B$4+H310*D310</f>
        <v>21.0672907380423</v>
      </c>
      <c r="J310" s="24" t="n">
        <f aca="false">Test1_Hand!$B$6*H310*D310+Test1_Hand!$B$7*MAX(0,I310-Test1_Hand!$B$5)+Test1_Hand!$B$14</f>
        <v>51874.77959455</v>
      </c>
    </row>
    <row r="311" customFormat="false" ht="15" hidden="false" customHeight="false" outlineLevel="0" collapsed="false">
      <c r="A311" s="2" t="n">
        <v>299</v>
      </c>
      <c r="B311" s="22" t="n">
        <v>0.173307552250346</v>
      </c>
      <c r="C311" s="22" t="n">
        <v>0.215990288327207</v>
      </c>
      <c r="D311" s="23" t="n">
        <f aca="false">BETAINV(C311,Test1_Hand!$B$21,Test1_Hand!$B$22,Test1_Hand!$B$9,Test1_Hand!$B$11)</f>
        <v>2.3872452586413</v>
      </c>
      <c r="E311" s="2" t="n">
        <f aca="false">IF(B311&lt;Test1_Hand!$B$12,1,0)</f>
        <v>1</v>
      </c>
      <c r="F311" s="23" t="n">
        <f aca="false">Test1_Hand!$B$4+E311*D311</f>
        <v>18.3872452586413</v>
      </c>
      <c r="G311" s="24" t="n">
        <f aca="false">Test1_Hand!$B$6*E311*D311+Test1_Hand!$B$7*MAX(0,F311-Test1_Hand!$B$5)</f>
        <v>19097.9620691304</v>
      </c>
      <c r="H311" s="2" t="n">
        <f aca="false">IF(B311&lt;Test1_Hand!$B$13,1,0)</f>
        <v>1</v>
      </c>
      <c r="I311" s="23" t="n">
        <f aca="false">Test1_Hand!$B$4+H311*D311</f>
        <v>18.3872452586413</v>
      </c>
      <c r="J311" s="24" t="n">
        <f aca="false">Test1_Hand!$B$6*H311*D311+Test1_Hand!$B$7*MAX(0,I311-Test1_Hand!$B$5)+Test1_Hand!$B$14</f>
        <v>25097.9620691304</v>
      </c>
    </row>
    <row r="312" customFormat="false" ht="15" hidden="false" customHeight="false" outlineLevel="0" collapsed="false">
      <c r="A312" s="2" t="n">
        <v>300</v>
      </c>
      <c r="B312" s="22" t="n">
        <v>0.740437143441998</v>
      </c>
      <c r="C312" s="22" t="n">
        <v>0.459177541974154</v>
      </c>
      <c r="D312" s="23" t="n">
        <f aca="false">BETAINV(C312,Test1_Hand!$B$21,Test1_Hand!$B$22,Test1_Hand!$B$9,Test1_Hand!$B$11)</f>
        <v>3.23979878821733</v>
      </c>
      <c r="E312" s="2" t="n">
        <f aca="false">IF(B312&lt;Test1_Hand!$B$12,1,0)</f>
        <v>0</v>
      </c>
      <c r="F312" s="23" t="n">
        <f aca="false">Test1_Hand!$B$4+E312*D312</f>
        <v>16</v>
      </c>
      <c r="G312" s="24" t="n">
        <f aca="false">Test1_Hand!$B$6*E312*D312+Test1_Hand!$B$7*MAX(0,F312-Test1_Hand!$B$5)</f>
        <v>0</v>
      </c>
      <c r="H312" s="2" t="n">
        <f aca="false">IF(B312&lt;Test1_Hand!$B$13,1,0)</f>
        <v>0</v>
      </c>
      <c r="I312" s="23" t="n">
        <f aca="false">Test1_Hand!$B$4+H312*D312</f>
        <v>16</v>
      </c>
      <c r="J312" s="24" t="n">
        <f aca="false">Test1_Hand!$B$6*H312*D312+Test1_Hand!$B$7*MAX(0,I312-Test1_Hand!$B$5)+Test1_Hand!$B$14</f>
        <v>6000</v>
      </c>
    </row>
    <row r="313" customFormat="false" ht="15" hidden="false" customHeight="false" outlineLevel="0" collapsed="false">
      <c r="A313" s="2" t="n">
        <v>301</v>
      </c>
      <c r="B313" s="22" t="n">
        <v>0.934736407568265</v>
      </c>
      <c r="C313" s="22" t="n">
        <v>0.894733697135479</v>
      </c>
      <c r="D313" s="23" t="n">
        <f aca="false">BETAINV(C313,Test1_Hand!$B$21,Test1_Hand!$B$22,Test1_Hand!$B$9,Test1_Hand!$B$11)</f>
        <v>5.23048940559608</v>
      </c>
      <c r="E313" s="2" t="n">
        <f aca="false">IF(B313&lt;Test1_Hand!$B$12,1,0)</f>
        <v>0</v>
      </c>
      <c r="F313" s="23" t="n">
        <f aca="false">Test1_Hand!$B$4+E313*D313</f>
        <v>16</v>
      </c>
      <c r="G313" s="24" t="n">
        <f aca="false">Test1_Hand!$B$6*E313*D313+Test1_Hand!$B$7*MAX(0,F313-Test1_Hand!$B$5)</f>
        <v>0</v>
      </c>
      <c r="H313" s="2" t="n">
        <f aca="false">IF(B313&lt;Test1_Hand!$B$13,1,0)</f>
        <v>0</v>
      </c>
      <c r="I313" s="23" t="n">
        <f aca="false">Test1_Hand!$B$4+H313*D313</f>
        <v>16</v>
      </c>
      <c r="J313" s="24" t="n">
        <f aca="false">Test1_Hand!$B$6*H313*D313+Test1_Hand!$B$7*MAX(0,I313-Test1_Hand!$B$5)+Test1_Hand!$B$14</f>
        <v>6000</v>
      </c>
    </row>
    <row r="314" customFormat="false" ht="15" hidden="false" customHeight="false" outlineLevel="0" collapsed="false">
      <c r="A314" s="2" t="n">
        <v>302</v>
      </c>
      <c r="B314" s="22" t="n">
        <v>0.560829011001282</v>
      </c>
      <c r="C314" s="22" t="n">
        <v>0.163889836057278</v>
      </c>
      <c r="D314" s="23" t="n">
        <f aca="false">BETAINV(C314,Test1_Hand!$B$21,Test1_Hand!$B$22,Test1_Hand!$B$9,Test1_Hand!$B$11)</f>
        <v>2.18466755889182</v>
      </c>
      <c r="E314" s="2" t="n">
        <f aca="false">IF(B314&lt;Test1_Hand!$B$12,1,0)</f>
        <v>0</v>
      </c>
      <c r="F314" s="23" t="n">
        <f aca="false">Test1_Hand!$B$4+E314*D314</f>
        <v>16</v>
      </c>
      <c r="G314" s="24" t="n">
        <f aca="false">Test1_Hand!$B$6*E314*D314+Test1_Hand!$B$7*MAX(0,F314-Test1_Hand!$B$5)</f>
        <v>0</v>
      </c>
      <c r="H314" s="2" t="n">
        <f aca="false">IF(B314&lt;Test1_Hand!$B$13,1,0)</f>
        <v>0</v>
      </c>
      <c r="I314" s="23" t="n">
        <f aca="false">Test1_Hand!$B$4+H314*D314</f>
        <v>16</v>
      </c>
      <c r="J314" s="24" t="n">
        <f aca="false">Test1_Hand!$B$6*H314*D314+Test1_Hand!$B$7*MAX(0,I314-Test1_Hand!$B$5)+Test1_Hand!$B$14</f>
        <v>6000</v>
      </c>
    </row>
    <row r="315" customFormat="false" ht="15" hidden="false" customHeight="false" outlineLevel="0" collapsed="false">
      <c r="A315" s="2" t="n">
        <v>303</v>
      </c>
      <c r="B315" s="22" t="n">
        <v>0.30780727750928</v>
      </c>
      <c r="C315" s="22" t="n">
        <v>0.663718882195215</v>
      </c>
      <c r="D315" s="23" t="n">
        <f aca="false">BETAINV(C315,Test1_Hand!$B$21,Test1_Hand!$B$22,Test1_Hand!$B$9,Test1_Hand!$B$11)</f>
        <v>3.99736588770986</v>
      </c>
      <c r="E315" s="2" t="n">
        <f aca="false">IF(B315&lt;Test1_Hand!$B$12,1,0)</f>
        <v>1</v>
      </c>
      <c r="F315" s="23" t="n">
        <f aca="false">Test1_Hand!$B$4+E315*D315</f>
        <v>19.9973658877099</v>
      </c>
      <c r="G315" s="24" t="n">
        <f aca="false">Test1_Hand!$B$6*E315*D315+Test1_Hand!$B$7*MAX(0,F315-Test1_Hand!$B$5)</f>
        <v>31978.9271016789</v>
      </c>
      <c r="H315" s="2" t="n">
        <f aca="false">IF(B315&lt;Test1_Hand!$B$13,1,0)</f>
        <v>0</v>
      </c>
      <c r="I315" s="23" t="n">
        <f aca="false">Test1_Hand!$B$4+H315*D315</f>
        <v>16</v>
      </c>
      <c r="J315" s="24" t="n">
        <f aca="false">Test1_Hand!$B$6*H315*D315+Test1_Hand!$B$7*MAX(0,I315-Test1_Hand!$B$5)+Test1_Hand!$B$14</f>
        <v>6000</v>
      </c>
    </row>
    <row r="316" customFormat="false" ht="15" hidden="false" customHeight="false" outlineLevel="0" collapsed="false">
      <c r="A316" s="2" t="n">
        <v>304</v>
      </c>
      <c r="B316" s="22" t="n">
        <v>0.297225398575981</v>
      </c>
      <c r="C316" s="22" t="n">
        <v>0.51284389656627</v>
      </c>
      <c r="D316" s="23" t="n">
        <f aca="false">BETAINV(C316,Test1_Hand!$B$21,Test1_Hand!$B$22,Test1_Hand!$B$9,Test1_Hand!$B$11)</f>
        <v>3.42805960140494</v>
      </c>
      <c r="E316" s="2" t="n">
        <f aca="false">IF(B316&lt;Test1_Hand!$B$12,1,0)</f>
        <v>1</v>
      </c>
      <c r="F316" s="23" t="n">
        <f aca="false">Test1_Hand!$B$4+E316*D316</f>
        <v>19.4280596014049</v>
      </c>
      <c r="G316" s="24" t="n">
        <f aca="false">Test1_Hand!$B$6*E316*D316+Test1_Hand!$B$7*MAX(0,F316-Test1_Hand!$B$5)</f>
        <v>27424.4768112395</v>
      </c>
      <c r="H316" s="2" t="n">
        <f aca="false">IF(B316&lt;Test1_Hand!$B$13,1,0)</f>
        <v>0</v>
      </c>
      <c r="I316" s="23" t="n">
        <f aca="false">Test1_Hand!$B$4+H316*D316</f>
        <v>16</v>
      </c>
      <c r="J316" s="24" t="n">
        <f aca="false">Test1_Hand!$B$6*H316*D316+Test1_Hand!$B$7*MAX(0,I316-Test1_Hand!$B$5)+Test1_Hand!$B$14</f>
        <v>6000</v>
      </c>
    </row>
    <row r="317" customFormat="false" ht="15" hidden="false" customHeight="false" outlineLevel="0" collapsed="false">
      <c r="A317" s="2" t="n">
        <v>305</v>
      </c>
      <c r="B317" s="22" t="n">
        <v>0.122277621935248</v>
      </c>
      <c r="C317" s="22" t="n">
        <v>0.561116097007094</v>
      </c>
      <c r="D317" s="23" t="n">
        <f aca="false">BETAINV(C317,Test1_Hand!$B$21,Test1_Hand!$B$22,Test1_Hand!$B$9,Test1_Hand!$B$11)</f>
        <v>3.60213492876826</v>
      </c>
      <c r="E317" s="2" t="n">
        <f aca="false">IF(B317&lt;Test1_Hand!$B$12,1,0)</f>
        <v>1</v>
      </c>
      <c r="F317" s="23" t="n">
        <f aca="false">Test1_Hand!$B$4+E317*D317</f>
        <v>19.6021349287683</v>
      </c>
      <c r="G317" s="24" t="n">
        <f aca="false">Test1_Hand!$B$6*E317*D317+Test1_Hand!$B$7*MAX(0,F317-Test1_Hand!$B$5)</f>
        <v>28817.0794301461</v>
      </c>
      <c r="H317" s="2" t="n">
        <f aca="false">IF(B317&lt;Test1_Hand!$B$13,1,0)</f>
        <v>1</v>
      </c>
      <c r="I317" s="23" t="n">
        <f aca="false">Test1_Hand!$B$4+H317*D317</f>
        <v>19.6021349287683</v>
      </c>
      <c r="J317" s="24" t="n">
        <f aca="false">Test1_Hand!$B$6*H317*D317+Test1_Hand!$B$7*MAX(0,I317-Test1_Hand!$B$5)+Test1_Hand!$B$14</f>
        <v>34817.0794301461</v>
      </c>
    </row>
    <row r="318" customFormat="false" ht="15" hidden="false" customHeight="false" outlineLevel="0" collapsed="false">
      <c r="A318" s="2" t="n">
        <v>306</v>
      </c>
      <c r="B318" s="22" t="n">
        <v>0.941797693215271</v>
      </c>
      <c r="C318" s="22" t="n">
        <v>0.622450320470412</v>
      </c>
      <c r="D318" s="23" t="n">
        <f aca="false">BETAINV(C318,Test1_Hand!$B$21,Test1_Hand!$B$22,Test1_Hand!$B$9,Test1_Hand!$B$11)</f>
        <v>3.83319685989658</v>
      </c>
      <c r="E318" s="2" t="n">
        <f aca="false">IF(B318&lt;Test1_Hand!$B$12,1,0)</f>
        <v>0</v>
      </c>
      <c r="F318" s="23" t="n">
        <f aca="false">Test1_Hand!$B$4+E318*D318</f>
        <v>16</v>
      </c>
      <c r="G318" s="24" t="n">
        <f aca="false">Test1_Hand!$B$6*E318*D318+Test1_Hand!$B$7*MAX(0,F318-Test1_Hand!$B$5)</f>
        <v>0</v>
      </c>
      <c r="H318" s="2" t="n">
        <f aca="false">IF(B318&lt;Test1_Hand!$B$13,1,0)</f>
        <v>0</v>
      </c>
      <c r="I318" s="23" t="n">
        <f aca="false">Test1_Hand!$B$4+H318*D318</f>
        <v>16</v>
      </c>
      <c r="J318" s="24" t="n">
        <f aca="false">Test1_Hand!$B$6*H318*D318+Test1_Hand!$B$7*MAX(0,I318-Test1_Hand!$B$5)+Test1_Hand!$B$14</f>
        <v>6000</v>
      </c>
    </row>
    <row r="319" customFormat="false" ht="15" hidden="false" customHeight="false" outlineLevel="0" collapsed="false">
      <c r="A319" s="2" t="n">
        <v>307</v>
      </c>
      <c r="B319" s="22" t="n">
        <v>0.287066746106746</v>
      </c>
      <c r="C319" s="22" t="n">
        <v>0.11574244227557</v>
      </c>
      <c r="D319" s="23" t="n">
        <f aca="false">BETAINV(C319,Test1_Hand!$B$21,Test1_Hand!$B$22,Test1_Hand!$B$9,Test1_Hand!$B$11)</f>
        <v>1.97824886817684</v>
      </c>
      <c r="E319" s="2" t="n">
        <f aca="false">IF(B319&lt;Test1_Hand!$B$12,1,0)</f>
        <v>1</v>
      </c>
      <c r="F319" s="23" t="n">
        <f aca="false">Test1_Hand!$B$4+E319*D319</f>
        <v>17.9782488681768</v>
      </c>
      <c r="G319" s="24" t="n">
        <f aca="false">Test1_Hand!$B$6*E319*D319+Test1_Hand!$B$7*MAX(0,F319-Test1_Hand!$B$5)</f>
        <v>15825.9909454147</v>
      </c>
      <c r="H319" s="2" t="n">
        <f aca="false">IF(B319&lt;Test1_Hand!$B$13,1,0)</f>
        <v>0</v>
      </c>
      <c r="I319" s="23" t="n">
        <f aca="false">Test1_Hand!$B$4+H319*D319</f>
        <v>16</v>
      </c>
      <c r="J319" s="24" t="n">
        <f aca="false">Test1_Hand!$B$6*H319*D319+Test1_Hand!$B$7*MAX(0,I319-Test1_Hand!$B$5)+Test1_Hand!$B$14</f>
        <v>6000</v>
      </c>
    </row>
    <row r="320" customFormat="false" ht="15" hidden="false" customHeight="false" outlineLevel="0" collapsed="false">
      <c r="A320" s="2" t="n">
        <v>308</v>
      </c>
      <c r="B320" s="22" t="n">
        <v>0.598093023748525</v>
      </c>
      <c r="C320" s="22" t="n">
        <v>0.551579574650466</v>
      </c>
      <c r="D320" s="23" t="n">
        <f aca="false">BETAINV(C320,Test1_Hand!$B$21,Test1_Hand!$B$22,Test1_Hand!$B$9,Test1_Hand!$B$11)</f>
        <v>3.56729015208368</v>
      </c>
      <c r="E320" s="2" t="n">
        <f aca="false">IF(B320&lt;Test1_Hand!$B$12,1,0)</f>
        <v>0</v>
      </c>
      <c r="F320" s="23" t="n">
        <f aca="false">Test1_Hand!$B$4+E320*D320</f>
        <v>16</v>
      </c>
      <c r="G320" s="24" t="n">
        <f aca="false">Test1_Hand!$B$6*E320*D320+Test1_Hand!$B$7*MAX(0,F320-Test1_Hand!$B$5)</f>
        <v>0</v>
      </c>
      <c r="H320" s="2" t="n">
        <f aca="false">IF(B320&lt;Test1_Hand!$B$13,1,0)</f>
        <v>0</v>
      </c>
      <c r="I320" s="23" t="n">
        <f aca="false">Test1_Hand!$B$4+H320*D320</f>
        <v>16</v>
      </c>
      <c r="J320" s="24" t="n">
        <f aca="false">Test1_Hand!$B$6*H320*D320+Test1_Hand!$B$7*MAX(0,I320-Test1_Hand!$B$5)+Test1_Hand!$B$14</f>
        <v>6000</v>
      </c>
    </row>
    <row r="321" customFormat="false" ht="15" hidden="false" customHeight="false" outlineLevel="0" collapsed="false">
      <c r="A321" s="2" t="n">
        <v>309</v>
      </c>
      <c r="B321" s="22" t="n">
        <v>0.755266029604224</v>
      </c>
      <c r="C321" s="22" t="n">
        <v>0.001860368695493</v>
      </c>
      <c r="D321" s="23" t="n">
        <f aca="false">BETAINV(C321,Test1_Hand!$B$21,Test1_Hand!$B$22,Test1_Hand!$B$9,Test1_Hand!$B$11)</f>
        <v>1.12681716487902</v>
      </c>
      <c r="E321" s="2" t="n">
        <f aca="false">IF(B321&lt;Test1_Hand!$B$12,1,0)</f>
        <v>0</v>
      </c>
      <c r="F321" s="23" t="n">
        <f aca="false">Test1_Hand!$B$4+E321*D321</f>
        <v>16</v>
      </c>
      <c r="G321" s="24" t="n">
        <f aca="false">Test1_Hand!$B$6*E321*D321+Test1_Hand!$B$7*MAX(0,F321-Test1_Hand!$B$5)</f>
        <v>0</v>
      </c>
      <c r="H321" s="2" t="n">
        <f aca="false">IF(B321&lt;Test1_Hand!$B$13,1,0)</f>
        <v>0</v>
      </c>
      <c r="I321" s="23" t="n">
        <f aca="false">Test1_Hand!$B$4+H321*D321</f>
        <v>16</v>
      </c>
      <c r="J321" s="24" t="n">
        <f aca="false">Test1_Hand!$B$6*H321*D321+Test1_Hand!$B$7*MAX(0,I321-Test1_Hand!$B$5)+Test1_Hand!$B$14</f>
        <v>6000</v>
      </c>
    </row>
    <row r="322" customFormat="false" ht="15" hidden="false" customHeight="false" outlineLevel="0" collapsed="false">
      <c r="A322" s="2" t="n">
        <v>310</v>
      </c>
      <c r="B322" s="22" t="n">
        <v>0.152014494402262</v>
      </c>
      <c r="C322" s="22" t="n">
        <v>0.615004775787284</v>
      </c>
      <c r="D322" s="23" t="n">
        <f aca="false">BETAINV(C322,Test1_Hand!$B$21,Test1_Hand!$B$22,Test1_Hand!$B$9,Test1_Hand!$B$11)</f>
        <v>3.80440926211982</v>
      </c>
      <c r="E322" s="2" t="n">
        <f aca="false">IF(B322&lt;Test1_Hand!$B$12,1,0)</f>
        <v>1</v>
      </c>
      <c r="F322" s="23" t="n">
        <f aca="false">Test1_Hand!$B$4+E322*D322</f>
        <v>19.8044092621198</v>
      </c>
      <c r="G322" s="24" t="n">
        <f aca="false">Test1_Hand!$B$6*E322*D322+Test1_Hand!$B$7*MAX(0,F322-Test1_Hand!$B$5)</f>
        <v>30435.2740969586</v>
      </c>
      <c r="H322" s="2" t="n">
        <f aca="false">IF(B322&lt;Test1_Hand!$B$13,1,0)</f>
        <v>1</v>
      </c>
      <c r="I322" s="23" t="n">
        <f aca="false">Test1_Hand!$B$4+H322*D322</f>
        <v>19.8044092621198</v>
      </c>
      <c r="J322" s="24" t="n">
        <f aca="false">Test1_Hand!$B$6*H322*D322+Test1_Hand!$B$7*MAX(0,I322-Test1_Hand!$B$5)+Test1_Hand!$B$14</f>
        <v>36435.2740969586</v>
      </c>
    </row>
    <row r="323" customFormat="false" ht="15" hidden="false" customHeight="false" outlineLevel="0" collapsed="false">
      <c r="A323" s="2" t="n">
        <v>311</v>
      </c>
      <c r="B323" s="22" t="n">
        <v>0.574508667557768</v>
      </c>
      <c r="C323" s="22" t="n">
        <v>0.70251296609648</v>
      </c>
      <c r="D323" s="23" t="n">
        <f aca="false">BETAINV(C323,Test1_Hand!$B$21,Test1_Hand!$B$22,Test1_Hand!$B$9,Test1_Hand!$B$11)</f>
        <v>4.16030817987051</v>
      </c>
      <c r="E323" s="2" t="n">
        <f aca="false">IF(B323&lt;Test1_Hand!$B$12,1,0)</f>
        <v>0</v>
      </c>
      <c r="F323" s="23" t="n">
        <f aca="false">Test1_Hand!$B$4+E323*D323</f>
        <v>16</v>
      </c>
      <c r="G323" s="24" t="n">
        <f aca="false">Test1_Hand!$B$6*E323*D323+Test1_Hand!$B$7*MAX(0,F323-Test1_Hand!$B$5)</f>
        <v>0</v>
      </c>
      <c r="H323" s="2" t="n">
        <f aca="false">IF(B323&lt;Test1_Hand!$B$13,1,0)</f>
        <v>0</v>
      </c>
      <c r="I323" s="23" t="n">
        <f aca="false">Test1_Hand!$B$4+H323*D323</f>
        <v>16</v>
      </c>
      <c r="J323" s="24" t="n">
        <f aca="false">Test1_Hand!$B$6*H323*D323+Test1_Hand!$B$7*MAX(0,I323-Test1_Hand!$B$5)+Test1_Hand!$B$14</f>
        <v>6000</v>
      </c>
    </row>
    <row r="324" customFormat="false" ht="15" hidden="false" customHeight="false" outlineLevel="0" collapsed="false">
      <c r="A324" s="2" t="n">
        <v>312</v>
      </c>
      <c r="B324" s="22" t="n">
        <v>0.893939304730173</v>
      </c>
      <c r="C324" s="22" t="n">
        <v>0.768029901649898</v>
      </c>
      <c r="D324" s="23" t="n">
        <f aca="false">BETAINV(C324,Test1_Hand!$B$21,Test1_Hand!$B$22,Test1_Hand!$B$9,Test1_Hand!$B$11)</f>
        <v>4.46189933838433</v>
      </c>
      <c r="E324" s="2" t="n">
        <f aca="false">IF(B324&lt;Test1_Hand!$B$12,1,0)</f>
        <v>0</v>
      </c>
      <c r="F324" s="23" t="n">
        <f aca="false">Test1_Hand!$B$4+E324*D324</f>
        <v>16</v>
      </c>
      <c r="G324" s="24" t="n">
        <f aca="false">Test1_Hand!$B$6*E324*D324+Test1_Hand!$B$7*MAX(0,F324-Test1_Hand!$B$5)</f>
        <v>0</v>
      </c>
      <c r="H324" s="2" t="n">
        <f aca="false">IF(B324&lt;Test1_Hand!$B$13,1,0)</f>
        <v>0</v>
      </c>
      <c r="I324" s="23" t="n">
        <f aca="false">Test1_Hand!$B$4+H324*D324</f>
        <v>16</v>
      </c>
      <c r="J324" s="24" t="n">
        <f aca="false">Test1_Hand!$B$6*H324*D324+Test1_Hand!$B$7*MAX(0,I324-Test1_Hand!$B$5)+Test1_Hand!$B$14</f>
        <v>6000</v>
      </c>
    </row>
    <row r="325" customFormat="false" ht="15" hidden="false" customHeight="false" outlineLevel="0" collapsed="false">
      <c r="A325" s="2" t="n">
        <v>313</v>
      </c>
      <c r="B325" s="22" t="n">
        <v>0.610648358787073</v>
      </c>
      <c r="C325" s="22" t="n">
        <v>0.994134488859964</v>
      </c>
      <c r="D325" s="23" t="n">
        <f aca="false">BETAINV(C325,Test1_Hand!$B$21,Test1_Hand!$B$22,Test1_Hand!$B$9,Test1_Hand!$B$11)</f>
        <v>6.77513340701208</v>
      </c>
      <c r="E325" s="2" t="n">
        <f aca="false">IF(B325&lt;Test1_Hand!$B$12,1,0)</f>
        <v>0</v>
      </c>
      <c r="F325" s="23" t="n">
        <f aca="false">Test1_Hand!$B$4+E325*D325</f>
        <v>16</v>
      </c>
      <c r="G325" s="24" t="n">
        <f aca="false">Test1_Hand!$B$6*E325*D325+Test1_Hand!$B$7*MAX(0,F325-Test1_Hand!$B$5)</f>
        <v>0</v>
      </c>
      <c r="H325" s="2" t="n">
        <f aca="false">IF(B325&lt;Test1_Hand!$B$13,1,0)</f>
        <v>0</v>
      </c>
      <c r="I325" s="23" t="n">
        <f aca="false">Test1_Hand!$B$4+H325*D325</f>
        <v>16</v>
      </c>
      <c r="J325" s="24" t="n">
        <f aca="false">Test1_Hand!$B$6*H325*D325+Test1_Hand!$B$7*MAX(0,I325-Test1_Hand!$B$5)+Test1_Hand!$B$14</f>
        <v>6000</v>
      </c>
    </row>
    <row r="326" customFormat="false" ht="15" hidden="false" customHeight="false" outlineLevel="0" collapsed="false">
      <c r="A326" s="2" t="n">
        <v>314</v>
      </c>
      <c r="B326" s="22" t="n">
        <v>0.336757521643451</v>
      </c>
      <c r="C326" s="22" t="n">
        <v>0.240867983694762</v>
      </c>
      <c r="D326" s="23" t="n">
        <f aca="false">BETAINV(C326,Test1_Hand!$B$21,Test1_Hand!$B$22,Test1_Hand!$B$9,Test1_Hand!$B$11)</f>
        <v>2.47924012010376</v>
      </c>
      <c r="E326" s="2" t="n">
        <f aca="false">IF(B326&lt;Test1_Hand!$B$12,1,0)</f>
        <v>1</v>
      </c>
      <c r="F326" s="23" t="n">
        <f aca="false">Test1_Hand!$B$4+E326*D326</f>
        <v>18.4792401201038</v>
      </c>
      <c r="G326" s="24" t="n">
        <f aca="false">Test1_Hand!$B$6*E326*D326+Test1_Hand!$B$7*MAX(0,F326-Test1_Hand!$B$5)</f>
        <v>19833.9209608301</v>
      </c>
      <c r="H326" s="2" t="n">
        <f aca="false">IF(B326&lt;Test1_Hand!$B$13,1,0)</f>
        <v>0</v>
      </c>
      <c r="I326" s="23" t="n">
        <f aca="false">Test1_Hand!$B$4+H326*D326</f>
        <v>16</v>
      </c>
      <c r="J326" s="24" t="n">
        <f aca="false">Test1_Hand!$B$6*H326*D326+Test1_Hand!$B$7*MAX(0,I326-Test1_Hand!$B$5)+Test1_Hand!$B$14</f>
        <v>6000</v>
      </c>
    </row>
    <row r="327" customFormat="false" ht="15" hidden="false" customHeight="false" outlineLevel="0" collapsed="false">
      <c r="A327" s="2" t="n">
        <v>315</v>
      </c>
      <c r="B327" s="22" t="n">
        <v>0.268582236347049</v>
      </c>
      <c r="C327" s="22" t="n">
        <v>0.628266303344699</v>
      </c>
      <c r="D327" s="23" t="n">
        <f aca="false">BETAINV(C327,Test1_Hand!$B$21,Test1_Hand!$B$22,Test1_Hand!$B$9,Test1_Hand!$B$11)</f>
        <v>3.85584741027911</v>
      </c>
      <c r="E327" s="2" t="n">
        <f aca="false">IF(B327&lt;Test1_Hand!$B$12,1,0)</f>
        <v>1</v>
      </c>
      <c r="F327" s="23" t="n">
        <f aca="false">Test1_Hand!$B$4+E327*D327</f>
        <v>19.8558474102791</v>
      </c>
      <c r="G327" s="24" t="n">
        <f aca="false">Test1_Hand!$B$6*E327*D327+Test1_Hand!$B$7*MAX(0,F327-Test1_Hand!$B$5)</f>
        <v>30846.7792822329</v>
      </c>
      <c r="H327" s="2" t="n">
        <f aca="false">IF(B327&lt;Test1_Hand!$B$13,1,0)</f>
        <v>0</v>
      </c>
      <c r="I327" s="23" t="n">
        <f aca="false">Test1_Hand!$B$4+H327*D327</f>
        <v>16</v>
      </c>
      <c r="J327" s="24" t="n">
        <f aca="false">Test1_Hand!$B$6*H327*D327+Test1_Hand!$B$7*MAX(0,I327-Test1_Hand!$B$5)+Test1_Hand!$B$14</f>
        <v>6000</v>
      </c>
    </row>
    <row r="328" customFormat="false" ht="15" hidden="false" customHeight="false" outlineLevel="0" collapsed="false">
      <c r="A328" s="2" t="n">
        <v>316</v>
      </c>
      <c r="B328" s="22" t="n">
        <v>0.119510674985669</v>
      </c>
      <c r="C328" s="22" t="n">
        <v>0.407902481181445</v>
      </c>
      <c r="D328" s="23" t="n">
        <f aca="false">BETAINV(C328,Test1_Hand!$B$21,Test1_Hand!$B$22,Test1_Hand!$B$9,Test1_Hand!$B$11)</f>
        <v>3.06288375791349</v>
      </c>
      <c r="E328" s="2" t="n">
        <f aca="false">IF(B328&lt;Test1_Hand!$B$12,1,0)</f>
        <v>1</v>
      </c>
      <c r="F328" s="23" t="n">
        <f aca="false">Test1_Hand!$B$4+E328*D328</f>
        <v>19.0628837579135</v>
      </c>
      <c r="G328" s="24" t="n">
        <f aca="false">Test1_Hand!$B$6*E328*D328+Test1_Hand!$B$7*MAX(0,F328-Test1_Hand!$B$5)</f>
        <v>24503.0700633079</v>
      </c>
      <c r="H328" s="2" t="n">
        <f aca="false">IF(B328&lt;Test1_Hand!$B$13,1,0)</f>
        <v>1</v>
      </c>
      <c r="I328" s="23" t="n">
        <f aca="false">Test1_Hand!$B$4+H328*D328</f>
        <v>19.0628837579135</v>
      </c>
      <c r="J328" s="24" t="n">
        <f aca="false">Test1_Hand!$B$6*H328*D328+Test1_Hand!$B$7*MAX(0,I328-Test1_Hand!$B$5)+Test1_Hand!$B$14</f>
        <v>30503.0700633079</v>
      </c>
    </row>
    <row r="329" customFormat="false" ht="15" hidden="false" customHeight="false" outlineLevel="0" collapsed="false">
      <c r="A329" s="2" t="n">
        <v>317</v>
      </c>
      <c r="B329" s="22" t="n">
        <v>0.34432183420689</v>
      </c>
      <c r="C329" s="22" t="n">
        <v>0.119247342755544</v>
      </c>
      <c r="D329" s="23" t="n">
        <f aca="false">BETAINV(C329,Test1_Hand!$B$21,Test1_Hand!$B$22,Test1_Hand!$B$9,Test1_Hand!$B$11)</f>
        <v>1.99417983303343</v>
      </c>
      <c r="E329" s="2" t="n">
        <f aca="false">IF(B329&lt;Test1_Hand!$B$12,1,0)</f>
        <v>1</v>
      </c>
      <c r="F329" s="23" t="n">
        <f aca="false">Test1_Hand!$B$4+E329*D329</f>
        <v>17.9941798330334</v>
      </c>
      <c r="G329" s="24" t="n">
        <f aca="false">Test1_Hand!$B$6*E329*D329+Test1_Hand!$B$7*MAX(0,F329-Test1_Hand!$B$5)</f>
        <v>15953.4386642674</v>
      </c>
      <c r="H329" s="2" t="n">
        <f aca="false">IF(B329&lt;Test1_Hand!$B$13,1,0)</f>
        <v>0</v>
      </c>
      <c r="I329" s="23" t="n">
        <f aca="false">Test1_Hand!$B$4+H329*D329</f>
        <v>16</v>
      </c>
      <c r="J329" s="24" t="n">
        <f aca="false">Test1_Hand!$B$6*H329*D329+Test1_Hand!$B$7*MAX(0,I329-Test1_Hand!$B$5)+Test1_Hand!$B$14</f>
        <v>6000</v>
      </c>
    </row>
    <row r="330" customFormat="false" ht="15" hidden="false" customHeight="false" outlineLevel="0" collapsed="false">
      <c r="A330" s="2" t="n">
        <v>318</v>
      </c>
      <c r="B330" s="22" t="n">
        <v>0.829038932975197</v>
      </c>
      <c r="C330" s="22" t="n">
        <v>0.833882400766494</v>
      </c>
      <c r="D330" s="23" t="n">
        <f aca="false">BETAINV(C330,Test1_Hand!$B$21,Test1_Hand!$B$22,Test1_Hand!$B$9,Test1_Hand!$B$11)</f>
        <v>4.8169419589717</v>
      </c>
      <c r="E330" s="2" t="n">
        <f aca="false">IF(B330&lt;Test1_Hand!$B$12,1,0)</f>
        <v>0</v>
      </c>
      <c r="F330" s="23" t="n">
        <f aca="false">Test1_Hand!$B$4+E330*D330</f>
        <v>16</v>
      </c>
      <c r="G330" s="24" t="n">
        <f aca="false">Test1_Hand!$B$6*E330*D330+Test1_Hand!$B$7*MAX(0,F330-Test1_Hand!$B$5)</f>
        <v>0</v>
      </c>
      <c r="H330" s="2" t="n">
        <f aca="false">IF(B330&lt;Test1_Hand!$B$13,1,0)</f>
        <v>0</v>
      </c>
      <c r="I330" s="23" t="n">
        <f aca="false">Test1_Hand!$B$4+H330*D330</f>
        <v>16</v>
      </c>
      <c r="J330" s="24" t="n">
        <f aca="false">Test1_Hand!$B$6*H330*D330+Test1_Hand!$B$7*MAX(0,I330-Test1_Hand!$B$5)+Test1_Hand!$B$14</f>
        <v>6000</v>
      </c>
    </row>
    <row r="331" customFormat="false" ht="15" hidden="false" customHeight="false" outlineLevel="0" collapsed="false">
      <c r="A331" s="2" t="n">
        <v>319</v>
      </c>
      <c r="B331" s="22" t="n">
        <v>0.25139559560067</v>
      </c>
      <c r="C331" s="22" t="n">
        <v>0.089139900445131</v>
      </c>
      <c r="D331" s="23" t="n">
        <f aca="false">BETAINV(C331,Test1_Hand!$B$21,Test1_Hand!$B$22,Test1_Hand!$B$9,Test1_Hand!$B$11)</f>
        <v>1.85075387481218</v>
      </c>
      <c r="E331" s="2" t="n">
        <f aca="false">IF(B331&lt;Test1_Hand!$B$12,1,0)</f>
        <v>1</v>
      </c>
      <c r="F331" s="23" t="n">
        <f aca="false">Test1_Hand!$B$4+E331*D331</f>
        <v>17.8507538748122</v>
      </c>
      <c r="G331" s="24" t="n">
        <f aca="false">Test1_Hand!$B$6*E331*D331+Test1_Hand!$B$7*MAX(0,F331-Test1_Hand!$B$5)</f>
        <v>14806.0309984974</v>
      </c>
      <c r="H331" s="2" t="n">
        <f aca="false">IF(B331&lt;Test1_Hand!$B$13,1,0)</f>
        <v>0</v>
      </c>
      <c r="I331" s="23" t="n">
        <f aca="false">Test1_Hand!$B$4+H331*D331</f>
        <v>16</v>
      </c>
      <c r="J331" s="24" t="n">
        <f aca="false">Test1_Hand!$B$6*H331*D331+Test1_Hand!$B$7*MAX(0,I331-Test1_Hand!$B$5)+Test1_Hand!$B$14</f>
        <v>6000</v>
      </c>
    </row>
    <row r="332" customFormat="false" ht="15" hidden="false" customHeight="false" outlineLevel="0" collapsed="false">
      <c r="A332" s="2" t="n">
        <v>320</v>
      </c>
      <c r="B332" s="22" t="n">
        <v>0.627227294374669</v>
      </c>
      <c r="C332" s="22" t="n">
        <v>0.203999194199058</v>
      </c>
      <c r="D332" s="23" t="n">
        <f aca="false">BETAINV(C332,Test1_Hand!$B$21,Test1_Hand!$B$22,Test1_Hand!$B$9,Test1_Hand!$B$11)</f>
        <v>2.34196605646653</v>
      </c>
      <c r="E332" s="2" t="n">
        <f aca="false">IF(B332&lt;Test1_Hand!$B$12,1,0)</f>
        <v>0</v>
      </c>
      <c r="F332" s="23" t="n">
        <f aca="false">Test1_Hand!$B$4+E332*D332</f>
        <v>16</v>
      </c>
      <c r="G332" s="24" t="n">
        <f aca="false">Test1_Hand!$B$6*E332*D332+Test1_Hand!$B$7*MAX(0,F332-Test1_Hand!$B$5)</f>
        <v>0</v>
      </c>
      <c r="H332" s="2" t="n">
        <f aca="false">IF(B332&lt;Test1_Hand!$B$13,1,0)</f>
        <v>0</v>
      </c>
      <c r="I332" s="23" t="n">
        <f aca="false">Test1_Hand!$B$4+H332*D332</f>
        <v>16</v>
      </c>
      <c r="J332" s="24" t="n">
        <f aca="false">Test1_Hand!$B$6*H332*D332+Test1_Hand!$B$7*MAX(0,I332-Test1_Hand!$B$5)+Test1_Hand!$B$14</f>
        <v>6000</v>
      </c>
    </row>
    <row r="333" customFormat="false" ht="15" hidden="false" customHeight="false" outlineLevel="0" collapsed="false">
      <c r="A333" s="2" t="n">
        <v>321</v>
      </c>
      <c r="B333" s="22" t="n">
        <v>0.583508713905391</v>
      </c>
      <c r="C333" s="22" t="n">
        <v>0.390687251967077</v>
      </c>
      <c r="D333" s="23" t="n">
        <f aca="false">BETAINV(C333,Test1_Hand!$B$21,Test1_Hand!$B$22,Test1_Hand!$B$9,Test1_Hand!$B$11)</f>
        <v>3.0037613890511</v>
      </c>
      <c r="E333" s="2" t="n">
        <f aca="false">IF(B333&lt;Test1_Hand!$B$12,1,0)</f>
        <v>0</v>
      </c>
      <c r="F333" s="23" t="n">
        <f aca="false">Test1_Hand!$B$4+E333*D333</f>
        <v>16</v>
      </c>
      <c r="G333" s="24" t="n">
        <f aca="false">Test1_Hand!$B$6*E333*D333+Test1_Hand!$B$7*MAX(0,F333-Test1_Hand!$B$5)</f>
        <v>0</v>
      </c>
      <c r="H333" s="2" t="n">
        <f aca="false">IF(B333&lt;Test1_Hand!$B$13,1,0)</f>
        <v>0</v>
      </c>
      <c r="I333" s="23" t="n">
        <f aca="false">Test1_Hand!$B$4+H333*D333</f>
        <v>16</v>
      </c>
      <c r="J333" s="24" t="n">
        <f aca="false">Test1_Hand!$B$6*H333*D333+Test1_Hand!$B$7*MAX(0,I333-Test1_Hand!$B$5)+Test1_Hand!$B$14</f>
        <v>6000</v>
      </c>
    </row>
    <row r="334" customFormat="false" ht="15" hidden="false" customHeight="false" outlineLevel="0" collapsed="false">
      <c r="A334" s="2" t="n">
        <v>322</v>
      </c>
      <c r="B334" s="22" t="n">
        <v>0.860688930506806</v>
      </c>
      <c r="C334" s="22" t="n">
        <v>0.311753156396122</v>
      </c>
      <c r="D334" s="23" t="n">
        <f aca="false">BETAINV(C334,Test1_Hand!$B$21,Test1_Hand!$B$22,Test1_Hand!$B$9,Test1_Hand!$B$11)</f>
        <v>2.73140935337299</v>
      </c>
      <c r="E334" s="2" t="n">
        <f aca="false">IF(B334&lt;Test1_Hand!$B$12,1,0)</f>
        <v>0</v>
      </c>
      <c r="F334" s="23" t="n">
        <f aca="false">Test1_Hand!$B$4+E334*D334</f>
        <v>16</v>
      </c>
      <c r="G334" s="24" t="n">
        <f aca="false">Test1_Hand!$B$6*E334*D334+Test1_Hand!$B$7*MAX(0,F334-Test1_Hand!$B$5)</f>
        <v>0</v>
      </c>
      <c r="H334" s="2" t="n">
        <f aca="false">IF(B334&lt;Test1_Hand!$B$13,1,0)</f>
        <v>0</v>
      </c>
      <c r="I334" s="23" t="n">
        <f aca="false">Test1_Hand!$B$4+H334*D334</f>
        <v>16</v>
      </c>
      <c r="J334" s="24" t="n">
        <f aca="false">Test1_Hand!$B$6*H334*D334+Test1_Hand!$B$7*MAX(0,I334-Test1_Hand!$B$5)+Test1_Hand!$B$14</f>
        <v>6000</v>
      </c>
    </row>
    <row r="335" customFormat="false" ht="15" hidden="false" customHeight="false" outlineLevel="0" collapsed="false">
      <c r="A335" s="2" t="n">
        <v>323</v>
      </c>
      <c r="B335" s="22" t="n">
        <v>0.519783274887522</v>
      </c>
      <c r="C335" s="22" t="n">
        <v>0.0820786726391528</v>
      </c>
      <c r="D335" s="23" t="n">
        <f aca="false">BETAINV(C335,Test1_Hand!$B$21,Test1_Hand!$B$22,Test1_Hand!$B$9,Test1_Hand!$B$11)</f>
        <v>1.81451344985521</v>
      </c>
      <c r="E335" s="2" t="n">
        <f aca="false">IF(B335&lt;Test1_Hand!$B$12,1,0)</f>
        <v>0</v>
      </c>
      <c r="F335" s="23" t="n">
        <f aca="false">Test1_Hand!$B$4+E335*D335</f>
        <v>16</v>
      </c>
      <c r="G335" s="24" t="n">
        <f aca="false">Test1_Hand!$B$6*E335*D335+Test1_Hand!$B$7*MAX(0,F335-Test1_Hand!$B$5)</f>
        <v>0</v>
      </c>
      <c r="H335" s="2" t="n">
        <f aca="false">IF(B335&lt;Test1_Hand!$B$13,1,0)</f>
        <v>0</v>
      </c>
      <c r="I335" s="23" t="n">
        <f aca="false">Test1_Hand!$B$4+H335*D335</f>
        <v>16</v>
      </c>
      <c r="J335" s="24" t="n">
        <f aca="false">Test1_Hand!$B$6*H335*D335+Test1_Hand!$B$7*MAX(0,I335-Test1_Hand!$B$5)+Test1_Hand!$B$14</f>
        <v>6000</v>
      </c>
    </row>
    <row r="336" customFormat="false" ht="15" hidden="false" customHeight="false" outlineLevel="0" collapsed="false">
      <c r="A336" s="2" t="n">
        <v>324</v>
      </c>
      <c r="B336" s="22" t="n">
        <v>0.36444927897404</v>
      </c>
      <c r="C336" s="22" t="n">
        <v>0.902884137088116</v>
      </c>
      <c r="D336" s="23" t="n">
        <f aca="false">BETAINV(C336,Test1_Hand!$B$21,Test1_Hand!$B$22,Test1_Hand!$B$9,Test1_Hand!$B$11)</f>
        <v>5.29642210019311</v>
      </c>
      <c r="E336" s="2" t="n">
        <f aca="false">IF(B336&lt;Test1_Hand!$B$12,1,0)</f>
        <v>1</v>
      </c>
      <c r="F336" s="23" t="n">
        <f aca="false">Test1_Hand!$B$4+E336*D336</f>
        <v>21.2964221001931</v>
      </c>
      <c r="G336" s="24" t="n">
        <f aca="false">Test1_Hand!$B$6*E336*D336+Test1_Hand!$B$7*MAX(0,F336-Test1_Hand!$B$5)</f>
        <v>48853.4873025104</v>
      </c>
      <c r="H336" s="2" t="n">
        <f aca="false">IF(B336&lt;Test1_Hand!$B$13,1,0)</f>
        <v>0</v>
      </c>
      <c r="I336" s="23" t="n">
        <f aca="false">Test1_Hand!$B$4+H336*D336</f>
        <v>16</v>
      </c>
      <c r="J336" s="24" t="n">
        <f aca="false">Test1_Hand!$B$6*H336*D336+Test1_Hand!$B$7*MAX(0,I336-Test1_Hand!$B$5)+Test1_Hand!$B$14</f>
        <v>6000</v>
      </c>
    </row>
    <row r="337" customFormat="false" ht="15" hidden="false" customHeight="false" outlineLevel="0" collapsed="false">
      <c r="A337" s="2" t="n">
        <v>325</v>
      </c>
      <c r="B337" s="22" t="n">
        <v>0.145366929759706</v>
      </c>
      <c r="C337" s="22" t="n">
        <v>0.752863104734657</v>
      </c>
      <c r="D337" s="23" t="n">
        <f aca="false">BETAINV(C337,Test1_Hand!$B$21,Test1_Hand!$B$22,Test1_Hand!$B$9,Test1_Hand!$B$11)</f>
        <v>4.38846131486388</v>
      </c>
      <c r="E337" s="2" t="n">
        <f aca="false">IF(B337&lt;Test1_Hand!$B$12,1,0)</f>
        <v>1</v>
      </c>
      <c r="F337" s="23" t="n">
        <f aca="false">Test1_Hand!$B$4+E337*D337</f>
        <v>20.3884613148639</v>
      </c>
      <c r="G337" s="24" t="n">
        <f aca="false">Test1_Hand!$B$6*E337*D337+Test1_Hand!$B$7*MAX(0,F337-Test1_Hand!$B$5)</f>
        <v>37049.9970932305</v>
      </c>
      <c r="H337" s="2" t="n">
        <f aca="false">IF(B337&lt;Test1_Hand!$B$13,1,0)</f>
        <v>1</v>
      </c>
      <c r="I337" s="23" t="n">
        <f aca="false">Test1_Hand!$B$4+H337*D337</f>
        <v>20.3884613148639</v>
      </c>
      <c r="J337" s="24" t="n">
        <f aca="false">Test1_Hand!$B$6*H337*D337+Test1_Hand!$B$7*MAX(0,I337-Test1_Hand!$B$5)+Test1_Hand!$B$14</f>
        <v>43049.9970932305</v>
      </c>
    </row>
    <row r="338" customFormat="false" ht="15" hidden="false" customHeight="false" outlineLevel="0" collapsed="false">
      <c r="A338" s="2" t="n">
        <v>326</v>
      </c>
      <c r="B338" s="22" t="n">
        <v>0.450363728050774</v>
      </c>
      <c r="C338" s="22" t="n">
        <v>0.564330201445761</v>
      </c>
      <c r="D338" s="23" t="n">
        <f aca="false">BETAINV(C338,Test1_Hand!$B$21,Test1_Hand!$B$22,Test1_Hand!$B$9,Test1_Hand!$B$11)</f>
        <v>3.61393584096494</v>
      </c>
      <c r="E338" s="2" t="n">
        <f aca="false">IF(B338&lt;Test1_Hand!$B$12,1,0)</f>
        <v>1</v>
      </c>
      <c r="F338" s="23" t="n">
        <f aca="false">Test1_Hand!$B$4+E338*D338</f>
        <v>19.6139358409649</v>
      </c>
      <c r="G338" s="24" t="n">
        <f aca="false">Test1_Hand!$B$6*E338*D338+Test1_Hand!$B$7*MAX(0,F338-Test1_Hand!$B$5)</f>
        <v>28911.4867277196</v>
      </c>
      <c r="H338" s="2" t="n">
        <f aca="false">IF(B338&lt;Test1_Hand!$B$13,1,0)</f>
        <v>0</v>
      </c>
      <c r="I338" s="23" t="n">
        <f aca="false">Test1_Hand!$B$4+H338*D338</f>
        <v>16</v>
      </c>
      <c r="J338" s="24" t="n">
        <f aca="false">Test1_Hand!$B$6*H338*D338+Test1_Hand!$B$7*MAX(0,I338-Test1_Hand!$B$5)+Test1_Hand!$B$14</f>
        <v>6000</v>
      </c>
    </row>
    <row r="339" customFormat="false" ht="15" hidden="false" customHeight="false" outlineLevel="0" collapsed="false">
      <c r="A339" s="2" t="n">
        <v>327</v>
      </c>
      <c r="B339" s="22" t="n">
        <v>0.894515649157001</v>
      </c>
      <c r="C339" s="22" t="n">
        <v>0.901252897364707</v>
      </c>
      <c r="D339" s="23" t="n">
        <f aca="false">BETAINV(C339,Test1_Hand!$B$21,Test1_Hand!$B$22,Test1_Hand!$B$9,Test1_Hand!$B$11)</f>
        <v>5.282952440627</v>
      </c>
      <c r="E339" s="2" t="n">
        <f aca="false">IF(B339&lt;Test1_Hand!$B$12,1,0)</f>
        <v>0</v>
      </c>
      <c r="F339" s="23" t="n">
        <f aca="false">Test1_Hand!$B$4+E339*D339</f>
        <v>16</v>
      </c>
      <c r="G339" s="24" t="n">
        <f aca="false">Test1_Hand!$B$6*E339*D339+Test1_Hand!$B$7*MAX(0,F339-Test1_Hand!$B$5)</f>
        <v>0</v>
      </c>
      <c r="H339" s="2" t="n">
        <f aca="false">IF(B339&lt;Test1_Hand!$B$13,1,0)</f>
        <v>0</v>
      </c>
      <c r="I339" s="23" t="n">
        <f aca="false">Test1_Hand!$B$4+H339*D339</f>
        <v>16</v>
      </c>
      <c r="J339" s="24" t="n">
        <f aca="false">Test1_Hand!$B$6*H339*D339+Test1_Hand!$B$7*MAX(0,I339-Test1_Hand!$B$5)+Test1_Hand!$B$14</f>
        <v>6000</v>
      </c>
    </row>
    <row r="340" customFormat="false" ht="15" hidden="false" customHeight="false" outlineLevel="0" collapsed="false">
      <c r="A340" s="2" t="n">
        <v>328</v>
      </c>
      <c r="B340" s="22" t="n">
        <v>0.43584360432659</v>
      </c>
      <c r="C340" s="22" t="n">
        <v>0.993796833479421</v>
      </c>
      <c r="D340" s="23" t="n">
        <f aca="false">BETAINV(C340,Test1_Hand!$B$21,Test1_Hand!$B$22,Test1_Hand!$B$9,Test1_Hand!$B$11)</f>
        <v>6.75631673487161</v>
      </c>
      <c r="E340" s="2" t="n">
        <f aca="false">IF(B340&lt;Test1_Hand!$B$12,1,0)</f>
        <v>1</v>
      </c>
      <c r="F340" s="23" t="n">
        <f aca="false">Test1_Hand!$B$4+E340*D340</f>
        <v>22.7563167348716</v>
      </c>
      <c r="G340" s="24" t="n">
        <f aca="false">Test1_Hand!$B$6*E340*D340+Test1_Hand!$B$7*MAX(0,F340-Test1_Hand!$B$5)</f>
        <v>67832.1175533309</v>
      </c>
      <c r="H340" s="2" t="n">
        <f aca="false">IF(B340&lt;Test1_Hand!$B$13,1,0)</f>
        <v>0</v>
      </c>
      <c r="I340" s="23" t="n">
        <f aca="false">Test1_Hand!$B$4+H340*D340</f>
        <v>16</v>
      </c>
      <c r="J340" s="24" t="n">
        <f aca="false">Test1_Hand!$B$6*H340*D340+Test1_Hand!$B$7*MAX(0,I340-Test1_Hand!$B$5)+Test1_Hand!$B$14</f>
        <v>6000</v>
      </c>
    </row>
    <row r="341" customFormat="false" ht="15" hidden="false" customHeight="false" outlineLevel="0" collapsed="false">
      <c r="A341" s="2" t="n">
        <v>329</v>
      </c>
      <c r="B341" s="22" t="n">
        <v>0.284444111904733</v>
      </c>
      <c r="C341" s="22" t="n">
        <v>0.222852623259072</v>
      </c>
      <c r="D341" s="23" t="n">
        <f aca="false">BETAINV(C341,Test1_Hand!$B$21,Test1_Hand!$B$22,Test1_Hand!$B$9,Test1_Hand!$B$11)</f>
        <v>2.41286635316561</v>
      </c>
      <c r="E341" s="2" t="n">
        <f aca="false">IF(B341&lt;Test1_Hand!$B$12,1,0)</f>
        <v>1</v>
      </c>
      <c r="F341" s="23" t="n">
        <f aca="false">Test1_Hand!$B$4+E341*D341</f>
        <v>18.4128663531656</v>
      </c>
      <c r="G341" s="24" t="n">
        <f aca="false">Test1_Hand!$B$6*E341*D341+Test1_Hand!$B$7*MAX(0,F341-Test1_Hand!$B$5)</f>
        <v>19302.9308253249</v>
      </c>
      <c r="H341" s="2" t="n">
        <f aca="false">IF(B341&lt;Test1_Hand!$B$13,1,0)</f>
        <v>0</v>
      </c>
      <c r="I341" s="23" t="n">
        <f aca="false">Test1_Hand!$B$4+H341*D341</f>
        <v>16</v>
      </c>
      <c r="J341" s="24" t="n">
        <f aca="false">Test1_Hand!$B$6*H341*D341+Test1_Hand!$B$7*MAX(0,I341-Test1_Hand!$B$5)+Test1_Hand!$B$14</f>
        <v>6000</v>
      </c>
    </row>
    <row r="342" customFormat="false" ht="15" hidden="false" customHeight="false" outlineLevel="0" collapsed="false">
      <c r="A342" s="2" t="n">
        <v>330</v>
      </c>
      <c r="B342" s="22" t="n">
        <v>0.616215342066297</v>
      </c>
      <c r="C342" s="22" t="n">
        <v>0.590411998589669</v>
      </c>
      <c r="D342" s="23" t="n">
        <f aca="false">BETAINV(C342,Test1_Hand!$B$21,Test1_Hand!$B$22,Test1_Hand!$B$9,Test1_Hand!$B$11)</f>
        <v>3.71086448942155</v>
      </c>
      <c r="E342" s="2" t="n">
        <f aca="false">IF(B342&lt;Test1_Hand!$B$12,1,0)</f>
        <v>0</v>
      </c>
      <c r="F342" s="23" t="n">
        <f aca="false">Test1_Hand!$B$4+E342*D342</f>
        <v>16</v>
      </c>
      <c r="G342" s="24" t="n">
        <f aca="false">Test1_Hand!$B$6*E342*D342+Test1_Hand!$B$7*MAX(0,F342-Test1_Hand!$B$5)</f>
        <v>0</v>
      </c>
      <c r="H342" s="2" t="n">
        <f aca="false">IF(B342&lt;Test1_Hand!$B$13,1,0)</f>
        <v>0</v>
      </c>
      <c r="I342" s="23" t="n">
        <f aca="false">Test1_Hand!$B$4+H342*D342</f>
        <v>16</v>
      </c>
      <c r="J342" s="24" t="n">
        <f aca="false">Test1_Hand!$B$6*H342*D342+Test1_Hand!$B$7*MAX(0,I342-Test1_Hand!$B$5)+Test1_Hand!$B$14</f>
        <v>6000</v>
      </c>
    </row>
    <row r="343" customFormat="false" ht="15" hidden="false" customHeight="false" outlineLevel="0" collapsed="false">
      <c r="A343" s="2" t="n">
        <v>331</v>
      </c>
      <c r="B343" s="22" t="n">
        <v>0.52068595793606</v>
      </c>
      <c r="C343" s="22" t="n">
        <v>0.307064922985946</v>
      </c>
      <c r="D343" s="23" t="n">
        <f aca="false">BETAINV(C343,Test1_Hand!$B$21,Test1_Hand!$B$22,Test1_Hand!$B$9,Test1_Hand!$B$11)</f>
        <v>2.71504850577604</v>
      </c>
      <c r="E343" s="2" t="n">
        <f aca="false">IF(B343&lt;Test1_Hand!$B$12,1,0)</f>
        <v>0</v>
      </c>
      <c r="F343" s="23" t="n">
        <f aca="false">Test1_Hand!$B$4+E343*D343</f>
        <v>16</v>
      </c>
      <c r="G343" s="24" t="n">
        <f aca="false">Test1_Hand!$B$6*E343*D343+Test1_Hand!$B$7*MAX(0,F343-Test1_Hand!$B$5)</f>
        <v>0</v>
      </c>
      <c r="H343" s="2" t="n">
        <f aca="false">IF(B343&lt;Test1_Hand!$B$13,1,0)</f>
        <v>0</v>
      </c>
      <c r="I343" s="23" t="n">
        <f aca="false">Test1_Hand!$B$4+H343*D343</f>
        <v>16</v>
      </c>
      <c r="J343" s="24" t="n">
        <f aca="false">Test1_Hand!$B$6*H343*D343+Test1_Hand!$B$7*MAX(0,I343-Test1_Hand!$B$5)+Test1_Hand!$B$14</f>
        <v>6000</v>
      </c>
    </row>
    <row r="344" customFormat="false" ht="15" hidden="false" customHeight="false" outlineLevel="0" collapsed="false">
      <c r="A344" s="2" t="n">
        <v>332</v>
      </c>
      <c r="B344" s="22" t="n">
        <v>0.433369024043889</v>
      </c>
      <c r="C344" s="22" t="n">
        <v>0.546446617388482</v>
      </c>
      <c r="D344" s="23" t="n">
        <f aca="false">BETAINV(C344,Test1_Hand!$B$21,Test1_Hand!$B$22,Test1_Hand!$B$9,Test1_Hand!$B$11)</f>
        <v>3.54863582398869</v>
      </c>
      <c r="E344" s="2" t="n">
        <f aca="false">IF(B344&lt;Test1_Hand!$B$12,1,0)</f>
        <v>1</v>
      </c>
      <c r="F344" s="23" t="n">
        <f aca="false">Test1_Hand!$B$4+E344*D344</f>
        <v>19.5486358239887</v>
      </c>
      <c r="G344" s="24" t="n">
        <f aca="false">Test1_Hand!$B$6*E344*D344+Test1_Hand!$B$7*MAX(0,F344-Test1_Hand!$B$5)</f>
        <v>28389.0865919095</v>
      </c>
      <c r="H344" s="2" t="n">
        <f aca="false">IF(B344&lt;Test1_Hand!$B$13,1,0)</f>
        <v>0</v>
      </c>
      <c r="I344" s="23" t="n">
        <f aca="false">Test1_Hand!$B$4+H344*D344</f>
        <v>16</v>
      </c>
      <c r="J344" s="24" t="n">
        <f aca="false">Test1_Hand!$B$6*H344*D344+Test1_Hand!$B$7*MAX(0,I344-Test1_Hand!$B$5)+Test1_Hand!$B$14</f>
        <v>6000</v>
      </c>
    </row>
    <row r="345" customFormat="false" ht="15" hidden="false" customHeight="false" outlineLevel="0" collapsed="false">
      <c r="A345" s="2" t="n">
        <v>333</v>
      </c>
      <c r="B345" s="22" t="n">
        <v>0.0265868777968822</v>
      </c>
      <c r="C345" s="22" t="n">
        <v>0.0649638896110282</v>
      </c>
      <c r="D345" s="23" t="n">
        <f aca="false">BETAINV(C345,Test1_Hand!$B$21,Test1_Hand!$B$22,Test1_Hand!$B$9,Test1_Hand!$B$11)</f>
        <v>1.72095060719346</v>
      </c>
      <c r="E345" s="2" t="n">
        <f aca="false">IF(B345&lt;Test1_Hand!$B$12,1,0)</f>
        <v>1</v>
      </c>
      <c r="F345" s="23" t="n">
        <f aca="false">Test1_Hand!$B$4+E345*D345</f>
        <v>17.7209506071935</v>
      </c>
      <c r="G345" s="24" t="n">
        <f aca="false">Test1_Hand!$B$6*E345*D345+Test1_Hand!$B$7*MAX(0,F345-Test1_Hand!$B$5)</f>
        <v>13767.6048575477</v>
      </c>
      <c r="H345" s="2" t="n">
        <f aca="false">IF(B345&lt;Test1_Hand!$B$13,1,0)</f>
        <v>1</v>
      </c>
      <c r="I345" s="23" t="n">
        <f aca="false">Test1_Hand!$B$4+H345*D345</f>
        <v>17.7209506071935</v>
      </c>
      <c r="J345" s="24" t="n">
        <f aca="false">Test1_Hand!$B$6*H345*D345+Test1_Hand!$B$7*MAX(0,I345-Test1_Hand!$B$5)+Test1_Hand!$B$14</f>
        <v>19767.6048575477</v>
      </c>
    </row>
    <row r="346" customFormat="false" ht="15" hidden="false" customHeight="false" outlineLevel="0" collapsed="false">
      <c r="A346" s="2" t="n">
        <v>334</v>
      </c>
      <c r="B346" s="22" t="n">
        <v>0.0386023152764246</v>
      </c>
      <c r="C346" s="22" t="n">
        <v>0.838953571071925</v>
      </c>
      <c r="D346" s="23" t="n">
        <f aca="false">BETAINV(C346,Test1_Hand!$B$21,Test1_Hand!$B$22,Test1_Hand!$B$9,Test1_Hand!$B$11)</f>
        <v>4.84744775108169</v>
      </c>
      <c r="E346" s="2" t="n">
        <f aca="false">IF(B346&lt;Test1_Hand!$B$12,1,0)</f>
        <v>1</v>
      </c>
      <c r="F346" s="23" t="n">
        <f aca="false">Test1_Hand!$B$4+E346*D346</f>
        <v>20.8474477510817</v>
      </c>
      <c r="G346" s="24" t="n">
        <f aca="false">Test1_Hand!$B$6*E346*D346+Test1_Hand!$B$7*MAX(0,F346-Test1_Hand!$B$5)</f>
        <v>43016.820764062</v>
      </c>
      <c r="H346" s="2" t="n">
        <f aca="false">IF(B346&lt;Test1_Hand!$B$13,1,0)</f>
        <v>1</v>
      </c>
      <c r="I346" s="23" t="n">
        <f aca="false">Test1_Hand!$B$4+H346*D346</f>
        <v>20.8474477510817</v>
      </c>
      <c r="J346" s="24" t="n">
        <f aca="false">Test1_Hand!$B$6*H346*D346+Test1_Hand!$B$7*MAX(0,I346-Test1_Hand!$B$5)+Test1_Hand!$B$14</f>
        <v>49016.820764062</v>
      </c>
    </row>
    <row r="347" customFormat="false" ht="15" hidden="false" customHeight="false" outlineLevel="0" collapsed="false">
      <c r="A347" s="2" t="n">
        <v>335</v>
      </c>
      <c r="B347" s="22" t="n">
        <v>0.619904995843574</v>
      </c>
      <c r="C347" s="22" t="n">
        <v>0.313286400354516</v>
      </c>
      <c r="D347" s="23" t="n">
        <f aca="false">BETAINV(C347,Test1_Hand!$B$21,Test1_Hand!$B$22,Test1_Hand!$B$9,Test1_Hand!$B$11)</f>
        <v>2.73675308204613</v>
      </c>
      <c r="E347" s="2" t="n">
        <f aca="false">IF(B347&lt;Test1_Hand!$B$12,1,0)</f>
        <v>0</v>
      </c>
      <c r="F347" s="23" t="n">
        <f aca="false">Test1_Hand!$B$4+E347*D347</f>
        <v>16</v>
      </c>
      <c r="G347" s="24" t="n">
        <f aca="false">Test1_Hand!$B$6*E347*D347+Test1_Hand!$B$7*MAX(0,F347-Test1_Hand!$B$5)</f>
        <v>0</v>
      </c>
      <c r="H347" s="2" t="n">
        <f aca="false">IF(B347&lt;Test1_Hand!$B$13,1,0)</f>
        <v>0</v>
      </c>
      <c r="I347" s="23" t="n">
        <f aca="false">Test1_Hand!$B$4+H347*D347</f>
        <v>16</v>
      </c>
      <c r="J347" s="24" t="n">
        <f aca="false">Test1_Hand!$B$6*H347*D347+Test1_Hand!$B$7*MAX(0,I347-Test1_Hand!$B$5)+Test1_Hand!$B$14</f>
        <v>6000</v>
      </c>
    </row>
    <row r="348" customFormat="false" ht="15" hidden="false" customHeight="false" outlineLevel="0" collapsed="false">
      <c r="A348" s="2" t="n">
        <v>336</v>
      </c>
      <c r="B348" s="22" t="n">
        <v>0.574473843363438</v>
      </c>
      <c r="C348" s="22" t="n">
        <v>0.877273320790986</v>
      </c>
      <c r="D348" s="23" t="n">
        <f aca="false">BETAINV(C348,Test1_Hand!$B$21,Test1_Hand!$B$22,Test1_Hand!$B$9,Test1_Hand!$B$11)</f>
        <v>5.09937067430453</v>
      </c>
      <c r="E348" s="2" t="n">
        <f aca="false">IF(B348&lt;Test1_Hand!$B$12,1,0)</f>
        <v>0</v>
      </c>
      <c r="F348" s="23" t="n">
        <f aca="false">Test1_Hand!$B$4+E348*D348</f>
        <v>16</v>
      </c>
      <c r="G348" s="24" t="n">
        <f aca="false">Test1_Hand!$B$6*E348*D348+Test1_Hand!$B$7*MAX(0,F348-Test1_Hand!$B$5)</f>
        <v>0</v>
      </c>
      <c r="H348" s="2" t="n">
        <f aca="false">IF(B348&lt;Test1_Hand!$B$13,1,0)</f>
        <v>0</v>
      </c>
      <c r="I348" s="23" t="n">
        <f aca="false">Test1_Hand!$B$4+H348*D348</f>
        <v>16</v>
      </c>
      <c r="J348" s="24" t="n">
        <f aca="false">Test1_Hand!$B$6*H348*D348+Test1_Hand!$B$7*MAX(0,I348-Test1_Hand!$B$5)+Test1_Hand!$B$14</f>
        <v>6000</v>
      </c>
    </row>
    <row r="349" customFormat="false" ht="15" hidden="false" customHeight="false" outlineLevel="0" collapsed="false">
      <c r="A349" s="2" t="n">
        <v>337</v>
      </c>
      <c r="B349" s="22" t="n">
        <v>0.0996069257321979</v>
      </c>
      <c r="C349" s="22" t="n">
        <v>0.196303731645409</v>
      </c>
      <c r="D349" s="23" t="n">
        <f aca="false">BETAINV(C349,Test1_Hand!$B$21,Test1_Hand!$B$22,Test1_Hand!$B$9,Test1_Hand!$B$11)</f>
        <v>2.31253263896618</v>
      </c>
      <c r="E349" s="2" t="n">
        <f aca="false">IF(B349&lt;Test1_Hand!$B$12,1,0)</f>
        <v>1</v>
      </c>
      <c r="F349" s="23" t="n">
        <f aca="false">Test1_Hand!$B$4+E349*D349</f>
        <v>18.3125326389662</v>
      </c>
      <c r="G349" s="24" t="n">
        <f aca="false">Test1_Hand!$B$6*E349*D349+Test1_Hand!$B$7*MAX(0,F349-Test1_Hand!$B$5)</f>
        <v>18500.2611117294</v>
      </c>
      <c r="H349" s="2" t="n">
        <f aca="false">IF(B349&lt;Test1_Hand!$B$13,1,0)</f>
        <v>1</v>
      </c>
      <c r="I349" s="23" t="n">
        <f aca="false">Test1_Hand!$B$4+H349*D349</f>
        <v>18.3125326389662</v>
      </c>
      <c r="J349" s="24" t="n">
        <f aca="false">Test1_Hand!$B$6*H349*D349+Test1_Hand!$B$7*MAX(0,I349-Test1_Hand!$B$5)+Test1_Hand!$B$14</f>
        <v>24500.2611117294</v>
      </c>
    </row>
    <row r="350" customFormat="false" ht="15" hidden="false" customHeight="false" outlineLevel="0" collapsed="false">
      <c r="A350" s="2" t="n">
        <v>338</v>
      </c>
      <c r="B350" s="22" t="n">
        <v>0.329823964727576</v>
      </c>
      <c r="C350" s="22" t="n">
        <v>0.458182218650349</v>
      </c>
      <c r="D350" s="23" t="n">
        <f aca="false">BETAINV(C350,Test1_Hand!$B$21,Test1_Hand!$B$22,Test1_Hand!$B$9,Test1_Hand!$B$11)</f>
        <v>3.23634420501804</v>
      </c>
      <c r="E350" s="2" t="n">
        <f aca="false">IF(B350&lt;Test1_Hand!$B$12,1,0)</f>
        <v>1</v>
      </c>
      <c r="F350" s="23" t="n">
        <f aca="false">Test1_Hand!$B$4+E350*D350</f>
        <v>19.236344205018</v>
      </c>
      <c r="G350" s="24" t="n">
        <f aca="false">Test1_Hand!$B$6*E350*D350+Test1_Hand!$B$7*MAX(0,F350-Test1_Hand!$B$5)</f>
        <v>25890.7536401443</v>
      </c>
      <c r="H350" s="2" t="n">
        <f aca="false">IF(B350&lt;Test1_Hand!$B$13,1,0)</f>
        <v>0</v>
      </c>
      <c r="I350" s="23" t="n">
        <f aca="false">Test1_Hand!$B$4+H350*D350</f>
        <v>16</v>
      </c>
      <c r="J350" s="24" t="n">
        <f aca="false">Test1_Hand!$B$6*H350*D350+Test1_Hand!$B$7*MAX(0,I350-Test1_Hand!$B$5)+Test1_Hand!$B$14</f>
        <v>6000</v>
      </c>
    </row>
    <row r="351" customFormat="false" ht="15" hidden="false" customHeight="false" outlineLevel="0" collapsed="false">
      <c r="A351" s="2" t="n">
        <v>339</v>
      </c>
      <c r="B351" s="22" t="n">
        <v>0.358044110013151</v>
      </c>
      <c r="C351" s="22" t="n">
        <v>0.848446845063874</v>
      </c>
      <c r="D351" s="23" t="n">
        <f aca="false">BETAINV(C351,Test1_Hand!$B$21,Test1_Hand!$B$22,Test1_Hand!$B$9,Test1_Hand!$B$11)</f>
        <v>4.90613438290791</v>
      </c>
      <c r="E351" s="2" t="n">
        <f aca="false">IF(B351&lt;Test1_Hand!$B$12,1,0)</f>
        <v>1</v>
      </c>
      <c r="F351" s="23" t="n">
        <f aca="false">Test1_Hand!$B$4+E351*D351</f>
        <v>20.9061343829079</v>
      </c>
      <c r="G351" s="24" t="n">
        <f aca="false">Test1_Hand!$B$6*E351*D351+Test1_Hand!$B$7*MAX(0,F351-Test1_Hand!$B$5)</f>
        <v>43779.7469778028</v>
      </c>
      <c r="H351" s="2" t="n">
        <f aca="false">IF(B351&lt;Test1_Hand!$B$13,1,0)</f>
        <v>0</v>
      </c>
      <c r="I351" s="23" t="n">
        <f aca="false">Test1_Hand!$B$4+H351*D351</f>
        <v>16</v>
      </c>
      <c r="J351" s="24" t="n">
        <f aca="false">Test1_Hand!$B$6*H351*D351+Test1_Hand!$B$7*MAX(0,I351-Test1_Hand!$B$5)+Test1_Hand!$B$14</f>
        <v>6000</v>
      </c>
    </row>
    <row r="352" customFormat="false" ht="15" hidden="false" customHeight="false" outlineLevel="0" collapsed="false">
      <c r="A352" s="2" t="n">
        <v>340</v>
      </c>
      <c r="B352" s="22" t="n">
        <v>0.545513945302167</v>
      </c>
      <c r="C352" s="22" t="n">
        <v>0.076428880067584</v>
      </c>
      <c r="D352" s="23" t="n">
        <f aca="false">BETAINV(C352,Test1_Hand!$B$21,Test1_Hand!$B$22,Test1_Hand!$B$9,Test1_Hand!$B$11)</f>
        <v>1.78460312941984</v>
      </c>
      <c r="E352" s="2" t="n">
        <f aca="false">IF(B352&lt;Test1_Hand!$B$12,1,0)</f>
        <v>0</v>
      </c>
      <c r="F352" s="23" t="n">
        <f aca="false">Test1_Hand!$B$4+E352*D352</f>
        <v>16</v>
      </c>
      <c r="G352" s="24" t="n">
        <f aca="false">Test1_Hand!$B$6*E352*D352+Test1_Hand!$B$7*MAX(0,F352-Test1_Hand!$B$5)</f>
        <v>0</v>
      </c>
      <c r="H352" s="2" t="n">
        <f aca="false">IF(B352&lt;Test1_Hand!$B$13,1,0)</f>
        <v>0</v>
      </c>
      <c r="I352" s="23" t="n">
        <f aca="false">Test1_Hand!$B$4+H352*D352</f>
        <v>16</v>
      </c>
      <c r="J352" s="24" t="n">
        <f aca="false">Test1_Hand!$B$6*H352*D352+Test1_Hand!$B$7*MAX(0,I352-Test1_Hand!$B$5)+Test1_Hand!$B$14</f>
        <v>6000</v>
      </c>
    </row>
    <row r="353" customFormat="false" ht="15" hidden="false" customHeight="false" outlineLevel="0" collapsed="false">
      <c r="A353" s="2" t="n">
        <v>341</v>
      </c>
      <c r="B353" s="22" t="n">
        <v>0.263013528641065</v>
      </c>
      <c r="C353" s="22" t="n">
        <v>0.507196539798531</v>
      </c>
      <c r="D353" s="23" t="n">
        <f aca="false">BETAINV(C353,Test1_Hand!$B$21,Test1_Hand!$B$22,Test1_Hand!$B$9,Test1_Hand!$B$11)</f>
        <v>3.40802892456759</v>
      </c>
      <c r="E353" s="2" t="n">
        <f aca="false">IF(B353&lt;Test1_Hand!$B$12,1,0)</f>
        <v>1</v>
      </c>
      <c r="F353" s="23" t="n">
        <f aca="false">Test1_Hand!$B$4+E353*D353</f>
        <v>19.4080289245676</v>
      </c>
      <c r="G353" s="24" t="n">
        <f aca="false">Test1_Hand!$B$6*E353*D353+Test1_Hand!$B$7*MAX(0,F353-Test1_Hand!$B$5)</f>
        <v>27264.2313965407</v>
      </c>
      <c r="H353" s="2" t="n">
        <f aca="false">IF(B353&lt;Test1_Hand!$B$13,1,0)</f>
        <v>0</v>
      </c>
      <c r="I353" s="23" t="n">
        <f aca="false">Test1_Hand!$B$4+H353*D353</f>
        <v>16</v>
      </c>
      <c r="J353" s="24" t="n">
        <f aca="false">Test1_Hand!$B$6*H353*D353+Test1_Hand!$B$7*MAX(0,I353-Test1_Hand!$B$5)+Test1_Hand!$B$14</f>
        <v>6000</v>
      </c>
    </row>
    <row r="354" customFormat="false" ht="15" hidden="false" customHeight="false" outlineLevel="0" collapsed="false">
      <c r="A354" s="2" t="n">
        <v>342</v>
      </c>
      <c r="B354" s="22" t="n">
        <v>0.758968329776108</v>
      </c>
      <c r="C354" s="22" t="n">
        <v>0.628729568712548</v>
      </c>
      <c r="D354" s="23" t="n">
        <f aca="false">BETAINV(C354,Test1_Hand!$B$21,Test1_Hand!$B$22,Test1_Hand!$B$9,Test1_Hand!$B$11)</f>
        <v>3.85765796375679</v>
      </c>
      <c r="E354" s="2" t="n">
        <f aca="false">IF(B354&lt;Test1_Hand!$B$12,1,0)</f>
        <v>0</v>
      </c>
      <c r="F354" s="23" t="n">
        <f aca="false">Test1_Hand!$B$4+E354*D354</f>
        <v>16</v>
      </c>
      <c r="G354" s="24" t="n">
        <f aca="false">Test1_Hand!$B$6*E354*D354+Test1_Hand!$B$7*MAX(0,F354-Test1_Hand!$B$5)</f>
        <v>0</v>
      </c>
      <c r="H354" s="2" t="n">
        <f aca="false">IF(B354&lt;Test1_Hand!$B$13,1,0)</f>
        <v>0</v>
      </c>
      <c r="I354" s="23" t="n">
        <f aca="false">Test1_Hand!$B$4+H354*D354</f>
        <v>16</v>
      </c>
      <c r="J354" s="24" t="n">
        <f aca="false">Test1_Hand!$B$6*H354*D354+Test1_Hand!$B$7*MAX(0,I354-Test1_Hand!$B$5)+Test1_Hand!$B$14</f>
        <v>6000</v>
      </c>
    </row>
    <row r="355" customFormat="false" ht="15" hidden="false" customHeight="false" outlineLevel="0" collapsed="false">
      <c r="A355" s="2" t="n">
        <v>343</v>
      </c>
      <c r="B355" s="22" t="n">
        <v>0.99615551409509</v>
      </c>
      <c r="C355" s="22" t="n">
        <v>0.322497660820312</v>
      </c>
      <c r="D355" s="23" t="n">
        <f aca="false">BETAINV(C355,Test1_Hand!$B$21,Test1_Hand!$B$22,Test1_Hand!$B$9,Test1_Hand!$B$11)</f>
        <v>2.76879005872396</v>
      </c>
      <c r="E355" s="2" t="n">
        <f aca="false">IF(B355&lt;Test1_Hand!$B$12,1,0)</f>
        <v>0</v>
      </c>
      <c r="F355" s="23" t="n">
        <f aca="false">Test1_Hand!$B$4+E355*D355</f>
        <v>16</v>
      </c>
      <c r="G355" s="24" t="n">
        <f aca="false">Test1_Hand!$B$6*E355*D355+Test1_Hand!$B$7*MAX(0,F355-Test1_Hand!$B$5)</f>
        <v>0</v>
      </c>
      <c r="H355" s="2" t="n">
        <f aca="false">IF(B355&lt;Test1_Hand!$B$13,1,0)</f>
        <v>0</v>
      </c>
      <c r="I355" s="23" t="n">
        <f aca="false">Test1_Hand!$B$4+H355*D355</f>
        <v>16</v>
      </c>
      <c r="J355" s="24" t="n">
        <f aca="false">Test1_Hand!$B$6*H355*D355+Test1_Hand!$B$7*MAX(0,I355-Test1_Hand!$B$5)+Test1_Hand!$B$14</f>
        <v>6000</v>
      </c>
    </row>
    <row r="356" customFormat="false" ht="15" hidden="false" customHeight="false" outlineLevel="0" collapsed="false">
      <c r="A356" s="2" t="n">
        <v>344</v>
      </c>
      <c r="B356" s="22" t="n">
        <v>0.619913847544405</v>
      </c>
      <c r="C356" s="22" t="n">
        <v>0.95923039271198</v>
      </c>
      <c r="D356" s="23" t="n">
        <f aca="false">BETAINV(C356,Test1_Hand!$B$21,Test1_Hand!$B$22,Test1_Hand!$B$9,Test1_Hand!$B$11)</f>
        <v>5.90048200309683</v>
      </c>
      <c r="E356" s="2" t="n">
        <f aca="false">IF(B356&lt;Test1_Hand!$B$12,1,0)</f>
        <v>0</v>
      </c>
      <c r="F356" s="23" t="n">
        <f aca="false">Test1_Hand!$B$4+E356*D356</f>
        <v>16</v>
      </c>
      <c r="G356" s="24" t="n">
        <f aca="false">Test1_Hand!$B$6*E356*D356+Test1_Hand!$B$7*MAX(0,F356-Test1_Hand!$B$5)</f>
        <v>0</v>
      </c>
      <c r="H356" s="2" t="n">
        <f aca="false">IF(B356&lt;Test1_Hand!$B$13,1,0)</f>
        <v>0</v>
      </c>
      <c r="I356" s="23" t="n">
        <f aca="false">Test1_Hand!$B$4+H356*D356</f>
        <v>16</v>
      </c>
      <c r="J356" s="24" t="n">
        <f aca="false">Test1_Hand!$B$6*H356*D356+Test1_Hand!$B$7*MAX(0,I356-Test1_Hand!$B$5)+Test1_Hand!$B$14</f>
        <v>6000</v>
      </c>
    </row>
    <row r="357" customFormat="false" ht="15" hidden="false" customHeight="false" outlineLevel="0" collapsed="false">
      <c r="A357" s="2" t="n">
        <v>345</v>
      </c>
      <c r="B357" s="22" t="n">
        <v>0.447590042957237</v>
      </c>
      <c r="C357" s="22" t="n">
        <v>0.161067524371096</v>
      </c>
      <c r="D357" s="23" t="n">
        <f aca="false">BETAINV(C357,Test1_Hand!$B$21,Test1_Hand!$B$22,Test1_Hand!$B$9,Test1_Hand!$B$11)</f>
        <v>2.1731861776637</v>
      </c>
      <c r="E357" s="2" t="n">
        <f aca="false">IF(B357&lt;Test1_Hand!$B$12,1,0)</f>
        <v>1</v>
      </c>
      <c r="F357" s="23" t="n">
        <f aca="false">Test1_Hand!$B$4+E357*D357</f>
        <v>18.1731861776637</v>
      </c>
      <c r="G357" s="24" t="n">
        <f aca="false">Test1_Hand!$B$6*E357*D357+Test1_Hand!$B$7*MAX(0,F357-Test1_Hand!$B$5)</f>
        <v>17385.4894213096</v>
      </c>
      <c r="H357" s="2" t="n">
        <f aca="false">IF(B357&lt;Test1_Hand!$B$13,1,0)</f>
        <v>0</v>
      </c>
      <c r="I357" s="23" t="n">
        <f aca="false">Test1_Hand!$B$4+H357*D357</f>
        <v>16</v>
      </c>
      <c r="J357" s="24" t="n">
        <f aca="false">Test1_Hand!$B$6*H357*D357+Test1_Hand!$B$7*MAX(0,I357-Test1_Hand!$B$5)+Test1_Hand!$B$14</f>
        <v>6000</v>
      </c>
    </row>
    <row r="358" customFormat="false" ht="15" hidden="false" customHeight="false" outlineLevel="0" collapsed="false">
      <c r="A358" s="2" t="n">
        <v>346</v>
      </c>
      <c r="B358" s="22" t="n">
        <v>0.229778150431647</v>
      </c>
      <c r="C358" s="22" t="n">
        <v>0.4028159652399</v>
      </c>
      <c r="D358" s="23" t="n">
        <f aca="false">BETAINV(C358,Test1_Hand!$B$21,Test1_Hand!$B$22,Test1_Hand!$B$9,Test1_Hand!$B$11)</f>
        <v>3.04540973415164</v>
      </c>
      <c r="E358" s="2" t="n">
        <f aca="false">IF(B358&lt;Test1_Hand!$B$12,1,0)</f>
        <v>1</v>
      </c>
      <c r="F358" s="23" t="n">
        <f aca="false">Test1_Hand!$B$4+E358*D358</f>
        <v>19.0454097341516</v>
      </c>
      <c r="G358" s="24" t="n">
        <f aca="false">Test1_Hand!$B$6*E358*D358+Test1_Hand!$B$7*MAX(0,F358-Test1_Hand!$B$5)</f>
        <v>24363.2778732131</v>
      </c>
      <c r="H358" s="2" t="n">
        <f aca="false">IF(B358&lt;Test1_Hand!$B$13,1,0)</f>
        <v>0</v>
      </c>
      <c r="I358" s="23" t="n">
        <f aca="false">Test1_Hand!$B$4+H358*D358</f>
        <v>16</v>
      </c>
      <c r="J358" s="24" t="n">
        <f aca="false">Test1_Hand!$B$6*H358*D358+Test1_Hand!$B$7*MAX(0,I358-Test1_Hand!$B$5)+Test1_Hand!$B$14</f>
        <v>6000</v>
      </c>
    </row>
    <row r="359" customFormat="false" ht="15" hidden="false" customHeight="false" outlineLevel="0" collapsed="false">
      <c r="A359" s="2" t="n">
        <v>347</v>
      </c>
      <c r="B359" s="22" t="n">
        <v>0.124721652393996</v>
      </c>
      <c r="C359" s="22" t="n">
        <v>0.475151722119247</v>
      </c>
      <c r="D359" s="23" t="n">
        <f aca="false">BETAINV(C359,Test1_Hand!$B$21,Test1_Hand!$B$22,Test1_Hand!$B$9,Test1_Hand!$B$11)</f>
        <v>3.29539966120796</v>
      </c>
      <c r="E359" s="2" t="n">
        <f aca="false">IF(B359&lt;Test1_Hand!$B$12,1,0)</f>
        <v>1</v>
      </c>
      <c r="F359" s="23" t="n">
        <f aca="false">Test1_Hand!$B$4+E359*D359</f>
        <v>19.295399661208</v>
      </c>
      <c r="G359" s="24" t="n">
        <f aca="false">Test1_Hand!$B$6*E359*D359+Test1_Hand!$B$7*MAX(0,F359-Test1_Hand!$B$5)</f>
        <v>26363.1972896637</v>
      </c>
      <c r="H359" s="2" t="n">
        <f aca="false">IF(B359&lt;Test1_Hand!$B$13,1,0)</f>
        <v>1</v>
      </c>
      <c r="I359" s="23" t="n">
        <f aca="false">Test1_Hand!$B$4+H359*D359</f>
        <v>19.295399661208</v>
      </c>
      <c r="J359" s="24" t="n">
        <f aca="false">Test1_Hand!$B$6*H359*D359+Test1_Hand!$B$7*MAX(0,I359-Test1_Hand!$B$5)+Test1_Hand!$B$14</f>
        <v>32363.1972896637</v>
      </c>
    </row>
    <row r="360" customFormat="false" ht="15" hidden="false" customHeight="false" outlineLevel="0" collapsed="false">
      <c r="A360" s="2" t="n">
        <v>348</v>
      </c>
      <c r="B360" s="22" t="n">
        <v>0.970018299948191</v>
      </c>
      <c r="C360" s="22" t="n">
        <v>0.878219058458653</v>
      </c>
      <c r="D360" s="23" t="n">
        <f aca="false">BETAINV(C360,Test1_Hand!$B$21,Test1_Hand!$B$22,Test1_Hand!$B$9,Test1_Hand!$B$11)</f>
        <v>5.10616221610211</v>
      </c>
      <c r="E360" s="2" t="n">
        <f aca="false">IF(B360&lt;Test1_Hand!$B$12,1,0)</f>
        <v>0</v>
      </c>
      <c r="F360" s="23" t="n">
        <f aca="false">Test1_Hand!$B$4+E360*D360</f>
        <v>16</v>
      </c>
      <c r="G360" s="24" t="n">
        <f aca="false">Test1_Hand!$B$6*E360*D360+Test1_Hand!$B$7*MAX(0,F360-Test1_Hand!$B$5)</f>
        <v>0</v>
      </c>
      <c r="H360" s="2" t="n">
        <f aca="false">IF(B360&lt;Test1_Hand!$B$13,1,0)</f>
        <v>0</v>
      </c>
      <c r="I360" s="23" t="n">
        <f aca="false">Test1_Hand!$B$4+H360*D360</f>
        <v>16</v>
      </c>
      <c r="J360" s="24" t="n">
        <f aca="false">Test1_Hand!$B$6*H360*D360+Test1_Hand!$B$7*MAX(0,I360-Test1_Hand!$B$5)+Test1_Hand!$B$14</f>
        <v>6000</v>
      </c>
    </row>
    <row r="361" customFormat="false" ht="15" hidden="false" customHeight="false" outlineLevel="0" collapsed="false">
      <c r="A361" s="2" t="n">
        <v>349</v>
      </c>
      <c r="B361" s="22" t="n">
        <v>0.596226376372164</v>
      </c>
      <c r="C361" s="22" t="n">
        <v>0.936981421333207</v>
      </c>
      <c r="D361" s="23" t="n">
        <f aca="false">BETAINV(C361,Test1_Hand!$B$21,Test1_Hand!$B$22,Test1_Hand!$B$9,Test1_Hand!$B$11)</f>
        <v>5.61968276887009</v>
      </c>
      <c r="E361" s="2" t="n">
        <f aca="false">IF(B361&lt;Test1_Hand!$B$12,1,0)</f>
        <v>0</v>
      </c>
      <c r="F361" s="23" t="n">
        <f aca="false">Test1_Hand!$B$4+E361*D361</f>
        <v>16</v>
      </c>
      <c r="G361" s="24" t="n">
        <f aca="false">Test1_Hand!$B$6*E361*D361+Test1_Hand!$B$7*MAX(0,F361-Test1_Hand!$B$5)</f>
        <v>0</v>
      </c>
      <c r="H361" s="2" t="n">
        <f aca="false">IF(B361&lt;Test1_Hand!$B$13,1,0)</f>
        <v>0</v>
      </c>
      <c r="I361" s="23" t="n">
        <f aca="false">Test1_Hand!$B$4+H361*D361</f>
        <v>16</v>
      </c>
      <c r="J361" s="24" t="n">
        <f aca="false">Test1_Hand!$B$6*H361*D361+Test1_Hand!$B$7*MAX(0,I361-Test1_Hand!$B$5)+Test1_Hand!$B$14</f>
        <v>6000</v>
      </c>
    </row>
    <row r="362" customFormat="false" ht="15" hidden="false" customHeight="false" outlineLevel="0" collapsed="false">
      <c r="A362" s="2" t="n">
        <v>350</v>
      </c>
      <c r="B362" s="22" t="n">
        <v>0.628573524380091</v>
      </c>
      <c r="C362" s="22" t="n">
        <v>0.0806899664360922</v>
      </c>
      <c r="D362" s="23" t="n">
        <f aca="false">BETAINV(C362,Test1_Hand!$B$21,Test1_Hand!$B$22,Test1_Hand!$B$9,Test1_Hand!$B$11)</f>
        <v>1.80724109676072</v>
      </c>
      <c r="E362" s="2" t="n">
        <f aca="false">IF(B362&lt;Test1_Hand!$B$12,1,0)</f>
        <v>0</v>
      </c>
      <c r="F362" s="23" t="n">
        <f aca="false">Test1_Hand!$B$4+E362*D362</f>
        <v>16</v>
      </c>
      <c r="G362" s="24" t="n">
        <f aca="false">Test1_Hand!$B$6*E362*D362+Test1_Hand!$B$7*MAX(0,F362-Test1_Hand!$B$5)</f>
        <v>0</v>
      </c>
      <c r="H362" s="2" t="n">
        <f aca="false">IF(B362&lt;Test1_Hand!$B$13,1,0)</f>
        <v>0</v>
      </c>
      <c r="I362" s="23" t="n">
        <f aca="false">Test1_Hand!$B$4+H362*D362</f>
        <v>16</v>
      </c>
      <c r="J362" s="24" t="n">
        <f aca="false">Test1_Hand!$B$6*H362*D362+Test1_Hand!$B$7*MAX(0,I362-Test1_Hand!$B$5)+Test1_Hand!$B$14</f>
        <v>6000</v>
      </c>
    </row>
    <row r="363" customFormat="false" ht="15" hidden="false" customHeight="false" outlineLevel="0" collapsed="false">
      <c r="A363" s="2" t="n">
        <v>351</v>
      </c>
      <c r="B363" s="22" t="n">
        <v>0.654502603865388</v>
      </c>
      <c r="C363" s="22" t="n">
        <v>0.58837387287138</v>
      </c>
      <c r="D363" s="23" t="n">
        <f aca="false">BETAINV(C363,Test1_Hand!$B$21,Test1_Hand!$B$22,Test1_Hand!$B$9,Test1_Hand!$B$11)</f>
        <v>3.70321055926857</v>
      </c>
      <c r="E363" s="2" t="n">
        <f aca="false">IF(B363&lt;Test1_Hand!$B$12,1,0)</f>
        <v>0</v>
      </c>
      <c r="F363" s="23" t="n">
        <f aca="false">Test1_Hand!$B$4+E363*D363</f>
        <v>16</v>
      </c>
      <c r="G363" s="24" t="n">
        <f aca="false">Test1_Hand!$B$6*E363*D363+Test1_Hand!$B$7*MAX(0,F363-Test1_Hand!$B$5)</f>
        <v>0</v>
      </c>
      <c r="H363" s="2" t="n">
        <f aca="false">IF(B363&lt;Test1_Hand!$B$13,1,0)</f>
        <v>0</v>
      </c>
      <c r="I363" s="23" t="n">
        <f aca="false">Test1_Hand!$B$4+H363*D363</f>
        <v>16</v>
      </c>
      <c r="J363" s="24" t="n">
        <f aca="false">Test1_Hand!$B$6*H363*D363+Test1_Hand!$B$7*MAX(0,I363-Test1_Hand!$B$5)+Test1_Hand!$B$14</f>
        <v>6000</v>
      </c>
    </row>
    <row r="364" customFormat="false" ht="15" hidden="false" customHeight="false" outlineLevel="0" collapsed="false">
      <c r="A364" s="2" t="n">
        <v>352</v>
      </c>
      <c r="B364" s="22" t="n">
        <v>0.645568611019988</v>
      </c>
      <c r="C364" s="22" t="n">
        <v>0.259416638513406</v>
      </c>
      <c r="D364" s="23" t="n">
        <f aca="false">BETAINV(C364,Test1_Hand!$B$21,Test1_Hand!$B$22,Test1_Hand!$B$9,Test1_Hand!$B$11)</f>
        <v>2.54642438802009</v>
      </c>
      <c r="E364" s="2" t="n">
        <f aca="false">IF(B364&lt;Test1_Hand!$B$12,1,0)</f>
        <v>0</v>
      </c>
      <c r="F364" s="23" t="n">
        <f aca="false">Test1_Hand!$B$4+E364*D364</f>
        <v>16</v>
      </c>
      <c r="G364" s="24" t="n">
        <f aca="false">Test1_Hand!$B$6*E364*D364+Test1_Hand!$B$7*MAX(0,F364-Test1_Hand!$B$5)</f>
        <v>0</v>
      </c>
      <c r="H364" s="2" t="n">
        <f aca="false">IF(B364&lt;Test1_Hand!$B$13,1,0)</f>
        <v>0</v>
      </c>
      <c r="I364" s="23" t="n">
        <f aca="false">Test1_Hand!$B$4+H364*D364</f>
        <v>16</v>
      </c>
      <c r="J364" s="24" t="n">
        <f aca="false">Test1_Hand!$B$6*H364*D364+Test1_Hand!$B$7*MAX(0,I364-Test1_Hand!$B$5)+Test1_Hand!$B$14</f>
        <v>6000</v>
      </c>
    </row>
    <row r="365" customFormat="false" ht="15" hidden="false" customHeight="false" outlineLevel="0" collapsed="false">
      <c r="A365" s="2" t="n">
        <v>353</v>
      </c>
      <c r="B365" s="22" t="n">
        <v>0.732741333621389</v>
      </c>
      <c r="C365" s="22" t="n">
        <v>0.533685392612007</v>
      </c>
      <c r="D365" s="23" t="n">
        <f aca="false">BETAINV(C365,Test1_Hand!$B$21,Test1_Hand!$B$22,Test1_Hand!$B$9,Test1_Hand!$B$11)</f>
        <v>3.50254389380395</v>
      </c>
      <c r="E365" s="2" t="n">
        <f aca="false">IF(B365&lt;Test1_Hand!$B$12,1,0)</f>
        <v>0</v>
      </c>
      <c r="F365" s="23" t="n">
        <f aca="false">Test1_Hand!$B$4+E365*D365</f>
        <v>16</v>
      </c>
      <c r="G365" s="24" t="n">
        <f aca="false">Test1_Hand!$B$6*E365*D365+Test1_Hand!$B$7*MAX(0,F365-Test1_Hand!$B$5)</f>
        <v>0</v>
      </c>
      <c r="H365" s="2" t="n">
        <f aca="false">IF(B365&lt;Test1_Hand!$B$13,1,0)</f>
        <v>0</v>
      </c>
      <c r="I365" s="23" t="n">
        <f aca="false">Test1_Hand!$B$4+H365*D365</f>
        <v>16</v>
      </c>
      <c r="J365" s="24" t="n">
        <f aca="false">Test1_Hand!$B$6*H365*D365+Test1_Hand!$B$7*MAX(0,I365-Test1_Hand!$B$5)+Test1_Hand!$B$14</f>
        <v>6000</v>
      </c>
    </row>
    <row r="366" customFormat="false" ht="15" hidden="false" customHeight="false" outlineLevel="0" collapsed="false">
      <c r="A366" s="2" t="n">
        <v>354</v>
      </c>
      <c r="B366" s="22" t="n">
        <v>0.967021086522948</v>
      </c>
      <c r="C366" s="22" t="n">
        <v>0.128444839868742</v>
      </c>
      <c r="D366" s="23" t="n">
        <f aca="false">BETAINV(C366,Test1_Hand!$B$21,Test1_Hand!$B$22,Test1_Hand!$B$9,Test1_Hand!$B$11)</f>
        <v>2.03520184435525</v>
      </c>
      <c r="E366" s="2" t="n">
        <f aca="false">IF(B366&lt;Test1_Hand!$B$12,1,0)</f>
        <v>0</v>
      </c>
      <c r="F366" s="23" t="n">
        <f aca="false">Test1_Hand!$B$4+E366*D366</f>
        <v>16</v>
      </c>
      <c r="G366" s="24" t="n">
        <f aca="false">Test1_Hand!$B$6*E366*D366+Test1_Hand!$B$7*MAX(0,F366-Test1_Hand!$B$5)</f>
        <v>0</v>
      </c>
      <c r="H366" s="2" t="n">
        <f aca="false">IF(B366&lt;Test1_Hand!$B$13,1,0)</f>
        <v>0</v>
      </c>
      <c r="I366" s="23" t="n">
        <f aca="false">Test1_Hand!$B$4+H366*D366</f>
        <v>16</v>
      </c>
      <c r="J366" s="24" t="n">
        <f aca="false">Test1_Hand!$B$6*H366*D366+Test1_Hand!$B$7*MAX(0,I366-Test1_Hand!$B$5)+Test1_Hand!$B$14</f>
        <v>6000</v>
      </c>
    </row>
    <row r="367" customFormat="false" ht="15" hidden="false" customHeight="false" outlineLevel="0" collapsed="false">
      <c r="A367" s="2" t="n">
        <v>355</v>
      </c>
      <c r="B367" s="22" t="n">
        <v>0.525487146080139</v>
      </c>
      <c r="C367" s="22" t="n">
        <v>0.852862678579462</v>
      </c>
      <c r="D367" s="23" t="n">
        <f aca="false">BETAINV(C367,Test1_Hand!$B$21,Test1_Hand!$B$22,Test1_Hand!$B$9,Test1_Hand!$B$11)</f>
        <v>4.93418652521459</v>
      </c>
      <c r="E367" s="2" t="n">
        <f aca="false">IF(B367&lt;Test1_Hand!$B$12,1,0)</f>
        <v>0</v>
      </c>
      <c r="F367" s="23" t="n">
        <f aca="false">Test1_Hand!$B$4+E367*D367</f>
        <v>16</v>
      </c>
      <c r="G367" s="24" t="n">
        <f aca="false">Test1_Hand!$B$6*E367*D367+Test1_Hand!$B$7*MAX(0,F367-Test1_Hand!$B$5)</f>
        <v>0</v>
      </c>
      <c r="H367" s="2" t="n">
        <f aca="false">IF(B367&lt;Test1_Hand!$B$13,1,0)</f>
        <v>0</v>
      </c>
      <c r="I367" s="23" t="n">
        <f aca="false">Test1_Hand!$B$4+H367*D367</f>
        <v>16</v>
      </c>
      <c r="J367" s="24" t="n">
        <f aca="false">Test1_Hand!$B$6*H367*D367+Test1_Hand!$B$7*MAX(0,I367-Test1_Hand!$B$5)+Test1_Hand!$B$14</f>
        <v>6000</v>
      </c>
    </row>
    <row r="368" customFormat="false" ht="15" hidden="false" customHeight="false" outlineLevel="0" collapsed="false">
      <c r="A368" s="2" t="n">
        <v>356</v>
      </c>
      <c r="B368" s="22" t="n">
        <v>0.167170963570399</v>
      </c>
      <c r="C368" s="22" t="n">
        <v>0.771940383168325</v>
      </c>
      <c r="D368" s="23" t="n">
        <f aca="false">BETAINV(C368,Test1_Hand!$B$21,Test1_Hand!$B$22,Test1_Hand!$B$9,Test1_Hand!$B$11)</f>
        <v>4.48125373193989</v>
      </c>
      <c r="E368" s="2" t="n">
        <f aca="false">IF(B368&lt;Test1_Hand!$B$12,1,0)</f>
        <v>1</v>
      </c>
      <c r="F368" s="23" t="n">
        <f aca="false">Test1_Hand!$B$4+E368*D368</f>
        <v>20.4812537319399</v>
      </c>
      <c r="G368" s="24" t="n">
        <f aca="false">Test1_Hand!$B$6*E368*D368+Test1_Hand!$B$7*MAX(0,F368-Test1_Hand!$B$5)</f>
        <v>38256.2985152186</v>
      </c>
      <c r="H368" s="2" t="n">
        <f aca="false">IF(B368&lt;Test1_Hand!$B$13,1,0)</f>
        <v>1</v>
      </c>
      <c r="I368" s="23" t="n">
        <f aca="false">Test1_Hand!$B$4+H368*D368</f>
        <v>20.4812537319399</v>
      </c>
      <c r="J368" s="24" t="n">
        <f aca="false">Test1_Hand!$B$6*H368*D368+Test1_Hand!$B$7*MAX(0,I368-Test1_Hand!$B$5)+Test1_Hand!$B$14</f>
        <v>44256.2985152186</v>
      </c>
    </row>
    <row r="369" customFormat="false" ht="15" hidden="false" customHeight="false" outlineLevel="0" collapsed="false">
      <c r="A369" s="2" t="n">
        <v>357</v>
      </c>
      <c r="B369" s="22" t="n">
        <v>0.934563793528736</v>
      </c>
      <c r="C369" s="22" t="n">
        <v>0.737947728228941</v>
      </c>
      <c r="D369" s="23" t="n">
        <f aca="false">BETAINV(C369,Test1_Hand!$B$21,Test1_Hand!$B$22,Test1_Hand!$B$9,Test1_Hand!$B$11)</f>
        <v>4.31855345401731</v>
      </c>
      <c r="E369" s="2" t="n">
        <f aca="false">IF(B369&lt;Test1_Hand!$B$12,1,0)</f>
        <v>0</v>
      </c>
      <c r="F369" s="23" t="n">
        <f aca="false">Test1_Hand!$B$4+E369*D369</f>
        <v>16</v>
      </c>
      <c r="G369" s="24" t="n">
        <f aca="false">Test1_Hand!$B$6*E369*D369+Test1_Hand!$B$7*MAX(0,F369-Test1_Hand!$B$5)</f>
        <v>0</v>
      </c>
      <c r="H369" s="2" t="n">
        <f aca="false">IF(B369&lt;Test1_Hand!$B$13,1,0)</f>
        <v>0</v>
      </c>
      <c r="I369" s="23" t="n">
        <f aca="false">Test1_Hand!$B$4+H369*D369</f>
        <v>16</v>
      </c>
      <c r="J369" s="24" t="n">
        <f aca="false">Test1_Hand!$B$6*H369*D369+Test1_Hand!$B$7*MAX(0,I369-Test1_Hand!$B$5)+Test1_Hand!$B$14</f>
        <v>6000</v>
      </c>
    </row>
    <row r="370" customFormat="false" ht="15" hidden="false" customHeight="false" outlineLevel="0" collapsed="false">
      <c r="A370" s="2" t="n">
        <v>358</v>
      </c>
      <c r="B370" s="22" t="n">
        <v>0.653268819170542</v>
      </c>
      <c r="C370" s="22" t="n">
        <v>0.216346680860738</v>
      </c>
      <c r="D370" s="23" t="n">
        <f aca="false">BETAINV(C370,Test1_Hand!$B$21,Test1_Hand!$B$22,Test1_Hand!$B$9,Test1_Hand!$B$11)</f>
        <v>2.3885808799002</v>
      </c>
      <c r="E370" s="2" t="n">
        <f aca="false">IF(B370&lt;Test1_Hand!$B$12,1,0)</f>
        <v>0</v>
      </c>
      <c r="F370" s="23" t="n">
        <f aca="false">Test1_Hand!$B$4+E370*D370</f>
        <v>16</v>
      </c>
      <c r="G370" s="24" t="n">
        <f aca="false">Test1_Hand!$B$6*E370*D370+Test1_Hand!$B$7*MAX(0,F370-Test1_Hand!$B$5)</f>
        <v>0</v>
      </c>
      <c r="H370" s="2" t="n">
        <f aca="false">IF(B370&lt;Test1_Hand!$B$13,1,0)</f>
        <v>0</v>
      </c>
      <c r="I370" s="23" t="n">
        <f aca="false">Test1_Hand!$B$4+H370*D370</f>
        <v>16</v>
      </c>
      <c r="J370" s="24" t="n">
        <f aca="false">Test1_Hand!$B$6*H370*D370+Test1_Hand!$B$7*MAX(0,I370-Test1_Hand!$B$5)+Test1_Hand!$B$14</f>
        <v>6000</v>
      </c>
    </row>
    <row r="371" customFormat="false" ht="15" hidden="false" customHeight="false" outlineLevel="0" collapsed="false">
      <c r="A371" s="2" t="n">
        <v>359</v>
      </c>
      <c r="B371" s="22" t="n">
        <v>0.928343184814131</v>
      </c>
      <c r="C371" s="22" t="n">
        <v>0.0823394691611896</v>
      </c>
      <c r="D371" s="23" t="n">
        <f aca="false">BETAINV(C371,Test1_Hand!$B$21,Test1_Hand!$B$22,Test1_Hand!$B$9,Test1_Hand!$B$11)</f>
        <v>1.8158736293366</v>
      </c>
      <c r="E371" s="2" t="n">
        <f aca="false">IF(B371&lt;Test1_Hand!$B$12,1,0)</f>
        <v>0</v>
      </c>
      <c r="F371" s="23" t="n">
        <f aca="false">Test1_Hand!$B$4+E371*D371</f>
        <v>16</v>
      </c>
      <c r="G371" s="24" t="n">
        <f aca="false">Test1_Hand!$B$6*E371*D371+Test1_Hand!$B$7*MAX(0,F371-Test1_Hand!$B$5)</f>
        <v>0</v>
      </c>
      <c r="H371" s="2" t="n">
        <f aca="false">IF(B371&lt;Test1_Hand!$B$13,1,0)</f>
        <v>0</v>
      </c>
      <c r="I371" s="23" t="n">
        <f aca="false">Test1_Hand!$B$4+H371*D371</f>
        <v>16</v>
      </c>
      <c r="J371" s="24" t="n">
        <f aca="false">Test1_Hand!$B$6*H371*D371+Test1_Hand!$B$7*MAX(0,I371-Test1_Hand!$B$5)+Test1_Hand!$B$14</f>
        <v>6000</v>
      </c>
    </row>
    <row r="372" customFormat="false" ht="15" hidden="false" customHeight="false" outlineLevel="0" collapsed="false">
      <c r="A372" s="2" t="n">
        <v>360</v>
      </c>
      <c r="B372" s="22" t="n">
        <v>0.365738067544729</v>
      </c>
      <c r="C372" s="22" t="n">
        <v>0.0557417374747928</v>
      </c>
      <c r="D372" s="23" t="n">
        <f aca="false">BETAINV(C372,Test1_Hand!$B$21,Test1_Hand!$B$22,Test1_Hand!$B$9,Test1_Hand!$B$11)</f>
        <v>1.66622334136865</v>
      </c>
      <c r="E372" s="2" t="n">
        <f aca="false">IF(B372&lt;Test1_Hand!$B$12,1,0)</f>
        <v>1</v>
      </c>
      <c r="F372" s="23" t="n">
        <f aca="false">Test1_Hand!$B$4+E372*D372</f>
        <v>17.6662233413687</v>
      </c>
      <c r="G372" s="24" t="n">
        <f aca="false">Test1_Hand!$B$6*E372*D372+Test1_Hand!$B$7*MAX(0,F372-Test1_Hand!$B$5)</f>
        <v>13329.7867309492</v>
      </c>
      <c r="H372" s="2" t="n">
        <f aca="false">IF(B372&lt;Test1_Hand!$B$13,1,0)</f>
        <v>0</v>
      </c>
      <c r="I372" s="23" t="n">
        <f aca="false">Test1_Hand!$B$4+H372*D372</f>
        <v>16</v>
      </c>
      <c r="J372" s="24" t="n">
        <f aca="false">Test1_Hand!$B$6*H372*D372+Test1_Hand!$B$7*MAX(0,I372-Test1_Hand!$B$5)+Test1_Hand!$B$14</f>
        <v>6000</v>
      </c>
    </row>
    <row r="373" customFormat="false" ht="15" hidden="false" customHeight="false" outlineLevel="0" collapsed="false">
      <c r="A373" s="2" t="n">
        <v>361</v>
      </c>
      <c r="B373" s="22" t="n">
        <v>0.467201059363882</v>
      </c>
      <c r="C373" s="22" t="n">
        <v>0.736849780124865</v>
      </c>
      <c r="D373" s="23" t="n">
        <f aca="false">BETAINV(C373,Test1_Hand!$B$21,Test1_Hand!$B$22,Test1_Hand!$B$9,Test1_Hand!$B$11)</f>
        <v>4.31349110837863</v>
      </c>
      <c r="E373" s="2" t="n">
        <f aca="false">IF(B373&lt;Test1_Hand!$B$12,1,0)</f>
        <v>1</v>
      </c>
      <c r="F373" s="23" t="n">
        <f aca="false">Test1_Hand!$B$4+E373*D373</f>
        <v>20.3134911083786</v>
      </c>
      <c r="G373" s="24" t="n">
        <f aca="false">Test1_Hand!$B$6*E373*D373+Test1_Hand!$B$7*MAX(0,F373-Test1_Hand!$B$5)</f>
        <v>36075.3844089222</v>
      </c>
      <c r="H373" s="2" t="n">
        <f aca="false">IF(B373&lt;Test1_Hand!$B$13,1,0)</f>
        <v>0</v>
      </c>
      <c r="I373" s="23" t="n">
        <f aca="false">Test1_Hand!$B$4+H373*D373</f>
        <v>16</v>
      </c>
      <c r="J373" s="24" t="n">
        <f aca="false">Test1_Hand!$B$6*H373*D373+Test1_Hand!$B$7*MAX(0,I373-Test1_Hand!$B$5)+Test1_Hand!$B$14</f>
        <v>6000</v>
      </c>
    </row>
    <row r="374" customFormat="false" ht="15" hidden="false" customHeight="false" outlineLevel="0" collapsed="false">
      <c r="A374" s="2" t="n">
        <v>362</v>
      </c>
      <c r="B374" s="22" t="n">
        <v>0.501884922437214</v>
      </c>
      <c r="C374" s="22" t="n">
        <v>0.2339787319627</v>
      </c>
      <c r="D374" s="23" t="n">
        <f aca="false">BETAINV(C374,Test1_Hand!$B$21,Test1_Hand!$B$22,Test1_Hand!$B$9,Test1_Hand!$B$11)</f>
        <v>2.45400060512185</v>
      </c>
      <c r="E374" s="2" t="n">
        <f aca="false">IF(B374&lt;Test1_Hand!$B$12,1,0)</f>
        <v>0</v>
      </c>
      <c r="F374" s="23" t="n">
        <f aca="false">Test1_Hand!$B$4+E374*D374</f>
        <v>16</v>
      </c>
      <c r="G374" s="24" t="n">
        <f aca="false">Test1_Hand!$B$6*E374*D374+Test1_Hand!$B$7*MAX(0,F374-Test1_Hand!$B$5)</f>
        <v>0</v>
      </c>
      <c r="H374" s="2" t="n">
        <f aca="false">IF(B374&lt;Test1_Hand!$B$13,1,0)</f>
        <v>0</v>
      </c>
      <c r="I374" s="23" t="n">
        <f aca="false">Test1_Hand!$B$4+H374*D374</f>
        <v>16</v>
      </c>
      <c r="J374" s="24" t="n">
        <f aca="false">Test1_Hand!$B$6*H374*D374+Test1_Hand!$B$7*MAX(0,I374-Test1_Hand!$B$5)+Test1_Hand!$B$14</f>
        <v>6000</v>
      </c>
    </row>
    <row r="375" customFormat="false" ht="15" hidden="false" customHeight="false" outlineLevel="0" collapsed="false">
      <c r="A375" s="2" t="n">
        <v>363</v>
      </c>
      <c r="B375" s="22" t="n">
        <v>0.63091298354772</v>
      </c>
      <c r="C375" s="22" t="n">
        <v>0.738437773714489</v>
      </c>
      <c r="D375" s="23" t="n">
        <f aca="false">BETAINV(C375,Test1_Hand!$B$21,Test1_Hand!$B$22,Test1_Hand!$B$9,Test1_Hand!$B$11)</f>
        <v>4.32081649640549</v>
      </c>
      <c r="E375" s="2" t="n">
        <f aca="false">IF(B375&lt;Test1_Hand!$B$12,1,0)</f>
        <v>0</v>
      </c>
      <c r="F375" s="23" t="n">
        <f aca="false">Test1_Hand!$B$4+E375*D375</f>
        <v>16</v>
      </c>
      <c r="G375" s="24" t="n">
        <f aca="false">Test1_Hand!$B$6*E375*D375+Test1_Hand!$B$7*MAX(0,F375-Test1_Hand!$B$5)</f>
        <v>0</v>
      </c>
      <c r="H375" s="2" t="n">
        <f aca="false">IF(B375&lt;Test1_Hand!$B$13,1,0)</f>
        <v>0</v>
      </c>
      <c r="I375" s="23" t="n">
        <f aca="false">Test1_Hand!$B$4+H375*D375</f>
        <v>16</v>
      </c>
      <c r="J375" s="24" t="n">
        <f aca="false">Test1_Hand!$B$6*H375*D375+Test1_Hand!$B$7*MAX(0,I375-Test1_Hand!$B$5)+Test1_Hand!$B$14</f>
        <v>6000</v>
      </c>
    </row>
    <row r="376" customFormat="false" ht="15" hidden="false" customHeight="false" outlineLevel="0" collapsed="false">
      <c r="A376" s="2" t="n">
        <v>364</v>
      </c>
      <c r="B376" s="22" t="n">
        <v>0.253643573994525</v>
      </c>
      <c r="C376" s="22" t="n">
        <v>0.328254698340481</v>
      </c>
      <c r="D376" s="23" t="n">
        <f aca="false">BETAINV(C376,Test1_Hand!$B$21,Test1_Hand!$B$22,Test1_Hand!$B$9,Test1_Hand!$B$11)</f>
        <v>2.78876020693281</v>
      </c>
      <c r="E376" s="2" t="n">
        <f aca="false">IF(B376&lt;Test1_Hand!$B$12,1,0)</f>
        <v>1</v>
      </c>
      <c r="F376" s="23" t="n">
        <f aca="false">Test1_Hand!$B$4+E376*D376</f>
        <v>18.7887602069328</v>
      </c>
      <c r="G376" s="24" t="n">
        <f aca="false">Test1_Hand!$B$6*E376*D376+Test1_Hand!$B$7*MAX(0,F376-Test1_Hand!$B$5)</f>
        <v>22310.0816554625</v>
      </c>
      <c r="H376" s="2" t="n">
        <f aca="false">IF(B376&lt;Test1_Hand!$B$13,1,0)</f>
        <v>0</v>
      </c>
      <c r="I376" s="23" t="n">
        <f aca="false">Test1_Hand!$B$4+H376*D376</f>
        <v>16</v>
      </c>
      <c r="J376" s="24" t="n">
        <f aca="false">Test1_Hand!$B$6*H376*D376+Test1_Hand!$B$7*MAX(0,I376-Test1_Hand!$B$5)+Test1_Hand!$B$14</f>
        <v>6000</v>
      </c>
    </row>
    <row r="377" customFormat="false" ht="15" hidden="false" customHeight="false" outlineLevel="0" collapsed="false">
      <c r="A377" s="2" t="n">
        <v>365</v>
      </c>
      <c r="B377" s="22" t="n">
        <v>0.206346208000144</v>
      </c>
      <c r="C377" s="22" t="n">
        <v>0.453340923515401</v>
      </c>
      <c r="D377" s="23" t="n">
        <f aca="false">BETAINV(C377,Test1_Hand!$B$21,Test1_Hand!$B$22,Test1_Hand!$B$9,Test1_Hand!$B$11)</f>
        <v>3.21955578388849</v>
      </c>
      <c r="E377" s="2" t="n">
        <f aca="false">IF(B377&lt;Test1_Hand!$B$12,1,0)</f>
        <v>1</v>
      </c>
      <c r="F377" s="23" t="n">
        <f aca="false">Test1_Hand!$B$4+E377*D377</f>
        <v>19.2195557838885</v>
      </c>
      <c r="G377" s="24" t="n">
        <f aca="false">Test1_Hand!$B$6*E377*D377+Test1_Hand!$B$7*MAX(0,F377-Test1_Hand!$B$5)</f>
        <v>25756.4462711079</v>
      </c>
      <c r="H377" s="2" t="n">
        <f aca="false">IF(B377&lt;Test1_Hand!$B$13,1,0)</f>
        <v>0</v>
      </c>
      <c r="I377" s="23" t="n">
        <f aca="false">Test1_Hand!$B$4+H377*D377</f>
        <v>16</v>
      </c>
      <c r="J377" s="24" t="n">
        <f aca="false">Test1_Hand!$B$6*H377*D377+Test1_Hand!$B$7*MAX(0,I377-Test1_Hand!$B$5)+Test1_Hand!$B$14</f>
        <v>6000</v>
      </c>
    </row>
    <row r="378" customFormat="false" ht="15" hidden="false" customHeight="false" outlineLevel="0" collapsed="false">
      <c r="A378" s="2" t="n">
        <v>366</v>
      </c>
      <c r="B378" s="22" t="n">
        <v>0.0588722046951774</v>
      </c>
      <c r="C378" s="22" t="n">
        <v>0.416756562512221</v>
      </c>
      <c r="D378" s="23" t="n">
        <f aca="false">BETAINV(C378,Test1_Hand!$B$21,Test1_Hand!$B$22,Test1_Hand!$B$9,Test1_Hand!$B$11)</f>
        <v>3.09331993899651</v>
      </c>
      <c r="E378" s="2" t="n">
        <f aca="false">IF(B378&lt;Test1_Hand!$B$12,1,0)</f>
        <v>1</v>
      </c>
      <c r="F378" s="23" t="n">
        <f aca="false">Test1_Hand!$B$4+E378*D378</f>
        <v>19.0933199389965</v>
      </c>
      <c r="G378" s="24" t="n">
        <f aca="false">Test1_Hand!$B$6*E378*D378+Test1_Hand!$B$7*MAX(0,F378-Test1_Hand!$B$5)</f>
        <v>24746.5595119721</v>
      </c>
      <c r="H378" s="2" t="n">
        <f aca="false">IF(B378&lt;Test1_Hand!$B$13,1,0)</f>
        <v>1</v>
      </c>
      <c r="I378" s="23" t="n">
        <f aca="false">Test1_Hand!$B$4+H378*D378</f>
        <v>19.0933199389965</v>
      </c>
      <c r="J378" s="24" t="n">
        <f aca="false">Test1_Hand!$B$6*H378*D378+Test1_Hand!$B$7*MAX(0,I378-Test1_Hand!$B$5)+Test1_Hand!$B$14</f>
        <v>30746.5595119721</v>
      </c>
    </row>
    <row r="379" customFormat="false" ht="15" hidden="false" customHeight="false" outlineLevel="0" collapsed="false">
      <c r="A379" s="2" t="n">
        <v>367</v>
      </c>
      <c r="B379" s="22" t="n">
        <v>0.0844985126034423</v>
      </c>
      <c r="C379" s="22" t="n">
        <v>0.260560644323346</v>
      </c>
      <c r="D379" s="23" t="n">
        <f aca="false">BETAINV(C379,Test1_Hand!$B$21,Test1_Hand!$B$22,Test1_Hand!$B$9,Test1_Hand!$B$11)</f>
        <v>2.55053462890583</v>
      </c>
      <c r="E379" s="2" t="n">
        <f aca="false">IF(B379&lt;Test1_Hand!$B$12,1,0)</f>
        <v>1</v>
      </c>
      <c r="F379" s="23" t="n">
        <f aca="false">Test1_Hand!$B$4+E379*D379</f>
        <v>18.5505346289058</v>
      </c>
      <c r="G379" s="24" t="n">
        <f aca="false">Test1_Hand!$B$6*E379*D379+Test1_Hand!$B$7*MAX(0,F379-Test1_Hand!$B$5)</f>
        <v>20404.2770312467</v>
      </c>
      <c r="H379" s="2" t="n">
        <f aca="false">IF(B379&lt;Test1_Hand!$B$13,1,0)</f>
        <v>1</v>
      </c>
      <c r="I379" s="23" t="n">
        <f aca="false">Test1_Hand!$B$4+H379*D379</f>
        <v>18.5505346289058</v>
      </c>
      <c r="J379" s="24" t="n">
        <f aca="false">Test1_Hand!$B$6*H379*D379+Test1_Hand!$B$7*MAX(0,I379-Test1_Hand!$B$5)+Test1_Hand!$B$14</f>
        <v>26404.2770312467</v>
      </c>
    </row>
    <row r="380" customFormat="false" ht="15" hidden="false" customHeight="false" outlineLevel="0" collapsed="false">
      <c r="A380" s="2" t="n">
        <v>368</v>
      </c>
      <c r="B380" s="22" t="n">
        <v>0.991077255938854</v>
      </c>
      <c r="C380" s="22" t="n">
        <v>0.0693388943497051</v>
      </c>
      <c r="D380" s="23" t="n">
        <f aca="false">BETAINV(C380,Test1_Hand!$B$21,Test1_Hand!$B$22,Test1_Hand!$B$9,Test1_Hand!$B$11)</f>
        <v>1.7457524754625</v>
      </c>
      <c r="E380" s="2" t="n">
        <f aca="false">IF(B380&lt;Test1_Hand!$B$12,1,0)</f>
        <v>0</v>
      </c>
      <c r="F380" s="23" t="n">
        <f aca="false">Test1_Hand!$B$4+E380*D380</f>
        <v>16</v>
      </c>
      <c r="G380" s="24" t="n">
        <f aca="false">Test1_Hand!$B$6*E380*D380+Test1_Hand!$B$7*MAX(0,F380-Test1_Hand!$B$5)</f>
        <v>0</v>
      </c>
      <c r="H380" s="2" t="n">
        <f aca="false">IF(B380&lt;Test1_Hand!$B$13,1,0)</f>
        <v>0</v>
      </c>
      <c r="I380" s="23" t="n">
        <f aca="false">Test1_Hand!$B$4+H380*D380</f>
        <v>16</v>
      </c>
      <c r="J380" s="24" t="n">
        <f aca="false">Test1_Hand!$B$6*H380*D380+Test1_Hand!$B$7*MAX(0,I380-Test1_Hand!$B$5)+Test1_Hand!$B$14</f>
        <v>6000</v>
      </c>
    </row>
    <row r="381" customFormat="false" ht="15" hidden="false" customHeight="false" outlineLevel="0" collapsed="false">
      <c r="A381" s="2" t="n">
        <v>369</v>
      </c>
      <c r="B381" s="22" t="n">
        <v>0.295093627856689</v>
      </c>
      <c r="C381" s="22" t="n">
        <v>0.380436891321309</v>
      </c>
      <c r="D381" s="23" t="n">
        <f aca="false">BETAINV(C381,Test1_Hand!$B$21,Test1_Hand!$B$22,Test1_Hand!$B$9,Test1_Hand!$B$11)</f>
        <v>2.96856620318593</v>
      </c>
      <c r="E381" s="2" t="n">
        <f aca="false">IF(B381&lt;Test1_Hand!$B$12,1,0)</f>
        <v>1</v>
      </c>
      <c r="F381" s="23" t="n">
        <f aca="false">Test1_Hand!$B$4+E381*D381</f>
        <v>18.9685662031859</v>
      </c>
      <c r="G381" s="24" t="n">
        <f aca="false">Test1_Hand!$B$6*E381*D381+Test1_Hand!$B$7*MAX(0,F381-Test1_Hand!$B$5)</f>
        <v>23748.5296254874</v>
      </c>
      <c r="H381" s="2" t="n">
        <f aca="false">IF(B381&lt;Test1_Hand!$B$13,1,0)</f>
        <v>0</v>
      </c>
      <c r="I381" s="23" t="n">
        <f aca="false">Test1_Hand!$B$4+H381*D381</f>
        <v>16</v>
      </c>
      <c r="J381" s="24" t="n">
        <f aca="false">Test1_Hand!$B$6*H381*D381+Test1_Hand!$B$7*MAX(0,I381-Test1_Hand!$B$5)+Test1_Hand!$B$14</f>
        <v>6000</v>
      </c>
    </row>
    <row r="382" customFormat="false" ht="15" hidden="false" customHeight="false" outlineLevel="0" collapsed="false">
      <c r="A382" s="2" t="n">
        <v>370</v>
      </c>
      <c r="B382" s="22" t="n">
        <v>0.830586506097989</v>
      </c>
      <c r="C382" s="22" t="n">
        <v>0.113522631149693</v>
      </c>
      <c r="D382" s="23" t="n">
        <f aca="false">BETAINV(C382,Test1_Hand!$B$21,Test1_Hand!$B$22,Test1_Hand!$B$9,Test1_Hand!$B$11)</f>
        <v>1.9680675500804</v>
      </c>
      <c r="E382" s="2" t="n">
        <f aca="false">IF(B382&lt;Test1_Hand!$B$12,1,0)</f>
        <v>0</v>
      </c>
      <c r="F382" s="23" t="n">
        <f aca="false">Test1_Hand!$B$4+E382*D382</f>
        <v>16</v>
      </c>
      <c r="G382" s="24" t="n">
        <f aca="false">Test1_Hand!$B$6*E382*D382+Test1_Hand!$B$7*MAX(0,F382-Test1_Hand!$B$5)</f>
        <v>0</v>
      </c>
      <c r="H382" s="2" t="n">
        <f aca="false">IF(B382&lt;Test1_Hand!$B$13,1,0)</f>
        <v>0</v>
      </c>
      <c r="I382" s="23" t="n">
        <f aca="false">Test1_Hand!$B$4+H382*D382</f>
        <v>16</v>
      </c>
      <c r="J382" s="24" t="n">
        <f aca="false">Test1_Hand!$B$6*H382*D382+Test1_Hand!$B$7*MAX(0,I382-Test1_Hand!$B$5)+Test1_Hand!$B$14</f>
        <v>6000</v>
      </c>
    </row>
    <row r="383" customFormat="false" ht="15" hidden="false" customHeight="false" outlineLevel="0" collapsed="false">
      <c r="A383" s="2" t="n">
        <v>371</v>
      </c>
      <c r="B383" s="22" t="n">
        <v>0.927808608471343</v>
      </c>
      <c r="C383" s="22" t="n">
        <v>0.721764954097309</v>
      </c>
      <c r="D383" s="23" t="n">
        <f aca="false">BETAINV(C383,Test1_Hand!$B$21,Test1_Hand!$B$22,Test1_Hand!$B$9,Test1_Hand!$B$11)</f>
        <v>4.24501596329862</v>
      </c>
      <c r="E383" s="2" t="n">
        <f aca="false">IF(B383&lt;Test1_Hand!$B$12,1,0)</f>
        <v>0</v>
      </c>
      <c r="F383" s="23" t="n">
        <f aca="false">Test1_Hand!$B$4+E383*D383</f>
        <v>16</v>
      </c>
      <c r="G383" s="24" t="n">
        <f aca="false">Test1_Hand!$B$6*E383*D383+Test1_Hand!$B$7*MAX(0,F383-Test1_Hand!$B$5)</f>
        <v>0</v>
      </c>
      <c r="H383" s="2" t="n">
        <f aca="false">IF(B383&lt;Test1_Hand!$B$13,1,0)</f>
        <v>0</v>
      </c>
      <c r="I383" s="23" t="n">
        <f aca="false">Test1_Hand!$B$4+H383*D383</f>
        <v>16</v>
      </c>
      <c r="J383" s="24" t="n">
        <f aca="false">Test1_Hand!$B$6*H383*D383+Test1_Hand!$B$7*MAX(0,I383-Test1_Hand!$B$5)+Test1_Hand!$B$14</f>
        <v>6000</v>
      </c>
    </row>
    <row r="384" customFormat="false" ht="15" hidden="false" customHeight="false" outlineLevel="0" collapsed="false">
      <c r="A384" s="2" t="n">
        <v>372</v>
      </c>
      <c r="B384" s="22" t="n">
        <v>0.898605159483777</v>
      </c>
      <c r="C384" s="22" t="n">
        <v>0.819636804185765</v>
      </c>
      <c r="D384" s="23" t="n">
        <f aca="false">BETAINV(C384,Test1_Hand!$B$21,Test1_Hand!$B$22,Test1_Hand!$B$9,Test1_Hand!$B$11)</f>
        <v>4.73408170918335</v>
      </c>
      <c r="E384" s="2" t="n">
        <f aca="false">IF(B384&lt;Test1_Hand!$B$12,1,0)</f>
        <v>0</v>
      </c>
      <c r="F384" s="23" t="n">
        <f aca="false">Test1_Hand!$B$4+E384*D384</f>
        <v>16</v>
      </c>
      <c r="G384" s="24" t="n">
        <f aca="false">Test1_Hand!$B$6*E384*D384+Test1_Hand!$B$7*MAX(0,F384-Test1_Hand!$B$5)</f>
        <v>0</v>
      </c>
      <c r="H384" s="2" t="n">
        <f aca="false">IF(B384&lt;Test1_Hand!$B$13,1,0)</f>
        <v>0</v>
      </c>
      <c r="I384" s="23" t="n">
        <f aca="false">Test1_Hand!$B$4+H384*D384</f>
        <v>16</v>
      </c>
      <c r="J384" s="24" t="n">
        <f aca="false">Test1_Hand!$B$6*H384*D384+Test1_Hand!$B$7*MAX(0,I384-Test1_Hand!$B$5)+Test1_Hand!$B$14</f>
        <v>6000</v>
      </c>
    </row>
    <row r="385" customFormat="false" ht="15" hidden="false" customHeight="false" outlineLevel="0" collapsed="false">
      <c r="A385" s="2" t="n">
        <v>373</v>
      </c>
      <c r="B385" s="22" t="n">
        <v>0.58770050086621</v>
      </c>
      <c r="C385" s="22" t="n">
        <v>0.0530262568426019</v>
      </c>
      <c r="D385" s="23" t="n">
        <f aca="false">BETAINV(C385,Test1_Hand!$B$21,Test1_Hand!$B$22,Test1_Hand!$B$9,Test1_Hand!$B$11)</f>
        <v>1.64937955258805</v>
      </c>
      <c r="E385" s="2" t="n">
        <f aca="false">IF(B385&lt;Test1_Hand!$B$12,1,0)</f>
        <v>0</v>
      </c>
      <c r="F385" s="23" t="n">
        <f aca="false">Test1_Hand!$B$4+E385*D385</f>
        <v>16</v>
      </c>
      <c r="G385" s="24" t="n">
        <f aca="false">Test1_Hand!$B$6*E385*D385+Test1_Hand!$B$7*MAX(0,F385-Test1_Hand!$B$5)</f>
        <v>0</v>
      </c>
      <c r="H385" s="2" t="n">
        <f aca="false">IF(B385&lt;Test1_Hand!$B$13,1,0)</f>
        <v>0</v>
      </c>
      <c r="I385" s="23" t="n">
        <f aca="false">Test1_Hand!$B$4+H385*D385</f>
        <v>16</v>
      </c>
      <c r="J385" s="24" t="n">
        <f aca="false">Test1_Hand!$B$6*H385*D385+Test1_Hand!$B$7*MAX(0,I385-Test1_Hand!$B$5)+Test1_Hand!$B$14</f>
        <v>6000</v>
      </c>
    </row>
    <row r="386" customFormat="false" ht="15" hidden="false" customHeight="false" outlineLevel="0" collapsed="false">
      <c r="A386" s="2" t="n">
        <v>374</v>
      </c>
      <c r="B386" s="22" t="n">
        <v>0.903509515822904</v>
      </c>
      <c r="C386" s="22" t="n">
        <v>0.583327017939025</v>
      </c>
      <c r="D386" s="23" t="n">
        <f aca="false">BETAINV(C386,Test1_Hand!$B$21,Test1_Hand!$B$22,Test1_Hand!$B$9,Test1_Hand!$B$11)</f>
        <v>3.68431826128246</v>
      </c>
      <c r="E386" s="2" t="n">
        <f aca="false">IF(B386&lt;Test1_Hand!$B$12,1,0)</f>
        <v>0</v>
      </c>
      <c r="F386" s="23" t="n">
        <f aca="false">Test1_Hand!$B$4+E386*D386</f>
        <v>16</v>
      </c>
      <c r="G386" s="24" t="n">
        <f aca="false">Test1_Hand!$B$6*E386*D386+Test1_Hand!$B$7*MAX(0,F386-Test1_Hand!$B$5)</f>
        <v>0</v>
      </c>
      <c r="H386" s="2" t="n">
        <f aca="false">IF(B386&lt;Test1_Hand!$B$13,1,0)</f>
        <v>0</v>
      </c>
      <c r="I386" s="23" t="n">
        <f aca="false">Test1_Hand!$B$4+H386*D386</f>
        <v>16</v>
      </c>
      <c r="J386" s="24" t="n">
        <f aca="false">Test1_Hand!$B$6*H386*D386+Test1_Hand!$B$7*MAX(0,I386-Test1_Hand!$B$5)+Test1_Hand!$B$14</f>
        <v>6000</v>
      </c>
    </row>
    <row r="387" customFormat="false" ht="15" hidden="false" customHeight="false" outlineLevel="0" collapsed="false">
      <c r="A387" s="2" t="n">
        <v>375</v>
      </c>
      <c r="B387" s="22" t="n">
        <v>0.169465139625989</v>
      </c>
      <c r="C387" s="22" t="n">
        <v>0.952930368942685</v>
      </c>
      <c r="D387" s="23" t="n">
        <f aca="false">BETAINV(C387,Test1_Hand!$B$21,Test1_Hand!$B$22,Test1_Hand!$B$9,Test1_Hand!$B$11)</f>
        <v>5.81225967453784</v>
      </c>
      <c r="E387" s="2" t="n">
        <f aca="false">IF(B387&lt;Test1_Hand!$B$12,1,0)</f>
        <v>1</v>
      </c>
      <c r="F387" s="23" t="n">
        <f aca="false">Test1_Hand!$B$4+E387*D387</f>
        <v>21.8122596745378</v>
      </c>
      <c r="G387" s="24" t="n">
        <f aca="false">Test1_Hand!$B$6*E387*D387+Test1_Hand!$B$7*MAX(0,F387-Test1_Hand!$B$5)</f>
        <v>55559.3757689919</v>
      </c>
      <c r="H387" s="2" t="n">
        <f aca="false">IF(B387&lt;Test1_Hand!$B$13,1,0)</f>
        <v>1</v>
      </c>
      <c r="I387" s="23" t="n">
        <f aca="false">Test1_Hand!$B$4+H387*D387</f>
        <v>21.8122596745378</v>
      </c>
      <c r="J387" s="24" t="n">
        <f aca="false">Test1_Hand!$B$6*H387*D387+Test1_Hand!$B$7*MAX(0,I387-Test1_Hand!$B$5)+Test1_Hand!$B$14</f>
        <v>61559.3757689919</v>
      </c>
    </row>
    <row r="388" customFormat="false" ht="15" hidden="false" customHeight="false" outlineLevel="0" collapsed="false">
      <c r="A388" s="2" t="n">
        <v>376</v>
      </c>
      <c r="B388" s="22" t="n">
        <v>0.163885286482416</v>
      </c>
      <c r="C388" s="22" t="n">
        <v>0.195521430954315</v>
      </c>
      <c r="D388" s="23" t="n">
        <f aca="false">BETAINV(C388,Test1_Hand!$B$21,Test1_Hand!$B$22,Test1_Hand!$B$9,Test1_Hand!$B$11)</f>
        <v>2.30952288776688</v>
      </c>
      <c r="E388" s="2" t="n">
        <f aca="false">IF(B388&lt;Test1_Hand!$B$12,1,0)</f>
        <v>1</v>
      </c>
      <c r="F388" s="23" t="n">
        <f aca="false">Test1_Hand!$B$4+E388*D388</f>
        <v>18.3095228877669</v>
      </c>
      <c r="G388" s="24" t="n">
        <f aca="false">Test1_Hand!$B$6*E388*D388+Test1_Hand!$B$7*MAX(0,F388-Test1_Hand!$B$5)</f>
        <v>18476.1831021351</v>
      </c>
      <c r="H388" s="2" t="n">
        <f aca="false">IF(B388&lt;Test1_Hand!$B$13,1,0)</f>
        <v>1</v>
      </c>
      <c r="I388" s="23" t="n">
        <f aca="false">Test1_Hand!$B$4+H388*D388</f>
        <v>18.3095228877669</v>
      </c>
      <c r="J388" s="24" t="n">
        <f aca="false">Test1_Hand!$B$6*H388*D388+Test1_Hand!$B$7*MAX(0,I388-Test1_Hand!$B$5)+Test1_Hand!$B$14</f>
        <v>24476.1831021351</v>
      </c>
    </row>
    <row r="389" customFormat="false" ht="15" hidden="false" customHeight="false" outlineLevel="0" collapsed="false">
      <c r="A389" s="2" t="n">
        <v>377</v>
      </c>
      <c r="B389" s="22" t="n">
        <v>0.605385171876134</v>
      </c>
      <c r="C389" s="22" t="n">
        <v>0.73777101914378</v>
      </c>
      <c r="D389" s="23" t="n">
        <f aca="false">BETAINV(C389,Test1_Hand!$B$21,Test1_Hand!$B$22,Test1_Hand!$B$9,Test1_Hand!$B$11)</f>
        <v>4.31773794927316</v>
      </c>
      <c r="E389" s="2" t="n">
        <f aca="false">IF(B389&lt;Test1_Hand!$B$12,1,0)</f>
        <v>0</v>
      </c>
      <c r="F389" s="23" t="n">
        <f aca="false">Test1_Hand!$B$4+E389*D389</f>
        <v>16</v>
      </c>
      <c r="G389" s="24" t="n">
        <f aca="false">Test1_Hand!$B$6*E389*D389+Test1_Hand!$B$7*MAX(0,F389-Test1_Hand!$B$5)</f>
        <v>0</v>
      </c>
      <c r="H389" s="2" t="n">
        <f aca="false">IF(B389&lt;Test1_Hand!$B$13,1,0)</f>
        <v>0</v>
      </c>
      <c r="I389" s="23" t="n">
        <f aca="false">Test1_Hand!$B$4+H389*D389</f>
        <v>16</v>
      </c>
      <c r="J389" s="24" t="n">
        <f aca="false">Test1_Hand!$B$6*H389*D389+Test1_Hand!$B$7*MAX(0,I389-Test1_Hand!$B$5)+Test1_Hand!$B$14</f>
        <v>6000</v>
      </c>
    </row>
    <row r="390" customFormat="false" ht="15" hidden="false" customHeight="false" outlineLevel="0" collapsed="false">
      <c r="A390" s="2" t="n">
        <v>378</v>
      </c>
      <c r="B390" s="22" t="n">
        <v>0.132029689808149</v>
      </c>
      <c r="C390" s="22" t="n">
        <v>0.394071410277929</v>
      </c>
      <c r="D390" s="23" t="n">
        <f aca="false">BETAINV(C390,Test1_Hand!$B$21,Test1_Hand!$B$22,Test1_Hand!$B$9,Test1_Hand!$B$11)</f>
        <v>3.01538063610722</v>
      </c>
      <c r="E390" s="2" t="n">
        <f aca="false">IF(B390&lt;Test1_Hand!$B$12,1,0)</f>
        <v>1</v>
      </c>
      <c r="F390" s="23" t="n">
        <f aca="false">Test1_Hand!$B$4+E390*D390</f>
        <v>19.0153806361072</v>
      </c>
      <c r="G390" s="24" t="n">
        <f aca="false">Test1_Hand!$B$6*E390*D390+Test1_Hand!$B$7*MAX(0,F390-Test1_Hand!$B$5)</f>
        <v>24123.0450888578</v>
      </c>
      <c r="H390" s="2" t="n">
        <f aca="false">IF(B390&lt;Test1_Hand!$B$13,1,0)</f>
        <v>1</v>
      </c>
      <c r="I390" s="23" t="n">
        <f aca="false">Test1_Hand!$B$4+H390*D390</f>
        <v>19.0153806361072</v>
      </c>
      <c r="J390" s="24" t="n">
        <f aca="false">Test1_Hand!$B$6*H390*D390+Test1_Hand!$B$7*MAX(0,I390-Test1_Hand!$B$5)+Test1_Hand!$B$14</f>
        <v>30123.0450888578</v>
      </c>
    </row>
    <row r="391" customFormat="false" ht="15" hidden="false" customHeight="false" outlineLevel="0" collapsed="false">
      <c r="A391" s="2" t="n">
        <v>379</v>
      </c>
      <c r="B391" s="22" t="n">
        <v>0.448690693721371</v>
      </c>
      <c r="C391" s="22" t="n">
        <v>0.457700152523785</v>
      </c>
      <c r="D391" s="23" t="n">
        <f aca="false">BETAINV(C391,Test1_Hand!$B$21,Test1_Hand!$B$22,Test1_Hand!$B$9,Test1_Hand!$B$11)</f>
        <v>3.23467142414348</v>
      </c>
      <c r="E391" s="2" t="n">
        <f aca="false">IF(B391&lt;Test1_Hand!$B$12,1,0)</f>
        <v>1</v>
      </c>
      <c r="F391" s="23" t="n">
        <f aca="false">Test1_Hand!$B$4+E391*D391</f>
        <v>19.2346714241435</v>
      </c>
      <c r="G391" s="24" t="n">
        <f aca="false">Test1_Hand!$B$6*E391*D391+Test1_Hand!$B$7*MAX(0,F391-Test1_Hand!$B$5)</f>
        <v>25877.3713931479</v>
      </c>
      <c r="H391" s="2" t="n">
        <f aca="false">IF(B391&lt;Test1_Hand!$B$13,1,0)</f>
        <v>0</v>
      </c>
      <c r="I391" s="23" t="n">
        <f aca="false">Test1_Hand!$B$4+H391*D391</f>
        <v>16</v>
      </c>
      <c r="J391" s="24" t="n">
        <f aca="false">Test1_Hand!$B$6*H391*D391+Test1_Hand!$B$7*MAX(0,I391-Test1_Hand!$B$5)+Test1_Hand!$B$14</f>
        <v>6000</v>
      </c>
    </row>
    <row r="392" customFormat="false" ht="15" hidden="false" customHeight="false" outlineLevel="0" collapsed="false">
      <c r="A392" s="2" t="n">
        <v>380</v>
      </c>
      <c r="B392" s="22" t="n">
        <v>0.479038944360075</v>
      </c>
      <c r="C392" s="22" t="n">
        <v>0.451888609924482</v>
      </c>
      <c r="D392" s="23" t="n">
        <f aca="false">BETAINV(C392,Test1_Hand!$B$21,Test1_Hand!$B$22,Test1_Hand!$B$9,Test1_Hand!$B$11)</f>
        <v>3.21452413949159</v>
      </c>
      <c r="E392" s="2" t="n">
        <f aca="false">IF(B392&lt;Test1_Hand!$B$12,1,0)</f>
        <v>1</v>
      </c>
      <c r="F392" s="23" t="n">
        <f aca="false">Test1_Hand!$B$4+E392*D392</f>
        <v>19.2145241394916</v>
      </c>
      <c r="G392" s="24" t="n">
        <f aca="false">Test1_Hand!$B$6*E392*D392+Test1_Hand!$B$7*MAX(0,F392-Test1_Hand!$B$5)</f>
        <v>25716.1931159327</v>
      </c>
      <c r="H392" s="2" t="n">
        <f aca="false">IF(B392&lt;Test1_Hand!$B$13,1,0)</f>
        <v>0</v>
      </c>
      <c r="I392" s="23" t="n">
        <f aca="false">Test1_Hand!$B$4+H392*D392</f>
        <v>16</v>
      </c>
      <c r="J392" s="24" t="n">
        <f aca="false">Test1_Hand!$B$6*H392*D392+Test1_Hand!$B$7*MAX(0,I392-Test1_Hand!$B$5)+Test1_Hand!$B$14</f>
        <v>6000</v>
      </c>
    </row>
    <row r="393" customFormat="false" ht="15" hidden="false" customHeight="false" outlineLevel="0" collapsed="false">
      <c r="A393" s="2" t="n">
        <v>381</v>
      </c>
      <c r="B393" s="22" t="n">
        <v>0.0174984899018501</v>
      </c>
      <c r="C393" s="22" t="n">
        <v>0.934763703050478</v>
      </c>
      <c r="D393" s="23" t="n">
        <f aca="false">BETAINV(C393,Test1_Hand!$B$21,Test1_Hand!$B$22,Test1_Hand!$B$9,Test1_Hand!$B$11)</f>
        <v>5.59557893384026</v>
      </c>
      <c r="E393" s="2" t="n">
        <f aca="false">IF(B393&lt;Test1_Hand!$B$12,1,0)</f>
        <v>1</v>
      </c>
      <c r="F393" s="23" t="n">
        <f aca="false">Test1_Hand!$B$4+E393*D393</f>
        <v>21.5955789338403</v>
      </c>
      <c r="G393" s="24" t="n">
        <f aca="false">Test1_Hand!$B$6*E393*D393+Test1_Hand!$B$7*MAX(0,F393-Test1_Hand!$B$5)</f>
        <v>52742.5261399233</v>
      </c>
      <c r="H393" s="2" t="n">
        <f aca="false">IF(B393&lt;Test1_Hand!$B$13,1,0)</f>
        <v>1</v>
      </c>
      <c r="I393" s="23" t="n">
        <f aca="false">Test1_Hand!$B$4+H393*D393</f>
        <v>21.5955789338403</v>
      </c>
      <c r="J393" s="24" t="n">
        <f aca="false">Test1_Hand!$B$6*H393*D393+Test1_Hand!$B$7*MAX(0,I393-Test1_Hand!$B$5)+Test1_Hand!$B$14</f>
        <v>58742.5261399233</v>
      </c>
    </row>
    <row r="394" customFormat="false" ht="15" hidden="false" customHeight="false" outlineLevel="0" collapsed="false">
      <c r="A394" s="2" t="n">
        <v>382</v>
      </c>
      <c r="B394" s="22" t="n">
        <v>0.577455289486603</v>
      </c>
      <c r="C394" s="22" t="n">
        <v>0.706076731975422</v>
      </c>
      <c r="D394" s="23" t="n">
        <f aca="false">BETAINV(C394,Test1_Hand!$B$21,Test1_Hand!$B$22,Test1_Hand!$B$9,Test1_Hand!$B$11)</f>
        <v>4.17577748991446</v>
      </c>
      <c r="E394" s="2" t="n">
        <f aca="false">IF(B394&lt;Test1_Hand!$B$12,1,0)</f>
        <v>0</v>
      </c>
      <c r="F394" s="23" t="n">
        <f aca="false">Test1_Hand!$B$4+E394*D394</f>
        <v>16</v>
      </c>
      <c r="G394" s="24" t="n">
        <f aca="false">Test1_Hand!$B$6*E394*D394+Test1_Hand!$B$7*MAX(0,F394-Test1_Hand!$B$5)</f>
        <v>0</v>
      </c>
      <c r="H394" s="2" t="n">
        <f aca="false">IF(B394&lt;Test1_Hand!$B$13,1,0)</f>
        <v>0</v>
      </c>
      <c r="I394" s="23" t="n">
        <f aca="false">Test1_Hand!$B$4+H394*D394</f>
        <v>16</v>
      </c>
      <c r="J394" s="24" t="n">
        <f aca="false">Test1_Hand!$B$6*H394*D394+Test1_Hand!$B$7*MAX(0,I394-Test1_Hand!$B$5)+Test1_Hand!$B$14</f>
        <v>6000</v>
      </c>
    </row>
    <row r="395" customFormat="false" ht="15" hidden="false" customHeight="false" outlineLevel="0" collapsed="false">
      <c r="A395" s="2" t="n">
        <v>383</v>
      </c>
      <c r="B395" s="22" t="n">
        <v>0.662801234866946</v>
      </c>
      <c r="C395" s="22" t="n">
        <v>0.956785379140732</v>
      </c>
      <c r="D395" s="23" t="n">
        <f aca="false">BETAINV(C395,Test1_Hand!$B$21,Test1_Hand!$B$22,Test1_Hand!$B$9,Test1_Hand!$B$11)</f>
        <v>5.86522017453178</v>
      </c>
      <c r="E395" s="2" t="n">
        <f aca="false">IF(B395&lt;Test1_Hand!$B$12,1,0)</f>
        <v>0</v>
      </c>
      <c r="F395" s="23" t="n">
        <f aca="false">Test1_Hand!$B$4+E395*D395</f>
        <v>16</v>
      </c>
      <c r="G395" s="24" t="n">
        <f aca="false">Test1_Hand!$B$6*E395*D395+Test1_Hand!$B$7*MAX(0,F395-Test1_Hand!$B$5)</f>
        <v>0</v>
      </c>
      <c r="H395" s="2" t="n">
        <f aca="false">IF(B395&lt;Test1_Hand!$B$13,1,0)</f>
        <v>0</v>
      </c>
      <c r="I395" s="23" t="n">
        <f aca="false">Test1_Hand!$B$4+H395*D395</f>
        <v>16</v>
      </c>
      <c r="J395" s="24" t="n">
        <f aca="false">Test1_Hand!$B$6*H395*D395+Test1_Hand!$B$7*MAX(0,I395-Test1_Hand!$B$5)+Test1_Hand!$B$14</f>
        <v>6000</v>
      </c>
    </row>
    <row r="396" customFormat="false" ht="15" hidden="false" customHeight="false" outlineLevel="0" collapsed="false">
      <c r="A396" s="2" t="n">
        <v>384</v>
      </c>
      <c r="B396" s="22" t="n">
        <v>0.55369243996711</v>
      </c>
      <c r="C396" s="22" t="n">
        <v>0.352638469655464</v>
      </c>
      <c r="D396" s="23" t="n">
        <f aca="false">BETAINV(C396,Test1_Hand!$B$21,Test1_Hand!$B$22,Test1_Hand!$B$9,Test1_Hand!$B$11)</f>
        <v>2.87298730646538</v>
      </c>
      <c r="E396" s="2" t="n">
        <f aca="false">IF(B396&lt;Test1_Hand!$B$12,1,0)</f>
        <v>0</v>
      </c>
      <c r="F396" s="23" t="n">
        <f aca="false">Test1_Hand!$B$4+E396*D396</f>
        <v>16</v>
      </c>
      <c r="G396" s="24" t="n">
        <f aca="false">Test1_Hand!$B$6*E396*D396+Test1_Hand!$B$7*MAX(0,F396-Test1_Hand!$B$5)</f>
        <v>0</v>
      </c>
      <c r="H396" s="2" t="n">
        <f aca="false">IF(B396&lt;Test1_Hand!$B$13,1,0)</f>
        <v>0</v>
      </c>
      <c r="I396" s="23" t="n">
        <f aca="false">Test1_Hand!$B$4+H396*D396</f>
        <v>16</v>
      </c>
      <c r="J396" s="24" t="n">
        <f aca="false">Test1_Hand!$B$6*H396*D396+Test1_Hand!$B$7*MAX(0,I396-Test1_Hand!$B$5)+Test1_Hand!$B$14</f>
        <v>6000</v>
      </c>
    </row>
    <row r="397" customFormat="false" ht="15" hidden="false" customHeight="false" outlineLevel="0" collapsed="false">
      <c r="A397" s="2" t="n">
        <v>385</v>
      </c>
      <c r="B397" s="22" t="n">
        <v>0.752837614534382</v>
      </c>
      <c r="C397" s="22" t="n">
        <v>0.181992393970091</v>
      </c>
      <c r="D397" s="23" t="n">
        <f aca="false">BETAINV(C397,Test1_Hand!$B$21,Test1_Hand!$B$22,Test1_Hand!$B$9,Test1_Hand!$B$11)</f>
        <v>2.25691562745461</v>
      </c>
      <c r="E397" s="2" t="n">
        <f aca="false">IF(B397&lt;Test1_Hand!$B$12,1,0)</f>
        <v>0</v>
      </c>
      <c r="F397" s="23" t="n">
        <f aca="false">Test1_Hand!$B$4+E397*D397</f>
        <v>16</v>
      </c>
      <c r="G397" s="24" t="n">
        <f aca="false">Test1_Hand!$B$6*E397*D397+Test1_Hand!$B$7*MAX(0,F397-Test1_Hand!$B$5)</f>
        <v>0</v>
      </c>
      <c r="H397" s="2" t="n">
        <f aca="false">IF(B397&lt;Test1_Hand!$B$13,1,0)</f>
        <v>0</v>
      </c>
      <c r="I397" s="23" t="n">
        <f aca="false">Test1_Hand!$B$4+H397*D397</f>
        <v>16</v>
      </c>
      <c r="J397" s="24" t="n">
        <f aca="false">Test1_Hand!$B$6*H397*D397+Test1_Hand!$B$7*MAX(0,I397-Test1_Hand!$B$5)+Test1_Hand!$B$14</f>
        <v>6000</v>
      </c>
    </row>
    <row r="398" customFormat="false" ht="15" hidden="false" customHeight="false" outlineLevel="0" collapsed="false">
      <c r="A398" s="2" t="n">
        <v>386</v>
      </c>
      <c r="B398" s="22" t="n">
        <v>0.594314956892278</v>
      </c>
      <c r="C398" s="22" t="n">
        <v>0.738726616020874</v>
      </c>
      <c r="D398" s="23" t="n">
        <f aca="false">BETAINV(C398,Test1_Hand!$B$21,Test1_Hand!$B$22,Test1_Hand!$B$9,Test1_Hand!$B$11)</f>
        <v>4.32215141529922</v>
      </c>
      <c r="E398" s="2" t="n">
        <f aca="false">IF(B398&lt;Test1_Hand!$B$12,1,0)</f>
        <v>0</v>
      </c>
      <c r="F398" s="23" t="n">
        <f aca="false">Test1_Hand!$B$4+E398*D398</f>
        <v>16</v>
      </c>
      <c r="G398" s="24" t="n">
        <f aca="false">Test1_Hand!$B$6*E398*D398+Test1_Hand!$B$7*MAX(0,F398-Test1_Hand!$B$5)</f>
        <v>0</v>
      </c>
      <c r="H398" s="2" t="n">
        <f aca="false">IF(B398&lt;Test1_Hand!$B$13,1,0)</f>
        <v>0</v>
      </c>
      <c r="I398" s="23" t="n">
        <f aca="false">Test1_Hand!$B$4+H398*D398</f>
        <v>16</v>
      </c>
      <c r="J398" s="24" t="n">
        <f aca="false">Test1_Hand!$B$6*H398*D398+Test1_Hand!$B$7*MAX(0,I398-Test1_Hand!$B$5)+Test1_Hand!$B$14</f>
        <v>6000</v>
      </c>
    </row>
    <row r="399" customFormat="false" ht="15" hidden="false" customHeight="false" outlineLevel="0" collapsed="false">
      <c r="A399" s="2" t="n">
        <v>387</v>
      </c>
      <c r="B399" s="22" t="n">
        <v>0.569329999038667</v>
      </c>
      <c r="C399" s="22" t="n">
        <v>0.841107455592542</v>
      </c>
      <c r="D399" s="23" t="n">
        <f aca="false">BETAINV(C399,Test1_Hand!$B$21,Test1_Hand!$B$22,Test1_Hand!$B$9,Test1_Hand!$B$11)</f>
        <v>4.8605774395765</v>
      </c>
      <c r="E399" s="2" t="n">
        <f aca="false">IF(B399&lt;Test1_Hand!$B$12,1,0)</f>
        <v>0</v>
      </c>
      <c r="F399" s="23" t="n">
        <f aca="false">Test1_Hand!$B$4+E399*D399</f>
        <v>16</v>
      </c>
      <c r="G399" s="24" t="n">
        <f aca="false">Test1_Hand!$B$6*E399*D399+Test1_Hand!$B$7*MAX(0,F399-Test1_Hand!$B$5)</f>
        <v>0</v>
      </c>
      <c r="H399" s="2" t="n">
        <f aca="false">IF(B399&lt;Test1_Hand!$B$13,1,0)</f>
        <v>0</v>
      </c>
      <c r="I399" s="23" t="n">
        <f aca="false">Test1_Hand!$B$4+H399*D399</f>
        <v>16</v>
      </c>
      <c r="J399" s="24" t="n">
        <f aca="false">Test1_Hand!$B$6*H399*D399+Test1_Hand!$B$7*MAX(0,I399-Test1_Hand!$B$5)+Test1_Hand!$B$14</f>
        <v>6000</v>
      </c>
    </row>
    <row r="400" customFormat="false" ht="15" hidden="false" customHeight="false" outlineLevel="0" collapsed="false">
      <c r="A400" s="2" t="n">
        <v>388</v>
      </c>
      <c r="B400" s="22" t="n">
        <v>0.14339795947536</v>
      </c>
      <c r="C400" s="22" t="n">
        <v>0.814498991278872</v>
      </c>
      <c r="D400" s="23" t="n">
        <f aca="false">BETAINV(C400,Test1_Hand!$B$21,Test1_Hand!$B$22,Test1_Hand!$B$9,Test1_Hand!$B$11)</f>
        <v>4.70514034486819</v>
      </c>
      <c r="E400" s="2" t="n">
        <f aca="false">IF(B400&lt;Test1_Hand!$B$12,1,0)</f>
        <v>1</v>
      </c>
      <c r="F400" s="23" t="n">
        <f aca="false">Test1_Hand!$B$4+E400*D400</f>
        <v>20.7051403448682</v>
      </c>
      <c r="G400" s="24" t="n">
        <f aca="false">Test1_Hand!$B$6*E400*D400+Test1_Hand!$B$7*MAX(0,F400-Test1_Hand!$B$5)</f>
        <v>41166.8244832865</v>
      </c>
      <c r="H400" s="2" t="n">
        <f aca="false">IF(B400&lt;Test1_Hand!$B$13,1,0)</f>
        <v>1</v>
      </c>
      <c r="I400" s="23" t="n">
        <f aca="false">Test1_Hand!$B$4+H400*D400</f>
        <v>20.7051403448682</v>
      </c>
      <c r="J400" s="24" t="n">
        <f aca="false">Test1_Hand!$B$6*H400*D400+Test1_Hand!$B$7*MAX(0,I400-Test1_Hand!$B$5)+Test1_Hand!$B$14</f>
        <v>47166.8244832865</v>
      </c>
    </row>
    <row r="401" customFormat="false" ht="15" hidden="false" customHeight="false" outlineLevel="0" collapsed="false">
      <c r="A401" s="2" t="n">
        <v>389</v>
      </c>
      <c r="B401" s="22" t="n">
        <v>0.942591088232952</v>
      </c>
      <c r="C401" s="22" t="n">
        <v>0.849724034639268</v>
      </c>
      <c r="D401" s="23" t="n">
        <f aca="false">BETAINV(C401,Test1_Hand!$B$21,Test1_Hand!$B$22,Test1_Hand!$B$9,Test1_Hand!$B$11)</f>
        <v>4.91419662471474</v>
      </c>
      <c r="E401" s="2" t="n">
        <f aca="false">IF(B401&lt;Test1_Hand!$B$12,1,0)</f>
        <v>0</v>
      </c>
      <c r="F401" s="23" t="n">
        <f aca="false">Test1_Hand!$B$4+E401*D401</f>
        <v>16</v>
      </c>
      <c r="G401" s="24" t="n">
        <f aca="false">Test1_Hand!$B$6*E401*D401+Test1_Hand!$B$7*MAX(0,F401-Test1_Hand!$B$5)</f>
        <v>0</v>
      </c>
      <c r="H401" s="2" t="n">
        <f aca="false">IF(B401&lt;Test1_Hand!$B$13,1,0)</f>
        <v>0</v>
      </c>
      <c r="I401" s="23" t="n">
        <f aca="false">Test1_Hand!$B$4+H401*D401</f>
        <v>16</v>
      </c>
      <c r="J401" s="24" t="n">
        <f aca="false">Test1_Hand!$B$6*H401*D401+Test1_Hand!$B$7*MAX(0,I401-Test1_Hand!$B$5)+Test1_Hand!$B$14</f>
        <v>6000</v>
      </c>
    </row>
    <row r="402" customFormat="false" ht="15" hidden="false" customHeight="false" outlineLevel="0" collapsed="false">
      <c r="A402" s="2" t="n">
        <v>390</v>
      </c>
      <c r="B402" s="22" t="n">
        <v>0.380595613967163</v>
      </c>
      <c r="C402" s="22" t="n">
        <v>0.153035368846769</v>
      </c>
      <c r="D402" s="23" t="n">
        <f aca="false">BETAINV(C402,Test1_Hand!$B$21,Test1_Hand!$B$22,Test1_Hand!$B$9,Test1_Hand!$B$11)</f>
        <v>2.14015241991679</v>
      </c>
      <c r="E402" s="2" t="n">
        <f aca="false">IF(B402&lt;Test1_Hand!$B$12,1,0)</f>
        <v>1</v>
      </c>
      <c r="F402" s="23" t="n">
        <f aca="false">Test1_Hand!$B$4+E402*D402</f>
        <v>18.1401524199168</v>
      </c>
      <c r="G402" s="24" t="n">
        <f aca="false">Test1_Hand!$B$6*E402*D402+Test1_Hand!$B$7*MAX(0,F402-Test1_Hand!$B$5)</f>
        <v>17121.2193593343</v>
      </c>
      <c r="H402" s="2" t="n">
        <f aca="false">IF(B402&lt;Test1_Hand!$B$13,1,0)</f>
        <v>0</v>
      </c>
      <c r="I402" s="23" t="n">
        <f aca="false">Test1_Hand!$B$4+H402*D402</f>
        <v>16</v>
      </c>
      <c r="J402" s="24" t="n">
        <f aca="false">Test1_Hand!$B$6*H402*D402+Test1_Hand!$B$7*MAX(0,I402-Test1_Hand!$B$5)+Test1_Hand!$B$14</f>
        <v>6000</v>
      </c>
    </row>
    <row r="403" customFormat="false" ht="15" hidden="false" customHeight="false" outlineLevel="0" collapsed="false">
      <c r="A403" s="2" t="n">
        <v>391</v>
      </c>
      <c r="B403" s="22" t="n">
        <v>0.596411079087896</v>
      </c>
      <c r="C403" s="22" t="n">
        <v>0.259881199593803</v>
      </c>
      <c r="D403" s="23" t="n">
        <f aca="false">BETAINV(C403,Test1_Hand!$B$21,Test1_Hand!$B$22,Test1_Hand!$B$9,Test1_Hand!$B$11)</f>
        <v>2.54809392218678</v>
      </c>
      <c r="E403" s="2" t="n">
        <f aca="false">IF(B403&lt;Test1_Hand!$B$12,1,0)</f>
        <v>0</v>
      </c>
      <c r="F403" s="23" t="n">
        <f aca="false">Test1_Hand!$B$4+E403*D403</f>
        <v>16</v>
      </c>
      <c r="G403" s="24" t="n">
        <f aca="false">Test1_Hand!$B$6*E403*D403+Test1_Hand!$B$7*MAX(0,F403-Test1_Hand!$B$5)</f>
        <v>0</v>
      </c>
      <c r="H403" s="2" t="n">
        <f aca="false">IF(B403&lt;Test1_Hand!$B$13,1,0)</f>
        <v>0</v>
      </c>
      <c r="I403" s="23" t="n">
        <f aca="false">Test1_Hand!$B$4+H403*D403</f>
        <v>16</v>
      </c>
      <c r="J403" s="24" t="n">
        <f aca="false">Test1_Hand!$B$6*H403*D403+Test1_Hand!$B$7*MAX(0,I403-Test1_Hand!$B$5)+Test1_Hand!$B$14</f>
        <v>6000</v>
      </c>
    </row>
    <row r="404" customFormat="false" ht="15" hidden="false" customHeight="false" outlineLevel="0" collapsed="false">
      <c r="A404" s="2" t="n">
        <v>392</v>
      </c>
      <c r="B404" s="22" t="n">
        <v>0.701318024933061</v>
      </c>
      <c r="C404" s="22" t="n">
        <v>0.315635686315472</v>
      </c>
      <c r="D404" s="23" t="n">
        <f aca="false">BETAINV(C404,Test1_Hand!$B$21,Test1_Hand!$B$22,Test1_Hand!$B$9,Test1_Hand!$B$11)</f>
        <v>2.74493456489043</v>
      </c>
      <c r="E404" s="2" t="n">
        <f aca="false">IF(B404&lt;Test1_Hand!$B$12,1,0)</f>
        <v>0</v>
      </c>
      <c r="F404" s="23" t="n">
        <f aca="false">Test1_Hand!$B$4+E404*D404</f>
        <v>16</v>
      </c>
      <c r="G404" s="24" t="n">
        <f aca="false">Test1_Hand!$B$6*E404*D404+Test1_Hand!$B$7*MAX(0,F404-Test1_Hand!$B$5)</f>
        <v>0</v>
      </c>
      <c r="H404" s="2" t="n">
        <f aca="false">IF(B404&lt;Test1_Hand!$B$13,1,0)</f>
        <v>0</v>
      </c>
      <c r="I404" s="23" t="n">
        <f aca="false">Test1_Hand!$B$4+H404*D404</f>
        <v>16</v>
      </c>
      <c r="J404" s="24" t="n">
        <f aca="false">Test1_Hand!$B$6*H404*D404+Test1_Hand!$B$7*MAX(0,I404-Test1_Hand!$B$5)+Test1_Hand!$B$14</f>
        <v>6000</v>
      </c>
    </row>
    <row r="405" customFormat="false" ht="15" hidden="false" customHeight="false" outlineLevel="0" collapsed="false">
      <c r="A405" s="2" t="n">
        <v>393</v>
      </c>
      <c r="B405" s="22" t="n">
        <v>0.719297280260978</v>
      </c>
      <c r="C405" s="22" t="n">
        <v>0.390359986211421</v>
      </c>
      <c r="D405" s="23" t="n">
        <f aca="false">BETAINV(C405,Test1_Hand!$B$21,Test1_Hand!$B$22,Test1_Hand!$B$9,Test1_Hand!$B$11)</f>
        <v>3.00263776800893</v>
      </c>
      <c r="E405" s="2" t="n">
        <f aca="false">IF(B405&lt;Test1_Hand!$B$12,1,0)</f>
        <v>0</v>
      </c>
      <c r="F405" s="23" t="n">
        <f aca="false">Test1_Hand!$B$4+E405*D405</f>
        <v>16</v>
      </c>
      <c r="G405" s="24" t="n">
        <f aca="false">Test1_Hand!$B$6*E405*D405+Test1_Hand!$B$7*MAX(0,F405-Test1_Hand!$B$5)</f>
        <v>0</v>
      </c>
      <c r="H405" s="2" t="n">
        <f aca="false">IF(B405&lt;Test1_Hand!$B$13,1,0)</f>
        <v>0</v>
      </c>
      <c r="I405" s="23" t="n">
        <f aca="false">Test1_Hand!$B$4+H405*D405</f>
        <v>16</v>
      </c>
      <c r="J405" s="24" t="n">
        <f aca="false">Test1_Hand!$B$6*H405*D405+Test1_Hand!$B$7*MAX(0,I405-Test1_Hand!$B$5)+Test1_Hand!$B$14</f>
        <v>6000</v>
      </c>
    </row>
    <row r="406" customFormat="false" ht="15" hidden="false" customHeight="false" outlineLevel="0" collapsed="false">
      <c r="A406" s="2" t="n">
        <v>394</v>
      </c>
      <c r="B406" s="22" t="n">
        <v>0.475590323001922</v>
      </c>
      <c r="C406" s="22" t="n">
        <v>0.910749621882777</v>
      </c>
      <c r="D406" s="23" t="n">
        <f aca="false">BETAINV(C406,Test1_Hand!$B$21,Test1_Hand!$B$22,Test1_Hand!$B$9,Test1_Hand!$B$11)</f>
        <v>5.36348549065902</v>
      </c>
      <c r="E406" s="2" t="n">
        <f aca="false">IF(B406&lt;Test1_Hand!$B$12,1,0)</f>
        <v>1</v>
      </c>
      <c r="F406" s="23" t="n">
        <f aca="false">Test1_Hand!$B$4+E406*D406</f>
        <v>21.363485490659</v>
      </c>
      <c r="G406" s="24" t="n">
        <f aca="false">Test1_Hand!$B$6*E406*D406+Test1_Hand!$B$7*MAX(0,F406-Test1_Hand!$B$5)</f>
        <v>49725.3113785672</v>
      </c>
      <c r="H406" s="2" t="n">
        <f aca="false">IF(B406&lt;Test1_Hand!$B$13,1,0)</f>
        <v>0</v>
      </c>
      <c r="I406" s="23" t="n">
        <f aca="false">Test1_Hand!$B$4+H406*D406</f>
        <v>16</v>
      </c>
      <c r="J406" s="24" t="n">
        <f aca="false">Test1_Hand!$B$6*H406*D406+Test1_Hand!$B$7*MAX(0,I406-Test1_Hand!$B$5)+Test1_Hand!$B$14</f>
        <v>6000</v>
      </c>
    </row>
    <row r="407" customFormat="false" ht="15" hidden="false" customHeight="false" outlineLevel="0" collapsed="false">
      <c r="A407" s="2" t="n">
        <v>395</v>
      </c>
      <c r="B407" s="22" t="n">
        <v>0.398097067459529</v>
      </c>
      <c r="C407" s="22" t="n">
        <v>0.0526814422732976</v>
      </c>
      <c r="D407" s="23" t="n">
        <f aca="false">BETAINV(C407,Test1_Hand!$B$21,Test1_Hand!$B$22,Test1_Hand!$B$9,Test1_Hand!$B$11)</f>
        <v>1.64721414783468</v>
      </c>
      <c r="E407" s="2" t="n">
        <f aca="false">IF(B407&lt;Test1_Hand!$B$12,1,0)</f>
        <v>1</v>
      </c>
      <c r="F407" s="23" t="n">
        <f aca="false">Test1_Hand!$B$4+E407*D407</f>
        <v>17.6472141478347</v>
      </c>
      <c r="G407" s="24" t="n">
        <f aca="false">Test1_Hand!$B$6*E407*D407+Test1_Hand!$B$7*MAX(0,F407-Test1_Hand!$B$5)</f>
        <v>13177.7131826775</v>
      </c>
      <c r="H407" s="2" t="n">
        <f aca="false">IF(B407&lt;Test1_Hand!$B$13,1,0)</f>
        <v>0</v>
      </c>
      <c r="I407" s="23" t="n">
        <f aca="false">Test1_Hand!$B$4+H407*D407</f>
        <v>16</v>
      </c>
      <c r="J407" s="24" t="n">
        <f aca="false">Test1_Hand!$B$6*H407*D407+Test1_Hand!$B$7*MAX(0,I407-Test1_Hand!$B$5)+Test1_Hand!$B$14</f>
        <v>6000</v>
      </c>
    </row>
    <row r="408" customFormat="false" ht="15" hidden="false" customHeight="false" outlineLevel="0" collapsed="false">
      <c r="A408" s="2" t="n">
        <v>396</v>
      </c>
      <c r="B408" s="22" t="n">
        <v>0.961933574832003</v>
      </c>
      <c r="C408" s="22" t="n">
        <v>0.165071912580025</v>
      </c>
      <c r="D408" s="23" t="n">
        <f aca="false">BETAINV(C408,Test1_Hand!$B$21,Test1_Hand!$B$22,Test1_Hand!$B$9,Test1_Hand!$B$11)</f>
        <v>2.18945777850043</v>
      </c>
      <c r="E408" s="2" t="n">
        <f aca="false">IF(B408&lt;Test1_Hand!$B$12,1,0)</f>
        <v>0</v>
      </c>
      <c r="F408" s="23" t="n">
        <f aca="false">Test1_Hand!$B$4+E408*D408</f>
        <v>16</v>
      </c>
      <c r="G408" s="24" t="n">
        <f aca="false">Test1_Hand!$B$6*E408*D408+Test1_Hand!$B$7*MAX(0,F408-Test1_Hand!$B$5)</f>
        <v>0</v>
      </c>
      <c r="H408" s="2" t="n">
        <f aca="false">IF(B408&lt;Test1_Hand!$B$13,1,0)</f>
        <v>0</v>
      </c>
      <c r="I408" s="23" t="n">
        <f aca="false">Test1_Hand!$B$4+H408*D408</f>
        <v>16</v>
      </c>
      <c r="J408" s="24" t="n">
        <f aca="false">Test1_Hand!$B$6*H408*D408+Test1_Hand!$B$7*MAX(0,I408-Test1_Hand!$B$5)+Test1_Hand!$B$14</f>
        <v>6000</v>
      </c>
    </row>
    <row r="409" customFormat="false" ht="15" hidden="false" customHeight="false" outlineLevel="0" collapsed="false">
      <c r="A409" s="2" t="n">
        <v>397</v>
      </c>
      <c r="B409" s="22" t="n">
        <v>0.291780511860443</v>
      </c>
      <c r="C409" s="22" t="n">
        <v>0.765086043492848</v>
      </c>
      <c r="D409" s="23" t="n">
        <f aca="false">BETAINV(C409,Test1_Hand!$B$21,Test1_Hand!$B$22,Test1_Hand!$B$9,Test1_Hand!$B$11)</f>
        <v>4.44744632973545</v>
      </c>
      <c r="E409" s="2" t="n">
        <f aca="false">IF(B409&lt;Test1_Hand!$B$12,1,0)</f>
        <v>1</v>
      </c>
      <c r="F409" s="23" t="n">
        <f aca="false">Test1_Hand!$B$4+E409*D409</f>
        <v>20.4474463297355</v>
      </c>
      <c r="G409" s="24" t="n">
        <f aca="false">Test1_Hand!$B$6*E409*D409+Test1_Hand!$B$7*MAX(0,F409-Test1_Hand!$B$5)</f>
        <v>37816.8022865609</v>
      </c>
      <c r="H409" s="2" t="n">
        <f aca="false">IF(B409&lt;Test1_Hand!$B$13,1,0)</f>
        <v>0</v>
      </c>
      <c r="I409" s="23" t="n">
        <f aca="false">Test1_Hand!$B$4+H409*D409</f>
        <v>16</v>
      </c>
      <c r="J409" s="24" t="n">
        <f aca="false">Test1_Hand!$B$6*H409*D409+Test1_Hand!$B$7*MAX(0,I409-Test1_Hand!$B$5)+Test1_Hand!$B$14</f>
        <v>6000</v>
      </c>
    </row>
    <row r="410" customFormat="false" ht="15" hidden="false" customHeight="false" outlineLevel="0" collapsed="false">
      <c r="A410" s="2" t="n">
        <v>398</v>
      </c>
      <c r="B410" s="22" t="n">
        <v>0.00051243761187747</v>
      </c>
      <c r="C410" s="22" t="n">
        <v>0.757998702614875</v>
      </c>
      <c r="D410" s="23" t="n">
        <f aca="false">BETAINV(C410,Test1_Hand!$B$21,Test1_Hand!$B$22,Test1_Hand!$B$9,Test1_Hand!$B$11)</f>
        <v>4.41304867552858</v>
      </c>
      <c r="E410" s="2" t="n">
        <f aca="false">IF(B410&lt;Test1_Hand!$B$12,1,0)</f>
        <v>1</v>
      </c>
      <c r="F410" s="23" t="n">
        <f aca="false">Test1_Hand!$B$4+E410*D410</f>
        <v>20.4130486755286</v>
      </c>
      <c r="G410" s="24" t="n">
        <f aca="false">Test1_Hand!$B$6*E410*D410+Test1_Hand!$B$7*MAX(0,F410-Test1_Hand!$B$5)</f>
        <v>37369.6327818716</v>
      </c>
      <c r="H410" s="2" t="n">
        <f aca="false">IF(B410&lt;Test1_Hand!$B$13,1,0)</f>
        <v>1</v>
      </c>
      <c r="I410" s="23" t="n">
        <f aca="false">Test1_Hand!$B$4+H410*D410</f>
        <v>20.4130486755286</v>
      </c>
      <c r="J410" s="24" t="n">
        <f aca="false">Test1_Hand!$B$6*H410*D410+Test1_Hand!$B$7*MAX(0,I410-Test1_Hand!$B$5)+Test1_Hand!$B$14</f>
        <v>43369.6327818716</v>
      </c>
    </row>
    <row r="411" customFormat="false" ht="15" hidden="false" customHeight="false" outlineLevel="0" collapsed="false">
      <c r="A411" s="2" t="n">
        <v>399</v>
      </c>
      <c r="B411" s="22" t="n">
        <v>0.492025034530645</v>
      </c>
      <c r="C411" s="22" t="n">
        <v>0.66944101279052</v>
      </c>
      <c r="D411" s="23" t="n">
        <f aca="false">BETAINV(C411,Test1_Hand!$B$21,Test1_Hand!$B$22,Test1_Hand!$B$9,Test1_Hand!$B$11)</f>
        <v>4.02082105771426</v>
      </c>
      <c r="E411" s="2" t="n">
        <f aca="false">IF(B411&lt;Test1_Hand!$B$12,1,0)</f>
        <v>1</v>
      </c>
      <c r="F411" s="23" t="n">
        <f aca="false">Test1_Hand!$B$4+E411*D411</f>
        <v>20.0208210577143</v>
      </c>
      <c r="G411" s="24" t="n">
        <f aca="false">Test1_Hand!$B$6*E411*D411+Test1_Hand!$B$7*MAX(0,F411-Test1_Hand!$B$5)</f>
        <v>32270.6737502854</v>
      </c>
      <c r="H411" s="2" t="n">
        <f aca="false">IF(B411&lt;Test1_Hand!$B$13,1,0)</f>
        <v>0</v>
      </c>
      <c r="I411" s="23" t="n">
        <f aca="false">Test1_Hand!$B$4+H411*D411</f>
        <v>16</v>
      </c>
      <c r="J411" s="24" t="n">
        <f aca="false">Test1_Hand!$B$6*H411*D411+Test1_Hand!$B$7*MAX(0,I411-Test1_Hand!$B$5)+Test1_Hand!$B$14</f>
        <v>6000</v>
      </c>
    </row>
    <row r="412" customFormat="false" ht="15" hidden="false" customHeight="false" outlineLevel="0" collapsed="false">
      <c r="A412" s="2" t="n">
        <v>400</v>
      </c>
      <c r="B412" s="22" t="n">
        <v>0.336259637838702</v>
      </c>
      <c r="C412" s="22" t="n">
        <v>0.303212310854258</v>
      </c>
      <c r="D412" s="23" t="n">
        <f aca="false">BETAINV(C412,Test1_Hand!$B$21,Test1_Hand!$B$22,Test1_Hand!$B$9,Test1_Hand!$B$11)</f>
        <v>2.70157863461711</v>
      </c>
      <c r="E412" s="2" t="n">
        <f aca="false">IF(B412&lt;Test1_Hand!$B$12,1,0)</f>
        <v>1</v>
      </c>
      <c r="F412" s="23" t="n">
        <f aca="false">Test1_Hand!$B$4+E412*D412</f>
        <v>18.7015786346171</v>
      </c>
      <c r="G412" s="24" t="n">
        <f aca="false">Test1_Hand!$B$6*E412*D412+Test1_Hand!$B$7*MAX(0,F412-Test1_Hand!$B$5)</f>
        <v>21612.6290769369</v>
      </c>
      <c r="H412" s="2" t="n">
        <f aca="false">IF(B412&lt;Test1_Hand!$B$13,1,0)</f>
        <v>0</v>
      </c>
      <c r="I412" s="23" t="n">
        <f aca="false">Test1_Hand!$B$4+H412*D412</f>
        <v>16</v>
      </c>
      <c r="J412" s="24" t="n">
        <f aca="false">Test1_Hand!$B$6*H412*D412+Test1_Hand!$B$7*MAX(0,I412-Test1_Hand!$B$5)+Test1_Hand!$B$14</f>
        <v>6000</v>
      </c>
    </row>
    <row r="413" customFormat="false" ht="15" hidden="false" customHeight="false" outlineLevel="0" collapsed="false">
      <c r="A413" s="2" t="n">
        <v>401</v>
      </c>
      <c r="B413" s="22" t="n">
        <v>0.955247270387344</v>
      </c>
      <c r="C413" s="22" t="n">
        <v>0.894404575055768</v>
      </c>
      <c r="D413" s="23" t="n">
        <f aca="false">BETAINV(C413,Test1_Hand!$B$21,Test1_Hand!$B$22,Test1_Hand!$B$9,Test1_Hand!$B$11)</f>
        <v>5.22789609500538</v>
      </c>
      <c r="E413" s="2" t="n">
        <f aca="false">IF(B413&lt;Test1_Hand!$B$12,1,0)</f>
        <v>0</v>
      </c>
      <c r="F413" s="23" t="n">
        <f aca="false">Test1_Hand!$B$4+E413*D413</f>
        <v>16</v>
      </c>
      <c r="G413" s="24" t="n">
        <f aca="false">Test1_Hand!$B$6*E413*D413+Test1_Hand!$B$7*MAX(0,F413-Test1_Hand!$B$5)</f>
        <v>0</v>
      </c>
      <c r="H413" s="2" t="n">
        <f aca="false">IF(B413&lt;Test1_Hand!$B$13,1,0)</f>
        <v>0</v>
      </c>
      <c r="I413" s="23" t="n">
        <f aca="false">Test1_Hand!$B$4+H413*D413</f>
        <v>16</v>
      </c>
      <c r="J413" s="24" t="n">
        <f aca="false">Test1_Hand!$B$6*H413*D413+Test1_Hand!$B$7*MAX(0,I413-Test1_Hand!$B$5)+Test1_Hand!$B$14</f>
        <v>6000</v>
      </c>
    </row>
    <row r="414" customFormat="false" ht="15" hidden="false" customHeight="false" outlineLevel="0" collapsed="false">
      <c r="A414" s="2" t="n">
        <v>402</v>
      </c>
      <c r="B414" s="22" t="n">
        <v>0.638921621509594</v>
      </c>
      <c r="C414" s="22" t="n">
        <v>0.348713062907055</v>
      </c>
      <c r="D414" s="23" t="n">
        <f aca="false">BETAINV(C414,Test1_Hand!$B$21,Test1_Hand!$B$22,Test1_Hand!$B$9,Test1_Hand!$B$11)</f>
        <v>2.85946024994292</v>
      </c>
      <c r="E414" s="2" t="n">
        <f aca="false">IF(B414&lt;Test1_Hand!$B$12,1,0)</f>
        <v>0</v>
      </c>
      <c r="F414" s="23" t="n">
        <f aca="false">Test1_Hand!$B$4+E414*D414</f>
        <v>16</v>
      </c>
      <c r="G414" s="24" t="n">
        <f aca="false">Test1_Hand!$B$6*E414*D414+Test1_Hand!$B$7*MAX(0,F414-Test1_Hand!$B$5)</f>
        <v>0</v>
      </c>
      <c r="H414" s="2" t="n">
        <f aca="false">IF(B414&lt;Test1_Hand!$B$13,1,0)</f>
        <v>0</v>
      </c>
      <c r="I414" s="23" t="n">
        <f aca="false">Test1_Hand!$B$4+H414*D414</f>
        <v>16</v>
      </c>
      <c r="J414" s="24" t="n">
        <f aca="false">Test1_Hand!$B$6*H414*D414+Test1_Hand!$B$7*MAX(0,I414-Test1_Hand!$B$5)+Test1_Hand!$B$14</f>
        <v>6000</v>
      </c>
    </row>
    <row r="415" customFormat="false" ht="15" hidden="false" customHeight="false" outlineLevel="0" collapsed="false">
      <c r="A415" s="2" t="n">
        <v>403</v>
      </c>
      <c r="B415" s="22" t="n">
        <v>0.0999702248790698</v>
      </c>
      <c r="C415" s="22" t="n">
        <v>0.0662744056728084</v>
      </c>
      <c r="D415" s="23" t="n">
        <f aca="false">BETAINV(C415,Test1_Hand!$B$21,Test1_Hand!$B$22,Test1_Hand!$B$9,Test1_Hand!$B$11)</f>
        <v>1.72845155431965</v>
      </c>
      <c r="E415" s="2" t="n">
        <f aca="false">IF(B415&lt;Test1_Hand!$B$12,1,0)</f>
        <v>1</v>
      </c>
      <c r="F415" s="23" t="n">
        <f aca="false">Test1_Hand!$B$4+E415*D415</f>
        <v>17.7284515543197</v>
      </c>
      <c r="G415" s="24" t="n">
        <f aca="false">Test1_Hand!$B$6*E415*D415+Test1_Hand!$B$7*MAX(0,F415-Test1_Hand!$B$5)</f>
        <v>13827.6124345572</v>
      </c>
      <c r="H415" s="2" t="n">
        <f aca="false">IF(B415&lt;Test1_Hand!$B$13,1,0)</f>
        <v>1</v>
      </c>
      <c r="I415" s="23" t="n">
        <f aca="false">Test1_Hand!$B$4+H415*D415</f>
        <v>17.7284515543197</v>
      </c>
      <c r="J415" s="24" t="n">
        <f aca="false">Test1_Hand!$B$6*H415*D415+Test1_Hand!$B$7*MAX(0,I415-Test1_Hand!$B$5)+Test1_Hand!$B$14</f>
        <v>19827.6124345572</v>
      </c>
    </row>
    <row r="416" customFormat="false" ht="15" hidden="false" customHeight="false" outlineLevel="0" collapsed="false">
      <c r="A416" s="2" t="n">
        <v>404</v>
      </c>
      <c r="B416" s="22" t="n">
        <v>0.273710599630916</v>
      </c>
      <c r="C416" s="22" t="n">
        <v>0.734895508399726</v>
      </c>
      <c r="D416" s="23" t="n">
        <f aca="false">BETAINV(C416,Test1_Hand!$B$21,Test1_Hand!$B$22,Test1_Hand!$B$9,Test1_Hand!$B$11)</f>
        <v>4.30450763800571</v>
      </c>
      <c r="E416" s="2" t="n">
        <f aca="false">IF(B416&lt;Test1_Hand!$B$12,1,0)</f>
        <v>1</v>
      </c>
      <c r="F416" s="23" t="n">
        <f aca="false">Test1_Hand!$B$4+E416*D416</f>
        <v>20.3045076380057</v>
      </c>
      <c r="G416" s="24" t="n">
        <f aca="false">Test1_Hand!$B$6*E416*D416+Test1_Hand!$B$7*MAX(0,F416-Test1_Hand!$B$5)</f>
        <v>35958.5992940742</v>
      </c>
      <c r="H416" s="2" t="n">
        <f aca="false">IF(B416&lt;Test1_Hand!$B$13,1,0)</f>
        <v>0</v>
      </c>
      <c r="I416" s="23" t="n">
        <f aca="false">Test1_Hand!$B$4+H416*D416</f>
        <v>16</v>
      </c>
      <c r="J416" s="24" t="n">
        <f aca="false">Test1_Hand!$B$6*H416*D416+Test1_Hand!$B$7*MAX(0,I416-Test1_Hand!$B$5)+Test1_Hand!$B$14</f>
        <v>6000</v>
      </c>
    </row>
    <row r="417" customFormat="false" ht="15" hidden="false" customHeight="false" outlineLevel="0" collapsed="false">
      <c r="A417" s="2" t="n">
        <v>405</v>
      </c>
      <c r="B417" s="22" t="n">
        <v>0.258374074826703</v>
      </c>
      <c r="C417" s="22" t="n">
        <v>0.258161281217184</v>
      </c>
      <c r="D417" s="23" t="n">
        <f aca="false">BETAINV(C417,Test1_Hand!$B$21,Test1_Hand!$B$22,Test1_Hand!$B$9,Test1_Hand!$B$11)</f>
        <v>2.54190989026165</v>
      </c>
      <c r="E417" s="2" t="n">
        <f aca="false">IF(B417&lt;Test1_Hand!$B$12,1,0)</f>
        <v>1</v>
      </c>
      <c r="F417" s="23" t="n">
        <f aca="false">Test1_Hand!$B$4+E417*D417</f>
        <v>18.5419098902617</v>
      </c>
      <c r="G417" s="24" t="n">
        <f aca="false">Test1_Hand!$B$6*E417*D417+Test1_Hand!$B$7*MAX(0,F417-Test1_Hand!$B$5)</f>
        <v>20335.2791220932</v>
      </c>
      <c r="H417" s="2" t="n">
        <f aca="false">IF(B417&lt;Test1_Hand!$B$13,1,0)</f>
        <v>0</v>
      </c>
      <c r="I417" s="23" t="n">
        <f aca="false">Test1_Hand!$B$4+H417*D417</f>
        <v>16</v>
      </c>
      <c r="J417" s="24" t="n">
        <f aca="false">Test1_Hand!$B$6*H417*D417+Test1_Hand!$B$7*MAX(0,I417-Test1_Hand!$B$5)+Test1_Hand!$B$14</f>
        <v>6000</v>
      </c>
    </row>
    <row r="418" customFormat="false" ht="15" hidden="false" customHeight="false" outlineLevel="0" collapsed="false">
      <c r="A418" s="2" t="n">
        <v>406</v>
      </c>
      <c r="B418" s="22" t="n">
        <v>0.527561138262299</v>
      </c>
      <c r="C418" s="22" t="n">
        <v>0.769200424481732</v>
      </c>
      <c r="D418" s="23" t="n">
        <f aca="false">BETAINV(C418,Test1_Hand!$B$21,Test1_Hand!$B$22,Test1_Hand!$B$9,Test1_Hand!$B$11)</f>
        <v>4.46767384437865</v>
      </c>
      <c r="E418" s="2" t="n">
        <f aca="false">IF(B418&lt;Test1_Hand!$B$12,1,0)</f>
        <v>0</v>
      </c>
      <c r="F418" s="23" t="n">
        <f aca="false">Test1_Hand!$B$4+E418*D418</f>
        <v>16</v>
      </c>
      <c r="G418" s="24" t="n">
        <f aca="false">Test1_Hand!$B$6*E418*D418+Test1_Hand!$B$7*MAX(0,F418-Test1_Hand!$B$5)</f>
        <v>0</v>
      </c>
      <c r="H418" s="2" t="n">
        <f aca="false">IF(B418&lt;Test1_Hand!$B$13,1,0)</f>
        <v>0</v>
      </c>
      <c r="I418" s="23" t="n">
        <f aca="false">Test1_Hand!$B$4+H418*D418</f>
        <v>16</v>
      </c>
      <c r="J418" s="24" t="n">
        <f aca="false">Test1_Hand!$B$6*H418*D418+Test1_Hand!$B$7*MAX(0,I418-Test1_Hand!$B$5)+Test1_Hand!$B$14</f>
        <v>6000</v>
      </c>
    </row>
    <row r="419" customFormat="false" ht="15" hidden="false" customHeight="false" outlineLevel="0" collapsed="false">
      <c r="A419" s="2" t="n">
        <v>407</v>
      </c>
      <c r="B419" s="22" t="n">
        <v>0.981533850275819</v>
      </c>
      <c r="C419" s="22" t="n">
        <v>0.96031658603538</v>
      </c>
      <c r="D419" s="23" t="n">
        <f aca="false">BETAINV(C419,Test1_Hand!$B$21,Test1_Hand!$B$22,Test1_Hand!$B$9,Test1_Hand!$B$11)</f>
        <v>5.91660650559469</v>
      </c>
      <c r="E419" s="2" t="n">
        <f aca="false">IF(B419&lt;Test1_Hand!$B$12,1,0)</f>
        <v>0</v>
      </c>
      <c r="F419" s="23" t="n">
        <f aca="false">Test1_Hand!$B$4+E419*D419</f>
        <v>16</v>
      </c>
      <c r="G419" s="24" t="n">
        <f aca="false">Test1_Hand!$B$6*E419*D419+Test1_Hand!$B$7*MAX(0,F419-Test1_Hand!$B$5)</f>
        <v>0</v>
      </c>
      <c r="H419" s="2" t="n">
        <f aca="false">IF(B419&lt;Test1_Hand!$B$13,1,0)</f>
        <v>0</v>
      </c>
      <c r="I419" s="23" t="n">
        <f aca="false">Test1_Hand!$B$4+H419*D419</f>
        <v>16</v>
      </c>
      <c r="J419" s="24" t="n">
        <f aca="false">Test1_Hand!$B$6*H419*D419+Test1_Hand!$B$7*MAX(0,I419-Test1_Hand!$B$5)+Test1_Hand!$B$14</f>
        <v>6000</v>
      </c>
    </row>
    <row r="420" customFormat="false" ht="15" hidden="false" customHeight="false" outlineLevel="0" collapsed="false">
      <c r="A420" s="2" t="n">
        <v>408</v>
      </c>
      <c r="B420" s="22" t="n">
        <v>0.56993195802043</v>
      </c>
      <c r="C420" s="22" t="n">
        <v>0.645899576564946</v>
      </c>
      <c r="D420" s="23" t="n">
        <f aca="false">BETAINV(C420,Test1_Hand!$B$21,Test1_Hand!$B$22,Test1_Hand!$B$9,Test1_Hand!$B$11)</f>
        <v>3.92545755015548</v>
      </c>
      <c r="E420" s="2" t="n">
        <f aca="false">IF(B420&lt;Test1_Hand!$B$12,1,0)</f>
        <v>0</v>
      </c>
      <c r="F420" s="23" t="n">
        <f aca="false">Test1_Hand!$B$4+E420*D420</f>
        <v>16</v>
      </c>
      <c r="G420" s="24" t="n">
        <f aca="false">Test1_Hand!$B$6*E420*D420+Test1_Hand!$B$7*MAX(0,F420-Test1_Hand!$B$5)</f>
        <v>0</v>
      </c>
      <c r="H420" s="2" t="n">
        <f aca="false">IF(B420&lt;Test1_Hand!$B$13,1,0)</f>
        <v>0</v>
      </c>
      <c r="I420" s="23" t="n">
        <f aca="false">Test1_Hand!$B$4+H420*D420</f>
        <v>16</v>
      </c>
      <c r="J420" s="24" t="n">
        <f aca="false">Test1_Hand!$B$6*H420*D420+Test1_Hand!$B$7*MAX(0,I420-Test1_Hand!$B$5)+Test1_Hand!$B$14</f>
        <v>6000</v>
      </c>
    </row>
    <row r="421" customFormat="false" ht="15" hidden="false" customHeight="false" outlineLevel="0" collapsed="false">
      <c r="A421" s="2" t="n">
        <v>409</v>
      </c>
      <c r="B421" s="22" t="n">
        <v>0.333587977299158</v>
      </c>
      <c r="C421" s="22" t="n">
        <v>0.149038585868779</v>
      </c>
      <c r="D421" s="23" t="n">
        <f aca="false">BETAINV(C421,Test1_Hand!$B$21,Test1_Hand!$B$22,Test1_Hand!$B$9,Test1_Hand!$B$11)</f>
        <v>2.12350534301296</v>
      </c>
      <c r="E421" s="2" t="n">
        <f aca="false">IF(B421&lt;Test1_Hand!$B$12,1,0)</f>
        <v>1</v>
      </c>
      <c r="F421" s="23" t="n">
        <f aca="false">Test1_Hand!$B$4+E421*D421</f>
        <v>18.123505343013</v>
      </c>
      <c r="G421" s="24" t="n">
        <f aca="false">Test1_Hand!$B$6*E421*D421+Test1_Hand!$B$7*MAX(0,F421-Test1_Hand!$B$5)</f>
        <v>16988.0427441037</v>
      </c>
      <c r="H421" s="2" t="n">
        <f aca="false">IF(B421&lt;Test1_Hand!$B$13,1,0)</f>
        <v>0</v>
      </c>
      <c r="I421" s="23" t="n">
        <f aca="false">Test1_Hand!$B$4+H421*D421</f>
        <v>16</v>
      </c>
      <c r="J421" s="24" t="n">
        <f aca="false">Test1_Hand!$B$6*H421*D421+Test1_Hand!$B$7*MAX(0,I421-Test1_Hand!$B$5)+Test1_Hand!$B$14</f>
        <v>6000</v>
      </c>
    </row>
    <row r="422" customFormat="false" ht="15" hidden="false" customHeight="false" outlineLevel="0" collapsed="false">
      <c r="A422" s="2" t="n">
        <v>410</v>
      </c>
      <c r="B422" s="22" t="n">
        <v>0.629127694286976</v>
      </c>
      <c r="C422" s="22" t="n">
        <v>0.153618596249667</v>
      </c>
      <c r="D422" s="23" t="n">
        <f aca="false">BETAINV(C422,Test1_Hand!$B$21,Test1_Hand!$B$22,Test1_Hand!$B$9,Test1_Hand!$B$11)</f>
        <v>2.14256964192958</v>
      </c>
      <c r="E422" s="2" t="n">
        <f aca="false">IF(B422&lt;Test1_Hand!$B$12,1,0)</f>
        <v>0</v>
      </c>
      <c r="F422" s="23" t="n">
        <f aca="false">Test1_Hand!$B$4+E422*D422</f>
        <v>16</v>
      </c>
      <c r="G422" s="24" t="n">
        <f aca="false">Test1_Hand!$B$6*E422*D422+Test1_Hand!$B$7*MAX(0,F422-Test1_Hand!$B$5)</f>
        <v>0</v>
      </c>
      <c r="H422" s="2" t="n">
        <f aca="false">IF(B422&lt;Test1_Hand!$B$13,1,0)</f>
        <v>0</v>
      </c>
      <c r="I422" s="23" t="n">
        <f aca="false">Test1_Hand!$B$4+H422*D422</f>
        <v>16</v>
      </c>
      <c r="J422" s="24" t="n">
        <f aca="false">Test1_Hand!$B$6*H422*D422+Test1_Hand!$B$7*MAX(0,I422-Test1_Hand!$B$5)+Test1_Hand!$B$14</f>
        <v>6000</v>
      </c>
    </row>
    <row r="423" customFormat="false" ht="15" hidden="false" customHeight="false" outlineLevel="0" collapsed="false">
      <c r="A423" s="2" t="n">
        <v>411</v>
      </c>
      <c r="B423" s="22" t="n">
        <v>0.890098070409468</v>
      </c>
      <c r="C423" s="22" t="n">
        <v>0.147570881523461</v>
      </c>
      <c r="D423" s="23" t="n">
        <f aca="false">BETAINV(C423,Test1_Hand!$B$21,Test1_Hand!$B$22,Test1_Hand!$B$9,Test1_Hand!$B$11)</f>
        <v>2.11735528868089</v>
      </c>
      <c r="E423" s="2" t="n">
        <f aca="false">IF(B423&lt;Test1_Hand!$B$12,1,0)</f>
        <v>0</v>
      </c>
      <c r="F423" s="23" t="n">
        <f aca="false">Test1_Hand!$B$4+E423*D423</f>
        <v>16</v>
      </c>
      <c r="G423" s="24" t="n">
        <f aca="false">Test1_Hand!$B$6*E423*D423+Test1_Hand!$B$7*MAX(0,F423-Test1_Hand!$B$5)</f>
        <v>0</v>
      </c>
      <c r="H423" s="2" t="n">
        <f aca="false">IF(B423&lt;Test1_Hand!$B$13,1,0)</f>
        <v>0</v>
      </c>
      <c r="I423" s="23" t="n">
        <f aca="false">Test1_Hand!$B$4+H423*D423</f>
        <v>16</v>
      </c>
      <c r="J423" s="24" t="n">
        <f aca="false">Test1_Hand!$B$6*H423*D423+Test1_Hand!$B$7*MAX(0,I423-Test1_Hand!$B$5)+Test1_Hand!$B$14</f>
        <v>6000</v>
      </c>
    </row>
    <row r="424" customFormat="false" ht="15" hidden="false" customHeight="false" outlineLevel="0" collapsed="false">
      <c r="A424" s="2" t="n">
        <v>412</v>
      </c>
      <c r="B424" s="22" t="n">
        <v>0.667961628673505</v>
      </c>
      <c r="C424" s="22" t="n">
        <v>0.0539683493319103</v>
      </c>
      <c r="D424" s="23" t="n">
        <f aca="false">BETAINV(C424,Test1_Hand!$B$21,Test1_Hand!$B$22,Test1_Hand!$B$9,Test1_Hand!$B$11)</f>
        <v>1.65526476253604</v>
      </c>
      <c r="E424" s="2" t="n">
        <f aca="false">IF(B424&lt;Test1_Hand!$B$12,1,0)</f>
        <v>0</v>
      </c>
      <c r="F424" s="23" t="n">
        <f aca="false">Test1_Hand!$B$4+E424*D424</f>
        <v>16</v>
      </c>
      <c r="G424" s="24" t="n">
        <f aca="false">Test1_Hand!$B$6*E424*D424+Test1_Hand!$B$7*MAX(0,F424-Test1_Hand!$B$5)</f>
        <v>0</v>
      </c>
      <c r="H424" s="2" t="n">
        <f aca="false">IF(B424&lt;Test1_Hand!$B$13,1,0)</f>
        <v>0</v>
      </c>
      <c r="I424" s="23" t="n">
        <f aca="false">Test1_Hand!$B$4+H424*D424</f>
        <v>16</v>
      </c>
      <c r="J424" s="24" t="n">
        <f aca="false">Test1_Hand!$B$6*H424*D424+Test1_Hand!$B$7*MAX(0,I424-Test1_Hand!$B$5)+Test1_Hand!$B$14</f>
        <v>6000</v>
      </c>
    </row>
    <row r="425" customFormat="false" ht="15" hidden="false" customHeight="false" outlineLevel="0" collapsed="false">
      <c r="A425" s="2" t="n">
        <v>413</v>
      </c>
      <c r="B425" s="22" t="n">
        <v>0.68723694161746</v>
      </c>
      <c r="C425" s="22" t="n">
        <v>0.19750067041034</v>
      </c>
      <c r="D425" s="23" t="n">
        <f aca="false">BETAINV(C425,Test1_Hand!$B$21,Test1_Hand!$B$22,Test1_Hand!$B$9,Test1_Hand!$B$11)</f>
        <v>2.31713118831074</v>
      </c>
      <c r="E425" s="2" t="n">
        <f aca="false">IF(B425&lt;Test1_Hand!$B$12,1,0)</f>
        <v>0</v>
      </c>
      <c r="F425" s="23" t="n">
        <f aca="false">Test1_Hand!$B$4+E425*D425</f>
        <v>16</v>
      </c>
      <c r="G425" s="24" t="n">
        <f aca="false">Test1_Hand!$B$6*E425*D425+Test1_Hand!$B$7*MAX(0,F425-Test1_Hand!$B$5)</f>
        <v>0</v>
      </c>
      <c r="H425" s="2" t="n">
        <f aca="false">IF(B425&lt;Test1_Hand!$B$13,1,0)</f>
        <v>0</v>
      </c>
      <c r="I425" s="23" t="n">
        <f aca="false">Test1_Hand!$B$4+H425*D425</f>
        <v>16</v>
      </c>
      <c r="J425" s="24" t="n">
        <f aca="false">Test1_Hand!$B$6*H425*D425+Test1_Hand!$B$7*MAX(0,I425-Test1_Hand!$B$5)+Test1_Hand!$B$14</f>
        <v>6000</v>
      </c>
    </row>
    <row r="426" customFormat="false" ht="15" hidden="false" customHeight="false" outlineLevel="0" collapsed="false">
      <c r="A426" s="2" t="n">
        <v>414</v>
      </c>
      <c r="B426" s="22" t="n">
        <v>0.655179852757051</v>
      </c>
      <c r="C426" s="22" t="n">
        <v>0.839761089138001</v>
      </c>
      <c r="D426" s="23" t="n">
        <f aca="false">BETAINV(C426,Test1_Hand!$B$21,Test1_Hand!$B$22,Test1_Hand!$B$9,Test1_Hand!$B$11)</f>
        <v>4.85235789152676</v>
      </c>
      <c r="E426" s="2" t="n">
        <f aca="false">IF(B426&lt;Test1_Hand!$B$12,1,0)</f>
        <v>0</v>
      </c>
      <c r="F426" s="23" t="n">
        <f aca="false">Test1_Hand!$B$4+E426*D426</f>
        <v>16</v>
      </c>
      <c r="G426" s="24" t="n">
        <f aca="false">Test1_Hand!$B$6*E426*D426+Test1_Hand!$B$7*MAX(0,F426-Test1_Hand!$B$5)</f>
        <v>0</v>
      </c>
      <c r="H426" s="2" t="n">
        <f aca="false">IF(B426&lt;Test1_Hand!$B$13,1,0)</f>
        <v>0</v>
      </c>
      <c r="I426" s="23" t="n">
        <f aca="false">Test1_Hand!$B$4+H426*D426</f>
        <v>16</v>
      </c>
      <c r="J426" s="24" t="n">
        <f aca="false">Test1_Hand!$B$6*H426*D426+Test1_Hand!$B$7*MAX(0,I426-Test1_Hand!$B$5)+Test1_Hand!$B$14</f>
        <v>6000</v>
      </c>
    </row>
    <row r="427" customFormat="false" ht="15" hidden="false" customHeight="false" outlineLevel="0" collapsed="false">
      <c r="A427" s="2" t="n">
        <v>415</v>
      </c>
      <c r="B427" s="22" t="n">
        <v>0.0258025363808244</v>
      </c>
      <c r="C427" s="22" t="n">
        <v>0.346665796339832</v>
      </c>
      <c r="D427" s="23" t="n">
        <f aca="false">BETAINV(C427,Test1_Hand!$B$21,Test1_Hand!$B$22,Test1_Hand!$B$9,Test1_Hand!$B$11)</f>
        <v>2.85240111097465</v>
      </c>
      <c r="E427" s="2" t="n">
        <f aca="false">IF(B427&lt;Test1_Hand!$B$12,1,0)</f>
        <v>1</v>
      </c>
      <c r="F427" s="23" t="n">
        <f aca="false">Test1_Hand!$B$4+E427*D427</f>
        <v>18.8524011109747</v>
      </c>
      <c r="G427" s="24" t="n">
        <f aca="false">Test1_Hand!$B$6*E427*D427+Test1_Hand!$B$7*MAX(0,F427-Test1_Hand!$B$5)</f>
        <v>22819.2088877972</v>
      </c>
      <c r="H427" s="2" t="n">
        <f aca="false">IF(B427&lt;Test1_Hand!$B$13,1,0)</f>
        <v>1</v>
      </c>
      <c r="I427" s="23" t="n">
        <f aca="false">Test1_Hand!$B$4+H427*D427</f>
        <v>18.8524011109747</v>
      </c>
      <c r="J427" s="24" t="n">
        <f aca="false">Test1_Hand!$B$6*H427*D427+Test1_Hand!$B$7*MAX(0,I427-Test1_Hand!$B$5)+Test1_Hand!$B$14</f>
        <v>28819.2088877972</v>
      </c>
    </row>
    <row r="428" customFormat="false" ht="15" hidden="false" customHeight="false" outlineLevel="0" collapsed="false">
      <c r="A428" s="2" t="n">
        <v>416</v>
      </c>
      <c r="B428" s="22" t="n">
        <v>0.130597737220748</v>
      </c>
      <c r="C428" s="22" t="n">
        <v>0.269702172692657</v>
      </c>
      <c r="D428" s="23" t="n">
        <f aca="false">BETAINV(C428,Test1_Hand!$B$21,Test1_Hand!$B$22,Test1_Hand!$B$9,Test1_Hand!$B$11)</f>
        <v>2.58325352635766</v>
      </c>
      <c r="E428" s="2" t="n">
        <f aca="false">IF(B428&lt;Test1_Hand!$B$12,1,0)</f>
        <v>1</v>
      </c>
      <c r="F428" s="23" t="n">
        <f aca="false">Test1_Hand!$B$4+E428*D428</f>
        <v>18.5832535263577</v>
      </c>
      <c r="G428" s="24" t="n">
        <f aca="false">Test1_Hand!$B$6*E428*D428+Test1_Hand!$B$7*MAX(0,F428-Test1_Hand!$B$5)</f>
        <v>20666.0282108613</v>
      </c>
      <c r="H428" s="2" t="n">
        <f aca="false">IF(B428&lt;Test1_Hand!$B$13,1,0)</f>
        <v>1</v>
      </c>
      <c r="I428" s="23" t="n">
        <f aca="false">Test1_Hand!$B$4+H428*D428</f>
        <v>18.5832535263577</v>
      </c>
      <c r="J428" s="24" t="n">
        <f aca="false">Test1_Hand!$B$6*H428*D428+Test1_Hand!$B$7*MAX(0,I428-Test1_Hand!$B$5)+Test1_Hand!$B$14</f>
        <v>26666.0282108613</v>
      </c>
    </row>
    <row r="429" customFormat="false" ht="15" hidden="false" customHeight="false" outlineLevel="0" collapsed="false">
      <c r="A429" s="2" t="n">
        <v>417</v>
      </c>
      <c r="B429" s="22" t="n">
        <v>0.349638372969791</v>
      </c>
      <c r="C429" s="22" t="n">
        <v>0.971035719056766</v>
      </c>
      <c r="D429" s="23" t="n">
        <f aca="false">BETAINV(C429,Test1_Hand!$B$21,Test1_Hand!$B$22,Test1_Hand!$B$9,Test1_Hand!$B$11)</f>
        <v>6.0946865759348</v>
      </c>
      <c r="E429" s="2" t="n">
        <f aca="false">IF(B429&lt;Test1_Hand!$B$12,1,0)</f>
        <v>1</v>
      </c>
      <c r="F429" s="23" t="n">
        <f aca="false">Test1_Hand!$B$4+E429*D429</f>
        <v>22.0946865759348</v>
      </c>
      <c r="G429" s="24" t="n">
        <f aca="false">Test1_Hand!$B$6*E429*D429+Test1_Hand!$B$7*MAX(0,F429-Test1_Hand!$B$5)</f>
        <v>59230.9254871524</v>
      </c>
      <c r="H429" s="2" t="n">
        <f aca="false">IF(B429&lt;Test1_Hand!$B$13,1,0)</f>
        <v>0</v>
      </c>
      <c r="I429" s="23" t="n">
        <f aca="false">Test1_Hand!$B$4+H429*D429</f>
        <v>16</v>
      </c>
      <c r="J429" s="24" t="n">
        <f aca="false">Test1_Hand!$B$6*H429*D429+Test1_Hand!$B$7*MAX(0,I429-Test1_Hand!$B$5)+Test1_Hand!$B$14</f>
        <v>6000</v>
      </c>
    </row>
    <row r="430" customFormat="false" ht="15" hidden="false" customHeight="false" outlineLevel="0" collapsed="false">
      <c r="A430" s="2" t="n">
        <v>418</v>
      </c>
      <c r="B430" s="22" t="n">
        <v>0.364413053118367</v>
      </c>
      <c r="C430" s="22" t="n">
        <v>0.690489950139382</v>
      </c>
      <c r="D430" s="23" t="n">
        <f aca="false">BETAINV(C430,Test1_Hand!$B$21,Test1_Hand!$B$22,Test1_Hand!$B$9,Test1_Hand!$B$11)</f>
        <v>4.10877838959257</v>
      </c>
      <c r="E430" s="2" t="n">
        <f aca="false">IF(B430&lt;Test1_Hand!$B$12,1,0)</f>
        <v>1</v>
      </c>
      <c r="F430" s="23" t="n">
        <f aca="false">Test1_Hand!$B$4+E430*D430</f>
        <v>20.1087783895926</v>
      </c>
      <c r="G430" s="24" t="n">
        <f aca="false">Test1_Hand!$B$6*E430*D430+Test1_Hand!$B$7*MAX(0,F430-Test1_Hand!$B$5)</f>
        <v>33414.1190647035</v>
      </c>
      <c r="H430" s="2" t="n">
        <f aca="false">IF(B430&lt;Test1_Hand!$B$13,1,0)</f>
        <v>0</v>
      </c>
      <c r="I430" s="23" t="n">
        <f aca="false">Test1_Hand!$B$4+H430*D430</f>
        <v>16</v>
      </c>
      <c r="J430" s="24" t="n">
        <f aca="false">Test1_Hand!$B$6*H430*D430+Test1_Hand!$B$7*MAX(0,I430-Test1_Hand!$B$5)+Test1_Hand!$B$14</f>
        <v>6000</v>
      </c>
    </row>
    <row r="431" customFormat="false" ht="15" hidden="false" customHeight="false" outlineLevel="0" collapsed="false">
      <c r="A431" s="2" t="n">
        <v>419</v>
      </c>
      <c r="B431" s="22" t="n">
        <v>0.270722654759201</v>
      </c>
      <c r="C431" s="22" t="n">
        <v>0.247414766933079</v>
      </c>
      <c r="D431" s="23" t="n">
        <f aca="false">BETAINV(C431,Test1_Hand!$B$21,Test1_Hand!$B$22,Test1_Hand!$B$9,Test1_Hand!$B$11)</f>
        <v>2.5030751396607</v>
      </c>
      <c r="E431" s="2" t="n">
        <f aca="false">IF(B431&lt;Test1_Hand!$B$12,1,0)</f>
        <v>1</v>
      </c>
      <c r="F431" s="23" t="n">
        <f aca="false">Test1_Hand!$B$4+E431*D431</f>
        <v>18.5030751396607</v>
      </c>
      <c r="G431" s="24" t="n">
        <f aca="false">Test1_Hand!$B$6*E431*D431+Test1_Hand!$B$7*MAX(0,F431-Test1_Hand!$B$5)</f>
        <v>20024.6011172856</v>
      </c>
      <c r="H431" s="2" t="n">
        <f aca="false">IF(B431&lt;Test1_Hand!$B$13,1,0)</f>
        <v>0</v>
      </c>
      <c r="I431" s="23" t="n">
        <f aca="false">Test1_Hand!$B$4+H431*D431</f>
        <v>16</v>
      </c>
      <c r="J431" s="24" t="n">
        <f aca="false">Test1_Hand!$B$6*H431*D431+Test1_Hand!$B$7*MAX(0,I431-Test1_Hand!$B$5)+Test1_Hand!$B$14</f>
        <v>6000</v>
      </c>
    </row>
    <row r="432" customFormat="false" ht="15" hidden="false" customHeight="false" outlineLevel="0" collapsed="false">
      <c r="A432" s="2" t="n">
        <v>420</v>
      </c>
      <c r="B432" s="22" t="n">
        <v>0.392737443033985</v>
      </c>
      <c r="C432" s="22" t="n">
        <v>0.615054752294293</v>
      </c>
      <c r="D432" s="23" t="n">
        <f aca="false">BETAINV(C432,Test1_Hand!$B$21,Test1_Hand!$B$22,Test1_Hand!$B$9,Test1_Hand!$B$11)</f>
        <v>3.80460173055859</v>
      </c>
      <c r="E432" s="2" t="n">
        <f aca="false">IF(B432&lt;Test1_Hand!$B$12,1,0)</f>
        <v>1</v>
      </c>
      <c r="F432" s="23" t="n">
        <f aca="false">Test1_Hand!$B$4+E432*D432</f>
        <v>19.8046017305586</v>
      </c>
      <c r="G432" s="24" t="n">
        <f aca="false">Test1_Hand!$B$6*E432*D432+Test1_Hand!$B$7*MAX(0,F432-Test1_Hand!$B$5)</f>
        <v>30436.8138444687</v>
      </c>
      <c r="H432" s="2" t="n">
        <f aca="false">IF(B432&lt;Test1_Hand!$B$13,1,0)</f>
        <v>0</v>
      </c>
      <c r="I432" s="23" t="n">
        <f aca="false">Test1_Hand!$B$4+H432*D432</f>
        <v>16</v>
      </c>
      <c r="J432" s="24" t="n">
        <f aca="false">Test1_Hand!$B$6*H432*D432+Test1_Hand!$B$7*MAX(0,I432-Test1_Hand!$B$5)+Test1_Hand!$B$14</f>
        <v>6000</v>
      </c>
    </row>
    <row r="433" customFormat="false" ht="15" hidden="false" customHeight="false" outlineLevel="0" collapsed="false">
      <c r="A433" s="2" t="n">
        <v>421</v>
      </c>
      <c r="B433" s="22" t="n">
        <v>0.589575747241298</v>
      </c>
      <c r="C433" s="22" t="n">
        <v>0.399987670671336</v>
      </c>
      <c r="D433" s="23" t="n">
        <f aca="false">BETAINV(C433,Test1_Hand!$B$21,Test1_Hand!$B$22,Test1_Hand!$B$9,Test1_Hand!$B$11)</f>
        <v>3.03569601788219</v>
      </c>
      <c r="E433" s="2" t="n">
        <f aca="false">IF(B433&lt;Test1_Hand!$B$12,1,0)</f>
        <v>0</v>
      </c>
      <c r="F433" s="23" t="n">
        <f aca="false">Test1_Hand!$B$4+E433*D433</f>
        <v>16</v>
      </c>
      <c r="G433" s="24" t="n">
        <f aca="false">Test1_Hand!$B$6*E433*D433+Test1_Hand!$B$7*MAX(0,F433-Test1_Hand!$B$5)</f>
        <v>0</v>
      </c>
      <c r="H433" s="2" t="n">
        <f aca="false">IF(B433&lt;Test1_Hand!$B$13,1,0)</f>
        <v>0</v>
      </c>
      <c r="I433" s="23" t="n">
        <f aca="false">Test1_Hand!$B$4+H433*D433</f>
        <v>16</v>
      </c>
      <c r="J433" s="24" t="n">
        <f aca="false">Test1_Hand!$B$6*H433*D433+Test1_Hand!$B$7*MAX(0,I433-Test1_Hand!$B$5)+Test1_Hand!$B$14</f>
        <v>6000</v>
      </c>
    </row>
    <row r="434" customFormat="false" ht="15" hidden="false" customHeight="false" outlineLevel="0" collapsed="false">
      <c r="A434" s="2" t="n">
        <v>422</v>
      </c>
      <c r="B434" s="22" t="n">
        <v>0.182200210079337</v>
      </c>
      <c r="C434" s="22" t="n">
        <v>0.832813336026561</v>
      </c>
      <c r="D434" s="23" t="n">
        <f aca="false">BETAINV(C434,Test1_Hand!$B$21,Test1_Hand!$B$22,Test1_Hand!$B$9,Test1_Hand!$B$11)</f>
        <v>4.81058174162709</v>
      </c>
      <c r="E434" s="2" t="n">
        <f aca="false">IF(B434&lt;Test1_Hand!$B$12,1,0)</f>
        <v>1</v>
      </c>
      <c r="F434" s="23" t="n">
        <f aca="false">Test1_Hand!$B$4+E434*D434</f>
        <v>20.8105817416271</v>
      </c>
      <c r="G434" s="24" t="n">
        <f aca="false">Test1_Hand!$B$6*E434*D434+Test1_Hand!$B$7*MAX(0,F434-Test1_Hand!$B$5)</f>
        <v>42537.5626411521</v>
      </c>
      <c r="H434" s="2" t="n">
        <f aca="false">IF(B434&lt;Test1_Hand!$B$13,1,0)</f>
        <v>1</v>
      </c>
      <c r="I434" s="23" t="n">
        <f aca="false">Test1_Hand!$B$4+H434*D434</f>
        <v>20.8105817416271</v>
      </c>
      <c r="J434" s="24" t="n">
        <f aca="false">Test1_Hand!$B$6*H434*D434+Test1_Hand!$B$7*MAX(0,I434-Test1_Hand!$B$5)+Test1_Hand!$B$14</f>
        <v>48537.5626411521</v>
      </c>
    </row>
    <row r="435" customFormat="false" ht="15" hidden="false" customHeight="false" outlineLevel="0" collapsed="false">
      <c r="A435" s="2" t="n">
        <v>423</v>
      </c>
      <c r="B435" s="22" t="n">
        <v>0.558261121204112</v>
      </c>
      <c r="C435" s="22" t="n">
        <v>0.593682883321931</v>
      </c>
      <c r="D435" s="23" t="n">
        <f aca="false">BETAINV(C435,Test1_Hand!$B$21,Test1_Hand!$B$22,Test1_Hand!$B$9,Test1_Hand!$B$11)</f>
        <v>3.72317797747771</v>
      </c>
      <c r="E435" s="2" t="n">
        <f aca="false">IF(B435&lt;Test1_Hand!$B$12,1,0)</f>
        <v>0</v>
      </c>
      <c r="F435" s="23" t="n">
        <f aca="false">Test1_Hand!$B$4+E435*D435</f>
        <v>16</v>
      </c>
      <c r="G435" s="24" t="n">
        <f aca="false">Test1_Hand!$B$6*E435*D435+Test1_Hand!$B$7*MAX(0,F435-Test1_Hand!$B$5)</f>
        <v>0</v>
      </c>
      <c r="H435" s="2" t="n">
        <f aca="false">IF(B435&lt;Test1_Hand!$B$13,1,0)</f>
        <v>0</v>
      </c>
      <c r="I435" s="23" t="n">
        <f aca="false">Test1_Hand!$B$4+H435*D435</f>
        <v>16</v>
      </c>
      <c r="J435" s="24" t="n">
        <f aca="false">Test1_Hand!$B$6*H435*D435+Test1_Hand!$B$7*MAX(0,I435-Test1_Hand!$B$5)+Test1_Hand!$B$14</f>
        <v>6000</v>
      </c>
    </row>
    <row r="436" customFormat="false" ht="15" hidden="false" customHeight="false" outlineLevel="0" collapsed="false">
      <c r="A436" s="2" t="n">
        <v>424</v>
      </c>
      <c r="B436" s="22" t="n">
        <v>0.728792795928003</v>
      </c>
      <c r="C436" s="22" t="n">
        <v>0.211550789667433</v>
      </c>
      <c r="D436" s="23" t="n">
        <f aca="false">BETAINV(C436,Test1_Hand!$B$21,Test1_Hand!$B$22,Test1_Hand!$B$9,Test1_Hand!$B$11)</f>
        <v>2.37055996937605</v>
      </c>
      <c r="E436" s="2" t="n">
        <f aca="false">IF(B436&lt;Test1_Hand!$B$12,1,0)</f>
        <v>0</v>
      </c>
      <c r="F436" s="23" t="n">
        <f aca="false">Test1_Hand!$B$4+E436*D436</f>
        <v>16</v>
      </c>
      <c r="G436" s="24" t="n">
        <f aca="false">Test1_Hand!$B$6*E436*D436+Test1_Hand!$B$7*MAX(0,F436-Test1_Hand!$B$5)</f>
        <v>0</v>
      </c>
      <c r="H436" s="2" t="n">
        <f aca="false">IF(B436&lt;Test1_Hand!$B$13,1,0)</f>
        <v>0</v>
      </c>
      <c r="I436" s="23" t="n">
        <f aca="false">Test1_Hand!$B$4+H436*D436</f>
        <v>16</v>
      </c>
      <c r="J436" s="24" t="n">
        <f aca="false">Test1_Hand!$B$6*H436*D436+Test1_Hand!$B$7*MAX(0,I436-Test1_Hand!$B$5)+Test1_Hand!$B$14</f>
        <v>6000</v>
      </c>
    </row>
    <row r="437" customFormat="false" ht="15" hidden="false" customHeight="false" outlineLevel="0" collapsed="false">
      <c r="A437" s="2" t="n">
        <v>425</v>
      </c>
      <c r="B437" s="22" t="n">
        <v>0.951041444007114</v>
      </c>
      <c r="C437" s="22" t="n">
        <v>0.79133525515915</v>
      </c>
      <c r="D437" s="23" t="n">
        <f aca="false">BETAINV(C437,Test1_Hand!$B$21,Test1_Hand!$B$22,Test1_Hand!$B$9,Test1_Hand!$B$11)</f>
        <v>4.58006981776093</v>
      </c>
      <c r="E437" s="2" t="n">
        <f aca="false">IF(B437&lt;Test1_Hand!$B$12,1,0)</f>
        <v>0</v>
      </c>
      <c r="F437" s="23" t="n">
        <f aca="false">Test1_Hand!$B$4+E437*D437</f>
        <v>16</v>
      </c>
      <c r="G437" s="24" t="n">
        <f aca="false">Test1_Hand!$B$6*E437*D437+Test1_Hand!$B$7*MAX(0,F437-Test1_Hand!$B$5)</f>
        <v>0</v>
      </c>
      <c r="H437" s="2" t="n">
        <f aca="false">IF(B437&lt;Test1_Hand!$B$13,1,0)</f>
        <v>0</v>
      </c>
      <c r="I437" s="23" t="n">
        <f aca="false">Test1_Hand!$B$4+H437*D437</f>
        <v>16</v>
      </c>
      <c r="J437" s="24" t="n">
        <f aca="false">Test1_Hand!$B$6*H437*D437+Test1_Hand!$B$7*MAX(0,I437-Test1_Hand!$B$5)+Test1_Hand!$B$14</f>
        <v>6000</v>
      </c>
    </row>
    <row r="438" customFormat="false" ht="15" hidden="false" customHeight="false" outlineLevel="0" collapsed="false">
      <c r="A438" s="2" t="n">
        <v>426</v>
      </c>
      <c r="B438" s="22" t="n">
        <v>0.795522660448447</v>
      </c>
      <c r="C438" s="22" t="n">
        <v>0.747911145418385</v>
      </c>
      <c r="D438" s="23" t="n">
        <f aca="false">BETAINV(C438,Test1_Hand!$B$21,Test1_Hand!$B$22,Test1_Hand!$B$9,Test1_Hand!$B$11)</f>
        <v>4.36501023729886</v>
      </c>
      <c r="E438" s="2" t="n">
        <f aca="false">IF(B438&lt;Test1_Hand!$B$12,1,0)</f>
        <v>0</v>
      </c>
      <c r="F438" s="23" t="n">
        <f aca="false">Test1_Hand!$B$4+E438*D438</f>
        <v>16</v>
      </c>
      <c r="G438" s="24" t="n">
        <f aca="false">Test1_Hand!$B$6*E438*D438+Test1_Hand!$B$7*MAX(0,F438-Test1_Hand!$B$5)</f>
        <v>0</v>
      </c>
      <c r="H438" s="2" t="n">
        <f aca="false">IF(B438&lt;Test1_Hand!$B$13,1,0)</f>
        <v>0</v>
      </c>
      <c r="I438" s="23" t="n">
        <f aca="false">Test1_Hand!$B$4+H438*D438</f>
        <v>16</v>
      </c>
      <c r="J438" s="24" t="n">
        <f aca="false">Test1_Hand!$B$6*H438*D438+Test1_Hand!$B$7*MAX(0,I438-Test1_Hand!$B$5)+Test1_Hand!$B$14</f>
        <v>6000</v>
      </c>
    </row>
    <row r="439" customFormat="false" ht="15" hidden="false" customHeight="false" outlineLevel="0" collapsed="false">
      <c r="A439" s="2" t="n">
        <v>427</v>
      </c>
      <c r="B439" s="22" t="n">
        <v>0.204952211352794</v>
      </c>
      <c r="C439" s="22" t="n">
        <v>0.651870277371583</v>
      </c>
      <c r="D439" s="23" t="n">
        <f aca="false">BETAINV(C439,Test1_Hand!$B$21,Test1_Hand!$B$22,Test1_Hand!$B$9,Test1_Hand!$B$11)</f>
        <v>3.94936778663638</v>
      </c>
      <c r="E439" s="2" t="n">
        <f aca="false">IF(B439&lt;Test1_Hand!$B$12,1,0)</f>
        <v>1</v>
      </c>
      <c r="F439" s="23" t="n">
        <f aca="false">Test1_Hand!$B$4+E439*D439</f>
        <v>19.9493677866364</v>
      </c>
      <c r="G439" s="24" t="n">
        <f aca="false">Test1_Hand!$B$6*E439*D439+Test1_Hand!$B$7*MAX(0,F439-Test1_Hand!$B$5)</f>
        <v>31594.942293091</v>
      </c>
      <c r="H439" s="2" t="n">
        <f aca="false">IF(B439&lt;Test1_Hand!$B$13,1,0)</f>
        <v>0</v>
      </c>
      <c r="I439" s="23" t="n">
        <f aca="false">Test1_Hand!$B$4+H439*D439</f>
        <v>16</v>
      </c>
      <c r="J439" s="24" t="n">
        <f aca="false">Test1_Hand!$B$6*H439*D439+Test1_Hand!$B$7*MAX(0,I439-Test1_Hand!$B$5)+Test1_Hand!$B$14</f>
        <v>6000</v>
      </c>
    </row>
    <row r="440" customFormat="false" ht="15" hidden="false" customHeight="false" outlineLevel="0" collapsed="false">
      <c r="A440" s="2" t="n">
        <v>428</v>
      </c>
      <c r="B440" s="22" t="n">
        <v>0.243498396278656</v>
      </c>
      <c r="C440" s="22" t="n">
        <v>0.529174349424789</v>
      </c>
      <c r="D440" s="23" t="n">
        <f aca="false">BETAINV(C440,Test1_Hand!$B$21,Test1_Hand!$B$22,Test1_Hand!$B$9,Test1_Hand!$B$11)</f>
        <v>3.48634253975249</v>
      </c>
      <c r="E440" s="2" t="n">
        <f aca="false">IF(B440&lt;Test1_Hand!$B$12,1,0)</f>
        <v>1</v>
      </c>
      <c r="F440" s="23" t="n">
        <f aca="false">Test1_Hand!$B$4+E440*D440</f>
        <v>19.4863425397525</v>
      </c>
      <c r="G440" s="24" t="n">
        <f aca="false">Test1_Hand!$B$6*E440*D440+Test1_Hand!$B$7*MAX(0,F440-Test1_Hand!$B$5)</f>
        <v>27890.74031802</v>
      </c>
      <c r="H440" s="2" t="n">
        <f aca="false">IF(B440&lt;Test1_Hand!$B$13,1,0)</f>
        <v>0</v>
      </c>
      <c r="I440" s="23" t="n">
        <f aca="false">Test1_Hand!$B$4+H440*D440</f>
        <v>16</v>
      </c>
      <c r="J440" s="24" t="n">
        <f aca="false">Test1_Hand!$B$6*H440*D440+Test1_Hand!$B$7*MAX(0,I440-Test1_Hand!$B$5)+Test1_Hand!$B$14</f>
        <v>6000</v>
      </c>
    </row>
    <row r="441" customFormat="false" ht="15" hidden="false" customHeight="false" outlineLevel="0" collapsed="false">
      <c r="A441" s="2" t="n">
        <v>429</v>
      </c>
      <c r="B441" s="22" t="n">
        <v>0.89114383359986</v>
      </c>
      <c r="C441" s="22" t="n">
        <v>0.533817034140217</v>
      </c>
      <c r="D441" s="23" t="n">
        <f aca="false">BETAINV(C441,Test1_Hand!$B$21,Test1_Hand!$B$22,Test1_Hand!$B$9,Test1_Hand!$B$11)</f>
        <v>3.50301738066926</v>
      </c>
      <c r="E441" s="2" t="n">
        <f aca="false">IF(B441&lt;Test1_Hand!$B$12,1,0)</f>
        <v>0</v>
      </c>
      <c r="F441" s="23" t="n">
        <f aca="false">Test1_Hand!$B$4+E441*D441</f>
        <v>16</v>
      </c>
      <c r="G441" s="24" t="n">
        <f aca="false">Test1_Hand!$B$6*E441*D441+Test1_Hand!$B$7*MAX(0,F441-Test1_Hand!$B$5)</f>
        <v>0</v>
      </c>
      <c r="H441" s="2" t="n">
        <f aca="false">IF(B441&lt;Test1_Hand!$B$13,1,0)</f>
        <v>0</v>
      </c>
      <c r="I441" s="23" t="n">
        <f aca="false">Test1_Hand!$B$4+H441*D441</f>
        <v>16</v>
      </c>
      <c r="J441" s="24" t="n">
        <f aca="false">Test1_Hand!$B$6*H441*D441+Test1_Hand!$B$7*MAX(0,I441-Test1_Hand!$B$5)+Test1_Hand!$B$14</f>
        <v>6000</v>
      </c>
    </row>
    <row r="442" customFormat="false" ht="15" hidden="false" customHeight="false" outlineLevel="0" collapsed="false">
      <c r="A442" s="2" t="n">
        <v>430</v>
      </c>
      <c r="B442" s="22" t="n">
        <v>0.0662176890946191</v>
      </c>
      <c r="C442" s="22" t="n">
        <v>0.744608002212035</v>
      </c>
      <c r="D442" s="23" t="n">
        <f aca="false">BETAINV(C442,Test1_Hand!$B$21,Test1_Hand!$B$22,Test1_Hand!$B$9,Test1_Hand!$B$11)</f>
        <v>4.3495031248778</v>
      </c>
      <c r="E442" s="2" t="n">
        <f aca="false">IF(B442&lt;Test1_Hand!$B$12,1,0)</f>
        <v>1</v>
      </c>
      <c r="F442" s="23" t="n">
        <f aca="false">Test1_Hand!$B$4+E442*D442</f>
        <v>20.3495031248778</v>
      </c>
      <c r="G442" s="24" t="n">
        <f aca="false">Test1_Hand!$B$6*E442*D442+Test1_Hand!$B$7*MAX(0,F442-Test1_Hand!$B$5)</f>
        <v>36543.5406234114</v>
      </c>
      <c r="H442" s="2" t="n">
        <f aca="false">IF(B442&lt;Test1_Hand!$B$13,1,0)</f>
        <v>1</v>
      </c>
      <c r="I442" s="23" t="n">
        <f aca="false">Test1_Hand!$B$4+H442*D442</f>
        <v>20.3495031248778</v>
      </c>
      <c r="J442" s="24" t="n">
        <f aca="false">Test1_Hand!$B$6*H442*D442+Test1_Hand!$B$7*MAX(0,I442-Test1_Hand!$B$5)+Test1_Hand!$B$14</f>
        <v>42543.5406234114</v>
      </c>
    </row>
    <row r="443" customFormat="false" ht="15" hidden="false" customHeight="false" outlineLevel="0" collapsed="false">
      <c r="A443" s="2" t="n">
        <v>431</v>
      </c>
      <c r="B443" s="22" t="n">
        <v>0.974736404587905</v>
      </c>
      <c r="C443" s="22" t="n">
        <v>0.781015377484465</v>
      </c>
      <c r="D443" s="23" t="n">
        <f aca="false">BETAINV(C443,Test1_Hand!$B$21,Test1_Hand!$B$22,Test1_Hand!$B$9,Test1_Hand!$B$11)</f>
        <v>4.52688409724205</v>
      </c>
      <c r="E443" s="2" t="n">
        <f aca="false">IF(B443&lt;Test1_Hand!$B$12,1,0)</f>
        <v>0</v>
      </c>
      <c r="F443" s="23" t="n">
        <f aca="false">Test1_Hand!$B$4+E443*D443</f>
        <v>16</v>
      </c>
      <c r="G443" s="24" t="n">
        <f aca="false">Test1_Hand!$B$6*E443*D443+Test1_Hand!$B$7*MAX(0,F443-Test1_Hand!$B$5)</f>
        <v>0</v>
      </c>
      <c r="H443" s="2" t="n">
        <f aca="false">IF(B443&lt;Test1_Hand!$B$13,1,0)</f>
        <v>0</v>
      </c>
      <c r="I443" s="23" t="n">
        <f aca="false">Test1_Hand!$B$4+H443*D443</f>
        <v>16</v>
      </c>
      <c r="J443" s="24" t="n">
        <f aca="false">Test1_Hand!$B$6*H443*D443+Test1_Hand!$B$7*MAX(0,I443-Test1_Hand!$B$5)+Test1_Hand!$B$14</f>
        <v>6000</v>
      </c>
    </row>
    <row r="444" customFormat="false" ht="15" hidden="false" customHeight="false" outlineLevel="0" collapsed="false">
      <c r="A444" s="2" t="n">
        <v>432</v>
      </c>
      <c r="B444" s="22" t="n">
        <v>0.664584323916836</v>
      </c>
      <c r="C444" s="22" t="n">
        <v>0.0757771994814764</v>
      </c>
      <c r="D444" s="23" t="n">
        <f aca="false">BETAINV(C444,Test1_Hand!$B$21,Test1_Hand!$B$22,Test1_Hand!$B$9,Test1_Hand!$B$11)</f>
        <v>1.78109600320563</v>
      </c>
      <c r="E444" s="2" t="n">
        <f aca="false">IF(B444&lt;Test1_Hand!$B$12,1,0)</f>
        <v>0</v>
      </c>
      <c r="F444" s="23" t="n">
        <f aca="false">Test1_Hand!$B$4+E444*D444</f>
        <v>16</v>
      </c>
      <c r="G444" s="24" t="n">
        <f aca="false">Test1_Hand!$B$6*E444*D444+Test1_Hand!$B$7*MAX(0,F444-Test1_Hand!$B$5)</f>
        <v>0</v>
      </c>
      <c r="H444" s="2" t="n">
        <f aca="false">IF(B444&lt;Test1_Hand!$B$13,1,0)</f>
        <v>0</v>
      </c>
      <c r="I444" s="23" t="n">
        <f aca="false">Test1_Hand!$B$4+H444*D444</f>
        <v>16</v>
      </c>
      <c r="J444" s="24" t="n">
        <f aca="false">Test1_Hand!$B$6*H444*D444+Test1_Hand!$B$7*MAX(0,I444-Test1_Hand!$B$5)+Test1_Hand!$B$14</f>
        <v>6000</v>
      </c>
    </row>
    <row r="445" customFormat="false" ht="15" hidden="false" customHeight="false" outlineLevel="0" collapsed="false">
      <c r="A445" s="2" t="n">
        <v>433</v>
      </c>
      <c r="B445" s="22" t="n">
        <v>0.285256815429594</v>
      </c>
      <c r="C445" s="22" t="n">
        <v>0.0497733545088467</v>
      </c>
      <c r="D445" s="23" t="n">
        <f aca="false">BETAINV(C445,Test1_Hand!$B$21,Test1_Hand!$B$22,Test1_Hand!$B$9,Test1_Hand!$B$11)</f>
        <v>1.62869889899126</v>
      </c>
      <c r="E445" s="2" t="n">
        <f aca="false">IF(B445&lt;Test1_Hand!$B$12,1,0)</f>
        <v>1</v>
      </c>
      <c r="F445" s="23" t="n">
        <f aca="false">Test1_Hand!$B$4+E445*D445</f>
        <v>17.6286988989913</v>
      </c>
      <c r="G445" s="24" t="n">
        <f aca="false">Test1_Hand!$B$6*E445*D445+Test1_Hand!$B$7*MAX(0,F445-Test1_Hand!$B$5)</f>
        <v>13029.5911919301</v>
      </c>
      <c r="H445" s="2" t="n">
        <f aca="false">IF(B445&lt;Test1_Hand!$B$13,1,0)</f>
        <v>0</v>
      </c>
      <c r="I445" s="23" t="n">
        <f aca="false">Test1_Hand!$B$4+H445*D445</f>
        <v>16</v>
      </c>
      <c r="J445" s="24" t="n">
        <f aca="false">Test1_Hand!$B$6*H445*D445+Test1_Hand!$B$7*MAX(0,I445-Test1_Hand!$B$5)+Test1_Hand!$B$14</f>
        <v>6000</v>
      </c>
    </row>
    <row r="446" customFormat="false" ht="15" hidden="false" customHeight="false" outlineLevel="0" collapsed="false">
      <c r="A446" s="2" t="n">
        <v>434</v>
      </c>
      <c r="B446" s="22" t="n">
        <v>0.408574724446792</v>
      </c>
      <c r="C446" s="22" t="n">
        <v>0.636552356783608</v>
      </c>
      <c r="D446" s="23" t="n">
        <f aca="false">BETAINV(C446,Test1_Hand!$B$21,Test1_Hand!$B$22,Test1_Hand!$B$9,Test1_Hand!$B$11)</f>
        <v>3.88837714429366</v>
      </c>
      <c r="E446" s="2" t="n">
        <f aca="false">IF(B446&lt;Test1_Hand!$B$12,1,0)</f>
        <v>1</v>
      </c>
      <c r="F446" s="23" t="n">
        <f aca="false">Test1_Hand!$B$4+E446*D446</f>
        <v>19.8883771442937</v>
      </c>
      <c r="G446" s="24" t="n">
        <f aca="false">Test1_Hand!$B$6*E446*D446+Test1_Hand!$B$7*MAX(0,F446-Test1_Hand!$B$5)</f>
        <v>31107.0171543493</v>
      </c>
      <c r="H446" s="2" t="n">
        <f aca="false">IF(B446&lt;Test1_Hand!$B$13,1,0)</f>
        <v>0</v>
      </c>
      <c r="I446" s="23" t="n">
        <f aca="false">Test1_Hand!$B$4+H446*D446</f>
        <v>16</v>
      </c>
      <c r="J446" s="24" t="n">
        <f aca="false">Test1_Hand!$B$6*H446*D446+Test1_Hand!$B$7*MAX(0,I446-Test1_Hand!$B$5)+Test1_Hand!$B$14</f>
        <v>6000</v>
      </c>
    </row>
    <row r="447" customFormat="false" ht="15" hidden="false" customHeight="false" outlineLevel="0" collapsed="false">
      <c r="A447" s="2" t="n">
        <v>435</v>
      </c>
      <c r="B447" s="22" t="n">
        <v>0.820561523839351</v>
      </c>
      <c r="C447" s="22" t="n">
        <v>0.37984338671183</v>
      </c>
      <c r="D447" s="23" t="n">
        <f aca="false">BETAINV(C447,Test1_Hand!$B$21,Test1_Hand!$B$22,Test1_Hand!$B$9,Test1_Hand!$B$11)</f>
        <v>2.96652806037877</v>
      </c>
      <c r="E447" s="2" t="n">
        <f aca="false">IF(B447&lt;Test1_Hand!$B$12,1,0)</f>
        <v>0</v>
      </c>
      <c r="F447" s="23" t="n">
        <f aca="false">Test1_Hand!$B$4+E447*D447</f>
        <v>16</v>
      </c>
      <c r="G447" s="24" t="n">
        <f aca="false">Test1_Hand!$B$6*E447*D447+Test1_Hand!$B$7*MAX(0,F447-Test1_Hand!$B$5)</f>
        <v>0</v>
      </c>
      <c r="H447" s="2" t="n">
        <f aca="false">IF(B447&lt;Test1_Hand!$B$13,1,0)</f>
        <v>0</v>
      </c>
      <c r="I447" s="23" t="n">
        <f aca="false">Test1_Hand!$B$4+H447*D447</f>
        <v>16</v>
      </c>
      <c r="J447" s="24" t="n">
        <f aca="false">Test1_Hand!$B$6*H447*D447+Test1_Hand!$B$7*MAX(0,I447-Test1_Hand!$B$5)+Test1_Hand!$B$14</f>
        <v>6000</v>
      </c>
    </row>
    <row r="448" customFormat="false" ht="15" hidden="false" customHeight="false" outlineLevel="0" collapsed="false">
      <c r="A448" s="2" t="n">
        <v>436</v>
      </c>
      <c r="B448" s="22" t="n">
        <v>0.372342413879338</v>
      </c>
      <c r="C448" s="22" t="n">
        <v>0.196280555282174</v>
      </c>
      <c r="D448" s="23" t="n">
        <f aca="false">BETAINV(C448,Test1_Hand!$B$21,Test1_Hand!$B$22,Test1_Hand!$B$9,Test1_Hand!$B$11)</f>
        <v>2.31244352042306</v>
      </c>
      <c r="E448" s="2" t="n">
        <f aca="false">IF(B448&lt;Test1_Hand!$B$12,1,0)</f>
        <v>1</v>
      </c>
      <c r="F448" s="23" t="n">
        <f aca="false">Test1_Hand!$B$4+E448*D448</f>
        <v>18.3124435204231</v>
      </c>
      <c r="G448" s="24" t="n">
        <f aca="false">Test1_Hand!$B$6*E448*D448+Test1_Hand!$B$7*MAX(0,F448-Test1_Hand!$B$5)</f>
        <v>18499.5481633845</v>
      </c>
      <c r="H448" s="2" t="n">
        <f aca="false">IF(B448&lt;Test1_Hand!$B$13,1,0)</f>
        <v>0</v>
      </c>
      <c r="I448" s="23" t="n">
        <f aca="false">Test1_Hand!$B$4+H448*D448</f>
        <v>16</v>
      </c>
      <c r="J448" s="24" t="n">
        <f aca="false">Test1_Hand!$B$6*H448*D448+Test1_Hand!$B$7*MAX(0,I448-Test1_Hand!$B$5)+Test1_Hand!$B$14</f>
        <v>6000</v>
      </c>
    </row>
    <row r="449" customFormat="false" ht="15" hidden="false" customHeight="false" outlineLevel="0" collapsed="false">
      <c r="A449" s="2" t="n">
        <v>437</v>
      </c>
      <c r="B449" s="22" t="n">
        <v>0.0510694510398433</v>
      </c>
      <c r="C449" s="22" t="n">
        <v>0.690533725360266</v>
      </c>
      <c r="D449" s="23" t="n">
        <f aca="false">BETAINV(C449,Test1_Hand!$B$21,Test1_Hand!$B$22,Test1_Hand!$B$9,Test1_Hand!$B$11)</f>
        <v>4.10896422709008</v>
      </c>
      <c r="E449" s="2" t="n">
        <f aca="false">IF(B449&lt;Test1_Hand!$B$12,1,0)</f>
        <v>1</v>
      </c>
      <c r="F449" s="23" t="n">
        <f aca="false">Test1_Hand!$B$4+E449*D449</f>
        <v>20.1089642270901</v>
      </c>
      <c r="G449" s="24" t="n">
        <f aca="false">Test1_Hand!$B$6*E449*D449+Test1_Hand!$B$7*MAX(0,F449-Test1_Hand!$B$5)</f>
        <v>33416.534952171</v>
      </c>
      <c r="H449" s="2" t="n">
        <f aca="false">IF(B449&lt;Test1_Hand!$B$13,1,0)</f>
        <v>1</v>
      </c>
      <c r="I449" s="23" t="n">
        <f aca="false">Test1_Hand!$B$4+H449*D449</f>
        <v>20.1089642270901</v>
      </c>
      <c r="J449" s="24" t="n">
        <f aca="false">Test1_Hand!$B$6*H449*D449+Test1_Hand!$B$7*MAX(0,I449-Test1_Hand!$B$5)+Test1_Hand!$B$14</f>
        <v>39416.534952171</v>
      </c>
    </row>
    <row r="450" customFormat="false" ht="15" hidden="false" customHeight="false" outlineLevel="0" collapsed="false">
      <c r="A450" s="2" t="n">
        <v>438</v>
      </c>
      <c r="B450" s="22" t="n">
        <v>0.436945090840956</v>
      </c>
      <c r="C450" s="22" t="n">
        <v>0.576731137803671</v>
      </c>
      <c r="D450" s="23" t="n">
        <f aca="false">BETAINV(C450,Test1_Hand!$B$21,Test1_Hand!$B$22,Test1_Hand!$B$9,Test1_Hand!$B$11)</f>
        <v>3.65975351000674</v>
      </c>
      <c r="E450" s="2" t="n">
        <f aca="false">IF(B450&lt;Test1_Hand!$B$12,1,0)</f>
        <v>1</v>
      </c>
      <c r="F450" s="23" t="n">
        <f aca="false">Test1_Hand!$B$4+E450*D450</f>
        <v>19.6597535100067</v>
      </c>
      <c r="G450" s="24" t="n">
        <f aca="false">Test1_Hand!$B$6*E450*D450+Test1_Hand!$B$7*MAX(0,F450-Test1_Hand!$B$5)</f>
        <v>29278.0280800539</v>
      </c>
      <c r="H450" s="2" t="n">
        <f aca="false">IF(B450&lt;Test1_Hand!$B$13,1,0)</f>
        <v>0</v>
      </c>
      <c r="I450" s="23" t="n">
        <f aca="false">Test1_Hand!$B$4+H450*D450</f>
        <v>16</v>
      </c>
      <c r="J450" s="24" t="n">
        <f aca="false">Test1_Hand!$B$6*H450*D450+Test1_Hand!$B$7*MAX(0,I450-Test1_Hand!$B$5)+Test1_Hand!$B$14</f>
        <v>6000</v>
      </c>
    </row>
    <row r="451" customFormat="false" ht="15" hidden="false" customHeight="false" outlineLevel="0" collapsed="false">
      <c r="A451" s="2" t="n">
        <v>439</v>
      </c>
      <c r="B451" s="22" t="n">
        <v>0.700852076446946</v>
      </c>
      <c r="C451" s="22" t="n">
        <v>0.400069851113561</v>
      </c>
      <c r="D451" s="23" t="n">
        <f aca="false">BETAINV(C451,Test1_Hand!$B$21,Test1_Hand!$B$22,Test1_Hand!$B$9,Test1_Hand!$B$11)</f>
        <v>3.03597824428676</v>
      </c>
      <c r="E451" s="2" t="n">
        <f aca="false">IF(B451&lt;Test1_Hand!$B$12,1,0)</f>
        <v>0</v>
      </c>
      <c r="F451" s="23" t="n">
        <f aca="false">Test1_Hand!$B$4+E451*D451</f>
        <v>16</v>
      </c>
      <c r="G451" s="24" t="n">
        <f aca="false">Test1_Hand!$B$6*E451*D451+Test1_Hand!$B$7*MAX(0,F451-Test1_Hand!$B$5)</f>
        <v>0</v>
      </c>
      <c r="H451" s="2" t="n">
        <f aca="false">IF(B451&lt;Test1_Hand!$B$13,1,0)</f>
        <v>0</v>
      </c>
      <c r="I451" s="23" t="n">
        <f aca="false">Test1_Hand!$B$4+H451*D451</f>
        <v>16</v>
      </c>
      <c r="J451" s="24" t="n">
        <f aca="false">Test1_Hand!$B$6*H451*D451+Test1_Hand!$B$7*MAX(0,I451-Test1_Hand!$B$5)+Test1_Hand!$B$14</f>
        <v>6000</v>
      </c>
    </row>
    <row r="452" customFormat="false" ht="15" hidden="false" customHeight="false" outlineLevel="0" collapsed="false">
      <c r="A452" s="2" t="n">
        <v>440</v>
      </c>
      <c r="B452" s="22" t="n">
        <v>0.849849758311903</v>
      </c>
      <c r="C452" s="22" t="n">
        <v>0.480679258833546</v>
      </c>
      <c r="D452" s="23" t="n">
        <f aca="false">BETAINV(C452,Test1_Hand!$B$21,Test1_Hand!$B$22,Test1_Hand!$B$9,Test1_Hand!$B$11)</f>
        <v>3.31471519066033</v>
      </c>
      <c r="E452" s="2" t="n">
        <f aca="false">IF(B452&lt;Test1_Hand!$B$12,1,0)</f>
        <v>0</v>
      </c>
      <c r="F452" s="23" t="n">
        <f aca="false">Test1_Hand!$B$4+E452*D452</f>
        <v>16</v>
      </c>
      <c r="G452" s="24" t="n">
        <f aca="false">Test1_Hand!$B$6*E452*D452+Test1_Hand!$B$7*MAX(0,F452-Test1_Hand!$B$5)</f>
        <v>0</v>
      </c>
      <c r="H452" s="2" t="n">
        <f aca="false">IF(B452&lt;Test1_Hand!$B$13,1,0)</f>
        <v>0</v>
      </c>
      <c r="I452" s="23" t="n">
        <f aca="false">Test1_Hand!$B$4+H452*D452</f>
        <v>16</v>
      </c>
      <c r="J452" s="24" t="n">
        <f aca="false">Test1_Hand!$B$6*H452*D452+Test1_Hand!$B$7*MAX(0,I452-Test1_Hand!$B$5)+Test1_Hand!$B$14</f>
        <v>6000</v>
      </c>
    </row>
    <row r="453" customFormat="false" ht="15" hidden="false" customHeight="false" outlineLevel="0" collapsed="false">
      <c r="A453" s="2" t="n">
        <v>441</v>
      </c>
      <c r="B453" s="22" t="n">
        <v>0.539197621638229</v>
      </c>
      <c r="C453" s="22" t="n">
        <v>0.815705462337153</v>
      </c>
      <c r="D453" s="23" t="n">
        <f aca="false">BETAINV(C453,Test1_Hand!$B$21,Test1_Hand!$B$22,Test1_Hand!$B$9,Test1_Hand!$B$11)</f>
        <v>4.71189418034928</v>
      </c>
      <c r="E453" s="2" t="n">
        <f aca="false">IF(B453&lt;Test1_Hand!$B$12,1,0)</f>
        <v>0</v>
      </c>
      <c r="F453" s="23" t="n">
        <f aca="false">Test1_Hand!$B$4+E453*D453</f>
        <v>16</v>
      </c>
      <c r="G453" s="24" t="n">
        <f aca="false">Test1_Hand!$B$6*E453*D453+Test1_Hand!$B$7*MAX(0,F453-Test1_Hand!$B$5)</f>
        <v>0</v>
      </c>
      <c r="H453" s="2" t="n">
        <f aca="false">IF(B453&lt;Test1_Hand!$B$13,1,0)</f>
        <v>0</v>
      </c>
      <c r="I453" s="23" t="n">
        <f aca="false">Test1_Hand!$B$4+H453*D453</f>
        <v>16</v>
      </c>
      <c r="J453" s="24" t="n">
        <f aca="false">Test1_Hand!$B$6*H453*D453+Test1_Hand!$B$7*MAX(0,I453-Test1_Hand!$B$5)+Test1_Hand!$B$14</f>
        <v>6000</v>
      </c>
    </row>
    <row r="454" customFormat="false" ht="15" hidden="false" customHeight="false" outlineLevel="0" collapsed="false">
      <c r="A454" s="2" t="n">
        <v>442</v>
      </c>
      <c r="B454" s="22" t="n">
        <v>0.29943647272648</v>
      </c>
      <c r="C454" s="22" t="n">
        <v>0.731816988451792</v>
      </c>
      <c r="D454" s="23" t="n">
        <f aca="false">BETAINV(C454,Test1_Hand!$B$21,Test1_Hand!$B$22,Test1_Hand!$B$9,Test1_Hand!$B$11)</f>
        <v>4.29042567156119</v>
      </c>
      <c r="E454" s="2" t="n">
        <f aca="false">IF(B454&lt;Test1_Hand!$B$12,1,0)</f>
        <v>1</v>
      </c>
      <c r="F454" s="23" t="n">
        <f aca="false">Test1_Hand!$B$4+E454*D454</f>
        <v>20.2904256715612</v>
      </c>
      <c r="G454" s="24" t="n">
        <f aca="false">Test1_Hand!$B$6*E454*D454+Test1_Hand!$B$7*MAX(0,F454-Test1_Hand!$B$5)</f>
        <v>35775.5337302955</v>
      </c>
      <c r="H454" s="2" t="n">
        <f aca="false">IF(B454&lt;Test1_Hand!$B$13,1,0)</f>
        <v>0</v>
      </c>
      <c r="I454" s="23" t="n">
        <f aca="false">Test1_Hand!$B$4+H454*D454</f>
        <v>16</v>
      </c>
      <c r="J454" s="24" t="n">
        <f aca="false">Test1_Hand!$B$6*H454*D454+Test1_Hand!$B$7*MAX(0,I454-Test1_Hand!$B$5)+Test1_Hand!$B$14</f>
        <v>6000</v>
      </c>
    </row>
    <row r="455" customFormat="false" ht="15" hidden="false" customHeight="false" outlineLevel="0" collapsed="false">
      <c r="A455" s="2" t="n">
        <v>443</v>
      </c>
      <c r="B455" s="22" t="n">
        <v>0.271351742996869</v>
      </c>
      <c r="C455" s="22" t="n">
        <v>0.761302795461377</v>
      </c>
      <c r="D455" s="23" t="n">
        <f aca="false">BETAINV(C455,Test1_Hand!$B$21,Test1_Hand!$B$22,Test1_Hand!$B$9,Test1_Hand!$B$11)</f>
        <v>4.4290159999141</v>
      </c>
      <c r="E455" s="2" t="n">
        <f aca="false">IF(B455&lt;Test1_Hand!$B$12,1,0)</f>
        <v>1</v>
      </c>
      <c r="F455" s="23" t="n">
        <f aca="false">Test1_Hand!$B$4+E455*D455</f>
        <v>20.4290159999141</v>
      </c>
      <c r="G455" s="24" t="n">
        <f aca="false">Test1_Hand!$B$6*E455*D455+Test1_Hand!$B$7*MAX(0,F455-Test1_Hand!$B$5)</f>
        <v>37577.2079988833</v>
      </c>
      <c r="H455" s="2" t="n">
        <f aca="false">IF(B455&lt;Test1_Hand!$B$13,1,0)</f>
        <v>0</v>
      </c>
      <c r="I455" s="23" t="n">
        <f aca="false">Test1_Hand!$B$4+H455*D455</f>
        <v>16</v>
      </c>
      <c r="J455" s="24" t="n">
        <f aca="false">Test1_Hand!$B$6*H455*D455+Test1_Hand!$B$7*MAX(0,I455-Test1_Hand!$B$5)+Test1_Hand!$B$14</f>
        <v>6000</v>
      </c>
    </row>
    <row r="456" customFormat="false" ht="15" hidden="false" customHeight="false" outlineLevel="0" collapsed="false">
      <c r="A456" s="2" t="n">
        <v>444</v>
      </c>
      <c r="B456" s="22" t="n">
        <v>0.612938766845798</v>
      </c>
      <c r="C456" s="22" t="n">
        <v>0.956273872273182</v>
      </c>
      <c r="D456" s="23" t="n">
        <f aca="false">BETAINV(C456,Test1_Hand!$B$21,Test1_Hand!$B$22,Test1_Hand!$B$9,Test1_Hand!$B$11)</f>
        <v>5.85801462172793</v>
      </c>
      <c r="E456" s="2" t="n">
        <f aca="false">IF(B456&lt;Test1_Hand!$B$12,1,0)</f>
        <v>0</v>
      </c>
      <c r="F456" s="23" t="n">
        <f aca="false">Test1_Hand!$B$4+E456*D456</f>
        <v>16</v>
      </c>
      <c r="G456" s="24" t="n">
        <f aca="false">Test1_Hand!$B$6*E456*D456+Test1_Hand!$B$7*MAX(0,F456-Test1_Hand!$B$5)</f>
        <v>0</v>
      </c>
      <c r="H456" s="2" t="n">
        <f aca="false">IF(B456&lt;Test1_Hand!$B$13,1,0)</f>
        <v>0</v>
      </c>
      <c r="I456" s="23" t="n">
        <f aca="false">Test1_Hand!$B$4+H456*D456</f>
        <v>16</v>
      </c>
      <c r="J456" s="24" t="n">
        <f aca="false">Test1_Hand!$B$6*H456*D456+Test1_Hand!$B$7*MAX(0,I456-Test1_Hand!$B$5)+Test1_Hand!$B$14</f>
        <v>6000</v>
      </c>
    </row>
    <row r="457" customFormat="false" ht="15" hidden="false" customHeight="false" outlineLevel="0" collapsed="false">
      <c r="A457" s="2" t="n">
        <v>445</v>
      </c>
      <c r="B457" s="22" t="n">
        <v>0.473834975120609</v>
      </c>
      <c r="C457" s="22" t="n">
        <v>0.727280905918154</v>
      </c>
      <c r="D457" s="23" t="n">
        <f aca="false">BETAINV(C457,Test1_Hand!$B$21,Test1_Hand!$B$22,Test1_Hand!$B$9,Test1_Hand!$B$11)</f>
        <v>4.26982780976353</v>
      </c>
      <c r="E457" s="2" t="n">
        <f aca="false">IF(B457&lt;Test1_Hand!$B$12,1,0)</f>
        <v>1</v>
      </c>
      <c r="F457" s="23" t="n">
        <f aca="false">Test1_Hand!$B$4+E457*D457</f>
        <v>20.2698278097635</v>
      </c>
      <c r="G457" s="24" t="n">
        <f aca="false">Test1_Hand!$B$6*E457*D457+Test1_Hand!$B$7*MAX(0,F457-Test1_Hand!$B$5)</f>
        <v>35507.7615269259</v>
      </c>
      <c r="H457" s="2" t="n">
        <f aca="false">IF(B457&lt;Test1_Hand!$B$13,1,0)</f>
        <v>0</v>
      </c>
      <c r="I457" s="23" t="n">
        <f aca="false">Test1_Hand!$B$4+H457*D457</f>
        <v>16</v>
      </c>
      <c r="J457" s="24" t="n">
        <f aca="false">Test1_Hand!$B$6*H457*D457+Test1_Hand!$B$7*MAX(0,I457-Test1_Hand!$B$5)+Test1_Hand!$B$14</f>
        <v>6000</v>
      </c>
    </row>
    <row r="458" customFormat="false" ht="15" hidden="false" customHeight="false" outlineLevel="0" collapsed="false">
      <c r="A458" s="2" t="n">
        <v>446</v>
      </c>
      <c r="B458" s="22" t="n">
        <v>0.0643394790788222</v>
      </c>
      <c r="C458" s="22" t="n">
        <v>0.715737815228686</v>
      </c>
      <c r="D458" s="23" t="n">
        <f aca="false">BETAINV(C458,Test1_Hand!$B$21,Test1_Hand!$B$22,Test1_Hand!$B$9,Test1_Hand!$B$11)</f>
        <v>4.21818915449149</v>
      </c>
      <c r="E458" s="2" t="n">
        <f aca="false">IF(B458&lt;Test1_Hand!$B$12,1,0)</f>
        <v>1</v>
      </c>
      <c r="F458" s="23" t="n">
        <f aca="false">Test1_Hand!$B$4+E458*D458</f>
        <v>20.2181891544915</v>
      </c>
      <c r="G458" s="24" t="n">
        <f aca="false">Test1_Hand!$B$6*E458*D458+Test1_Hand!$B$7*MAX(0,F458-Test1_Hand!$B$5)</f>
        <v>34836.4590083894</v>
      </c>
      <c r="H458" s="2" t="n">
        <f aca="false">IF(B458&lt;Test1_Hand!$B$13,1,0)</f>
        <v>1</v>
      </c>
      <c r="I458" s="23" t="n">
        <f aca="false">Test1_Hand!$B$4+H458*D458</f>
        <v>20.2181891544915</v>
      </c>
      <c r="J458" s="24" t="n">
        <f aca="false">Test1_Hand!$B$6*H458*D458+Test1_Hand!$B$7*MAX(0,I458-Test1_Hand!$B$5)+Test1_Hand!$B$14</f>
        <v>40836.4590083894</v>
      </c>
    </row>
    <row r="459" customFormat="false" ht="15" hidden="false" customHeight="false" outlineLevel="0" collapsed="false">
      <c r="A459" s="2" t="n">
        <v>447</v>
      </c>
      <c r="B459" s="22" t="n">
        <v>0.541217741604934</v>
      </c>
      <c r="C459" s="22" t="n">
        <v>0.230832843636377</v>
      </c>
      <c r="D459" s="23" t="n">
        <f aca="false">BETAINV(C459,Test1_Hand!$B$21,Test1_Hand!$B$22,Test1_Hand!$B$9,Test1_Hand!$B$11)</f>
        <v>2.44241828460225</v>
      </c>
      <c r="E459" s="2" t="n">
        <f aca="false">IF(B459&lt;Test1_Hand!$B$12,1,0)</f>
        <v>0</v>
      </c>
      <c r="F459" s="23" t="n">
        <f aca="false">Test1_Hand!$B$4+E459*D459</f>
        <v>16</v>
      </c>
      <c r="G459" s="24" t="n">
        <f aca="false">Test1_Hand!$B$6*E459*D459+Test1_Hand!$B$7*MAX(0,F459-Test1_Hand!$B$5)</f>
        <v>0</v>
      </c>
      <c r="H459" s="2" t="n">
        <f aca="false">IF(B459&lt;Test1_Hand!$B$13,1,0)</f>
        <v>0</v>
      </c>
      <c r="I459" s="23" t="n">
        <f aca="false">Test1_Hand!$B$4+H459*D459</f>
        <v>16</v>
      </c>
      <c r="J459" s="24" t="n">
        <f aca="false">Test1_Hand!$B$6*H459*D459+Test1_Hand!$B$7*MAX(0,I459-Test1_Hand!$B$5)+Test1_Hand!$B$14</f>
        <v>6000</v>
      </c>
    </row>
    <row r="460" customFormat="false" ht="15" hidden="false" customHeight="false" outlineLevel="0" collapsed="false">
      <c r="A460" s="2" t="n">
        <v>448</v>
      </c>
      <c r="B460" s="22" t="n">
        <v>0.801531256425276</v>
      </c>
      <c r="C460" s="22" t="n">
        <v>0.197086403888563</v>
      </c>
      <c r="D460" s="23" t="n">
        <f aca="false">BETAINV(C460,Test1_Hand!$B$21,Test1_Hand!$B$22,Test1_Hand!$B$9,Test1_Hand!$B$11)</f>
        <v>2.31554048404462</v>
      </c>
      <c r="E460" s="2" t="n">
        <f aca="false">IF(B460&lt;Test1_Hand!$B$12,1,0)</f>
        <v>0</v>
      </c>
      <c r="F460" s="23" t="n">
        <f aca="false">Test1_Hand!$B$4+E460*D460</f>
        <v>16</v>
      </c>
      <c r="G460" s="24" t="n">
        <f aca="false">Test1_Hand!$B$6*E460*D460+Test1_Hand!$B$7*MAX(0,F460-Test1_Hand!$B$5)</f>
        <v>0</v>
      </c>
      <c r="H460" s="2" t="n">
        <f aca="false">IF(B460&lt;Test1_Hand!$B$13,1,0)</f>
        <v>0</v>
      </c>
      <c r="I460" s="23" t="n">
        <f aca="false">Test1_Hand!$B$4+H460*D460</f>
        <v>16</v>
      </c>
      <c r="J460" s="24" t="n">
        <f aca="false">Test1_Hand!$B$6*H460*D460+Test1_Hand!$B$7*MAX(0,I460-Test1_Hand!$B$5)+Test1_Hand!$B$14</f>
        <v>6000</v>
      </c>
    </row>
    <row r="461" customFormat="false" ht="15" hidden="false" customHeight="false" outlineLevel="0" collapsed="false">
      <c r="A461" s="2" t="n">
        <v>449</v>
      </c>
      <c r="B461" s="22" t="n">
        <v>0.504337799684859</v>
      </c>
      <c r="C461" s="22" t="n">
        <v>0.644592141527739</v>
      </c>
      <c r="D461" s="23" t="n">
        <f aca="false">BETAINV(C461,Test1_Hand!$B$21,Test1_Hand!$B$22,Test1_Hand!$B$9,Test1_Hand!$B$11)</f>
        <v>3.92024555869561</v>
      </c>
      <c r="E461" s="2" t="n">
        <f aca="false">IF(B461&lt;Test1_Hand!$B$12,1,0)</f>
        <v>0</v>
      </c>
      <c r="F461" s="23" t="n">
        <f aca="false">Test1_Hand!$B$4+E461*D461</f>
        <v>16</v>
      </c>
      <c r="G461" s="24" t="n">
        <f aca="false">Test1_Hand!$B$6*E461*D461+Test1_Hand!$B$7*MAX(0,F461-Test1_Hand!$B$5)</f>
        <v>0</v>
      </c>
      <c r="H461" s="2" t="n">
        <f aca="false">IF(B461&lt;Test1_Hand!$B$13,1,0)</f>
        <v>0</v>
      </c>
      <c r="I461" s="23" t="n">
        <f aca="false">Test1_Hand!$B$4+H461*D461</f>
        <v>16</v>
      </c>
      <c r="J461" s="24" t="n">
        <f aca="false">Test1_Hand!$B$6*H461*D461+Test1_Hand!$B$7*MAX(0,I461-Test1_Hand!$B$5)+Test1_Hand!$B$14</f>
        <v>6000</v>
      </c>
    </row>
    <row r="462" customFormat="false" ht="15" hidden="false" customHeight="false" outlineLevel="0" collapsed="false">
      <c r="A462" s="2" t="n">
        <v>450</v>
      </c>
      <c r="B462" s="22" t="n">
        <v>0.0887830384372792</v>
      </c>
      <c r="C462" s="22" t="n">
        <v>0.566894437605037</v>
      </c>
      <c r="D462" s="23" t="n">
        <f aca="false">BETAINV(C462,Test1_Hand!$B$21,Test1_Hand!$B$22,Test1_Hand!$B$9,Test1_Hand!$B$11)</f>
        <v>3.62337210950773</v>
      </c>
      <c r="E462" s="2" t="n">
        <f aca="false">IF(B462&lt;Test1_Hand!$B$12,1,0)</f>
        <v>1</v>
      </c>
      <c r="F462" s="23" t="n">
        <f aca="false">Test1_Hand!$B$4+E462*D462</f>
        <v>19.6233721095077</v>
      </c>
      <c r="G462" s="24" t="n">
        <f aca="false">Test1_Hand!$B$6*E462*D462+Test1_Hand!$B$7*MAX(0,F462-Test1_Hand!$B$5)</f>
        <v>28986.9768760618</v>
      </c>
      <c r="H462" s="2" t="n">
        <f aca="false">IF(B462&lt;Test1_Hand!$B$13,1,0)</f>
        <v>1</v>
      </c>
      <c r="I462" s="23" t="n">
        <f aca="false">Test1_Hand!$B$4+H462*D462</f>
        <v>19.6233721095077</v>
      </c>
      <c r="J462" s="24" t="n">
        <f aca="false">Test1_Hand!$B$6*H462*D462+Test1_Hand!$B$7*MAX(0,I462-Test1_Hand!$B$5)+Test1_Hand!$B$14</f>
        <v>34986.9768760618</v>
      </c>
    </row>
    <row r="463" customFormat="false" ht="15" hidden="false" customHeight="false" outlineLevel="0" collapsed="false">
      <c r="A463" s="2" t="n">
        <v>451</v>
      </c>
      <c r="B463" s="22" t="n">
        <v>0.114244628429291</v>
      </c>
      <c r="C463" s="22" t="n">
        <v>0.911972794047781</v>
      </c>
      <c r="D463" s="23" t="n">
        <f aca="false">BETAINV(C463,Test1_Hand!$B$21,Test1_Hand!$B$22,Test1_Hand!$B$9,Test1_Hand!$B$11)</f>
        <v>5.3742511187242</v>
      </c>
      <c r="E463" s="2" t="n">
        <f aca="false">IF(B463&lt;Test1_Hand!$B$12,1,0)</f>
        <v>1</v>
      </c>
      <c r="F463" s="23" t="n">
        <f aca="false">Test1_Hand!$B$4+E463*D463</f>
        <v>21.3742511187242</v>
      </c>
      <c r="G463" s="24" t="n">
        <f aca="false">Test1_Hand!$B$6*E463*D463+Test1_Hand!$B$7*MAX(0,F463-Test1_Hand!$B$5)</f>
        <v>49865.2645434146</v>
      </c>
      <c r="H463" s="2" t="n">
        <f aca="false">IF(B463&lt;Test1_Hand!$B$13,1,0)</f>
        <v>1</v>
      </c>
      <c r="I463" s="23" t="n">
        <f aca="false">Test1_Hand!$B$4+H463*D463</f>
        <v>21.3742511187242</v>
      </c>
      <c r="J463" s="24" t="n">
        <f aca="false">Test1_Hand!$B$6*H463*D463+Test1_Hand!$B$7*MAX(0,I463-Test1_Hand!$B$5)+Test1_Hand!$B$14</f>
        <v>55865.2645434146</v>
      </c>
    </row>
    <row r="464" customFormat="false" ht="15" hidden="false" customHeight="false" outlineLevel="0" collapsed="false">
      <c r="A464" s="2" t="n">
        <v>452</v>
      </c>
      <c r="B464" s="22" t="n">
        <v>0.224195630287766</v>
      </c>
      <c r="C464" s="22" t="n">
        <v>0.574074525201362</v>
      </c>
      <c r="D464" s="23" t="n">
        <f aca="false">BETAINV(C464,Test1_Hand!$B$21,Test1_Hand!$B$22,Test1_Hand!$B$9,Test1_Hand!$B$11)</f>
        <v>3.64989869991575</v>
      </c>
      <c r="E464" s="2" t="n">
        <f aca="false">IF(B464&lt;Test1_Hand!$B$12,1,0)</f>
        <v>1</v>
      </c>
      <c r="F464" s="23" t="n">
        <f aca="false">Test1_Hand!$B$4+E464*D464</f>
        <v>19.6498986999158</v>
      </c>
      <c r="G464" s="24" t="n">
        <f aca="false">Test1_Hand!$B$6*E464*D464+Test1_Hand!$B$7*MAX(0,F464-Test1_Hand!$B$5)</f>
        <v>29199.189599326</v>
      </c>
      <c r="H464" s="2" t="n">
        <f aca="false">IF(B464&lt;Test1_Hand!$B$13,1,0)</f>
        <v>0</v>
      </c>
      <c r="I464" s="23" t="n">
        <f aca="false">Test1_Hand!$B$4+H464*D464</f>
        <v>16</v>
      </c>
      <c r="J464" s="24" t="n">
        <f aca="false">Test1_Hand!$B$6*H464*D464+Test1_Hand!$B$7*MAX(0,I464-Test1_Hand!$B$5)+Test1_Hand!$B$14</f>
        <v>6000</v>
      </c>
    </row>
    <row r="465" customFormat="false" ht="15" hidden="false" customHeight="false" outlineLevel="0" collapsed="false">
      <c r="A465" s="2" t="n">
        <v>453</v>
      </c>
      <c r="B465" s="22" t="n">
        <v>0.938323867843554</v>
      </c>
      <c r="C465" s="22" t="n">
        <v>0.445593453704475</v>
      </c>
      <c r="D465" s="23" t="n">
        <f aca="false">BETAINV(C465,Test1_Hand!$B$21,Test1_Hand!$B$22,Test1_Hand!$B$9,Test1_Hand!$B$11)</f>
        <v>3.19273720495431</v>
      </c>
      <c r="E465" s="2" t="n">
        <f aca="false">IF(B465&lt;Test1_Hand!$B$12,1,0)</f>
        <v>0</v>
      </c>
      <c r="F465" s="23" t="n">
        <f aca="false">Test1_Hand!$B$4+E465*D465</f>
        <v>16</v>
      </c>
      <c r="G465" s="24" t="n">
        <f aca="false">Test1_Hand!$B$6*E465*D465+Test1_Hand!$B$7*MAX(0,F465-Test1_Hand!$B$5)</f>
        <v>0</v>
      </c>
      <c r="H465" s="2" t="n">
        <f aca="false">IF(B465&lt;Test1_Hand!$B$13,1,0)</f>
        <v>0</v>
      </c>
      <c r="I465" s="23" t="n">
        <f aca="false">Test1_Hand!$B$4+H465*D465</f>
        <v>16</v>
      </c>
      <c r="J465" s="24" t="n">
        <f aca="false">Test1_Hand!$B$6*H465*D465+Test1_Hand!$B$7*MAX(0,I465-Test1_Hand!$B$5)+Test1_Hand!$B$14</f>
        <v>6000</v>
      </c>
    </row>
    <row r="466" customFormat="false" ht="15" hidden="false" customHeight="false" outlineLevel="0" collapsed="false">
      <c r="A466" s="2" t="n">
        <v>454</v>
      </c>
      <c r="B466" s="22" t="n">
        <v>0.011118618447001</v>
      </c>
      <c r="C466" s="22" t="n">
        <v>0.381595984377935</v>
      </c>
      <c r="D466" s="23" t="n">
        <f aca="false">BETAINV(C466,Test1_Hand!$B$21,Test1_Hand!$B$22,Test1_Hand!$B$9,Test1_Hand!$B$11)</f>
        <v>2.97254647355025</v>
      </c>
      <c r="E466" s="2" t="n">
        <f aca="false">IF(B466&lt;Test1_Hand!$B$12,1,0)</f>
        <v>1</v>
      </c>
      <c r="F466" s="23" t="n">
        <f aca="false">Test1_Hand!$B$4+E466*D466</f>
        <v>18.9725464735503</v>
      </c>
      <c r="G466" s="24" t="n">
        <f aca="false">Test1_Hand!$B$6*E466*D466+Test1_Hand!$B$7*MAX(0,F466-Test1_Hand!$B$5)</f>
        <v>23780.371788402</v>
      </c>
      <c r="H466" s="2" t="n">
        <f aca="false">IF(B466&lt;Test1_Hand!$B$13,1,0)</f>
        <v>1</v>
      </c>
      <c r="I466" s="23" t="n">
        <f aca="false">Test1_Hand!$B$4+H466*D466</f>
        <v>18.9725464735503</v>
      </c>
      <c r="J466" s="24" t="n">
        <f aca="false">Test1_Hand!$B$6*H466*D466+Test1_Hand!$B$7*MAX(0,I466-Test1_Hand!$B$5)+Test1_Hand!$B$14</f>
        <v>29780.371788402</v>
      </c>
    </row>
    <row r="467" customFormat="false" ht="15" hidden="false" customHeight="false" outlineLevel="0" collapsed="false">
      <c r="A467" s="2" t="n">
        <v>455</v>
      </c>
      <c r="B467" s="22" t="n">
        <v>0.593625287618079</v>
      </c>
      <c r="C467" s="22" t="n">
        <v>0.541235240715372</v>
      </c>
      <c r="D467" s="23" t="n">
        <f aca="false">BETAINV(C467,Test1_Hand!$B$21,Test1_Hand!$B$22,Test1_Hand!$B$9,Test1_Hand!$B$11)</f>
        <v>3.52976510639869</v>
      </c>
      <c r="E467" s="2" t="n">
        <f aca="false">IF(B467&lt;Test1_Hand!$B$12,1,0)</f>
        <v>0</v>
      </c>
      <c r="F467" s="23" t="n">
        <f aca="false">Test1_Hand!$B$4+E467*D467</f>
        <v>16</v>
      </c>
      <c r="G467" s="24" t="n">
        <f aca="false">Test1_Hand!$B$6*E467*D467+Test1_Hand!$B$7*MAX(0,F467-Test1_Hand!$B$5)</f>
        <v>0</v>
      </c>
      <c r="H467" s="2" t="n">
        <f aca="false">IF(B467&lt;Test1_Hand!$B$13,1,0)</f>
        <v>0</v>
      </c>
      <c r="I467" s="23" t="n">
        <f aca="false">Test1_Hand!$B$4+H467*D467</f>
        <v>16</v>
      </c>
      <c r="J467" s="24" t="n">
        <f aca="false">Test1_Hand!$B$6*H467*D467+Test1_Hand!$B$7*MAX(0,I467-Test1_Hand!$B$5)+Test1_Hand!$B$14</f>
        <v>6000</v>
      </c>
    </row>
    <row r="468" customFormat="false" ht="15" hidden="false" customHeight="false" outlineLevel="0" collapsed="false">
      <c r="A468" s="2" t="n">
        <v>456</v>
      </c>
      <c r="B468" s="22" t="n">
        <v>0.962753448711938</v>
      </c>
      <c r="C468" s="22" t="n">
        <v>0.0944354422791464</v>
      </c>
      <c r="D468" s="23" t="n">
        <f aca="false">BETAINV(C468,Test1_Hand!$B$21,Test1_Hand!$B$22,Test1_Hand!$B$9,Test1_Hand!$B$11)</f>
        <v>1.87718991803892</v>
      </c>
      <c r="E468" s="2" t="n">
        <f aca="false">IF(B468&lt;Test1_Hand!$B$12,1,0)</f>
        <v>0</v>
      </c>
      <c r="F468" s="23" t="n">
        <f aca="false">Test1_Hand!$B$4+E468*D468</f>
        <v>16</v>
      </c>
      <c r="G468" s="24" t="n">
        <f aca="false">Test1_Hand!$B$6*E468*D468+Test1_Hand!$B$7*MAX(0,F468-Test1_Hand!$B$5)</f>
        <v>0</v>
      </c>
      <c r="H468" s="2" t="n">
        <f aca="false">IF(B468&lt;Test1_Hand!$B$13,1,0)</f>
        <v>0</v>
      </c>
      <c r="I468" s="23" t="n">
        <f aca="false">Test1_Hand!$B$4+H468*D468</f>
        <v>16</v>
      </c>
      <c r="J468" s="24" t="n">
        <f aca="false">Test1_Hand!$B$6*H468*D468+Test1_Hand!$B$7*MAX(0,I468-Test1_Hand!$B$5)+Test1_Hand!$B$14</f>
        <v>6000</v>
      </c>
    </row>
    <row r="469" customFormat="false" ht="15" hidden="false" customHeight="false" outlineLevel="0" collapsed="false">
      <c r="A469" s="2" t="n">
        <v>457</v>
      </c>
      <c r="B469" s="22" t="n">
        <v>0.114666958911249</v>
      </c>
      <c r="C469" s="22" t="n">
        <v>0.380390720592916</v>
      </c>
      <c r="D469" s="23" t="n">
        <f aca="false">BETAINV(C469,Test1_Hand!$B$21,Test1_Hand!$B$22,Test1_Hand!$B$9,Test1_Hand!$B$11)</f>
        <v>2.96840765110832</v>
      </c>
      <c r="E469" s="2" t="n">
        <f aca="false">IF(B469&lt;Test1_Hand!$B$12,1,0)</f>
        <v>1</v>
      </c>
      <c r="F469" s="23" t="n">
        <f aca="false">Test1_Hand!$B$4+E469*D469</f>
        <v>18.9684076511083</v>
      </c>
      <c r="G469" s="24" t="n">
        <f aca="false">Test1_Hand!$B$6*E469*D469+Test1_Hand!$B$7*MAX(0,F469-Test1_Hand!$B$5)</f>
        <v>23747.2612088665</v>
      </c>
      <c r="H469" s="2" t="n">
        <f aca="false">IF(B469&lt;Test1_Hand!$B$13,1,0)</f>
        <v>1</v>
      </c>
      <c r="I469" s="23" t="n">
        <f aca="false">Test1_Hand!$B$4+H469*D469</f>
        <v>18.9684076511083</v>
      </c>
      <c r="J469" s="24" t="n">
        <f aca="false">Test1_Hand!$B$6*H469*D469+Test1_Hand!$B$7*MAX(0,I469-Test1_Hand!$B$5)+Test1_Hand!$B$14</f>
        <v>29747.2612088665</v>
      </c>
    </row>
    <row r="470" customFormat="false" ht="15" hidden="false" customHeight="false" outlineLevel="0" collapsed="false">
      <c r="A470" s="2" t="n">
        <v>458</v>
      </c>
      <c r="B470" s="22" t="n">
        <v>0.436164889095579</v>
      </c>
      <c r="C470" s="22" t="n">
        <v>0.816316450367196</v>
      </c>
      <c r="D470" s="23" t="n">
        <f aca="false">BETAINV(C470,Test1_Hand!$B$21,Test1_Hand!$B$22,Test1_Hand!$B$9,Test1_Hand!$B$11)</f>
        <v>4.71532427661405</v>
      </c>
      <c r="E470" s="2" t="n">
        <f aca="false">IF(B470&lt;Test1_Hand!$B$12,1,0)</f>
        <v>1</v>
      </c>
      <c r="F470" s="23" t="n">
        <f aca="false">Test1_Hand!$B$4+E470*D470</f>
        <v>20.715324276614</v>
      </c>
      <c r="G470" s="24" t="n">
        <f aca="false">Test1_Hand!$B$6*E470*D470+Test1_Hand!$B$7*MAX(0,F470-Test1_Hand!$B$5)</f>
        <v>41299.2155959826</v>
      </c>
      <c r="H470" s="2" t="n">
        <f aca="false">IF(B470&lt;Test1_Hand!$B$13,1,0)</f>
        <v>0</v>
      </c>
      <c r="I470" s="23" t="n">
        <f aca="false">Test1_Hand!$B$4+H470*D470</f>
        <v>16</v>
      </c>
      <c r="J470" s="24" t="n">
        <f aca="false">Test1_Hand!$B$6*H470*D470+Test1_Hand!$B$7*MAX(0,I470-Test1_Hand!$B$5)+Test1_Hand!$B$14</f>
        <v>6000</v>
      </c>
    </row>
    <row r="471" customFormat="false" ht="15" hidden="false" customHeight="false" outlineLevel="0" collapsed="false">
      <c r="A471" s="2" t="n">
        <v>459</v>
      </c>
      <c r="B471" s="22" t="n">
        <v>0.174194298646012</v>
      </c>
      <c r="C471" s="22" t="n">
        <v>0.022900856423334</v>
      </c>
      <c r="D471" s="23" t="n">
        <f aca="false">BETAINV(C471,Test1_Hand!$B$21,Test1_Hand!$B$22,Test1_Hand!$B$9,Test1_Hand!$B$11)</f>
        <v>1.42578303736393</v>
      </c>
      <c r="E471" s="2" t="n">
        <f aca="false">IF(B471&lt;Test1_Hand!$B$12,1,0)</f>
        <v>1</v>
      </c>
      <c r="F471" s="23" t="n">
        <f aca="false">Test1_Hand!$B$4+E471*D471</f>
        <v>17.4257830373639</v>
      </c>
      <c r="G471" s="24" t="n">
        <f aca="false">Test1_Hand!$B$6*E471*D471+Test1_Hand!$B$7*MAX(0,F471-Test1_Hand!$B$5)</f>
        <v>11406.2642989114</v>
      </c>
      <c r="H471" s="2" t="n">
        <f aca="false">IF(B471&lt;Test1_Hand!$B$13,1,0)</f>
        <v>1</v>
      </c>
      <c r="I471" s="23" t="n">
        <f aca="false">Test1_Hand!$B$4+H471*D471</f>
        <v>17.4257830373639</v>
      </c>
      <c r="J471" s="24" t="n">
        <f aca="false">Test1_Hand!$B$6*H471*D471+Test1_Hand!$B$7*MAX(0,I471-Test1_Hand!$B$5)+Test1_Hand!$B$14</f>
        <v>17406.2642989114</v>
      </c>
    </row>
    <row r="472" customFormat="false" ht="15" hidden="false" customHeight="false" outlineLevel="0" collapsed="false">
      <c r="A472" s="2" t="n">
        <v>460</v>
      </c>
      <c r="B472" s="22" t="n">
        <v>0.700724253246192</v>
      </c>
      <c r="C472" s="22" t="n">
        <v>0.44637952422076</v>
      </c>
      <c r="D472" s="23" t="n">
        <f aca="false">BETAINV(C472,Test1_Hand!$B$21,Test1_Hand!$B$22,Test1_Hand!$B$9,Test1_Hand!$B$11)</f>
        <v>3.19545574757449</v>
      </c>
      <c r="E472" s="2" t="n">
        <f aca="false">IF(B472&lt;Test1_Hand!$B$12,1,0)</f>
        <v>0</v>
      </c>
      <c r="F472" s="23" t="n">
        <f aca="false">Test1_Hand!$B$4+E472*D472</f>
        <v>16</v>
      </c>
      <c r="G472" s="24" t="n">
        <f aca="false">Test1_Hand!$B$6*E472*D472+Test1_Hand!$B$7*MAX(0,F472-Test1_Hand!$B$5)</f>
        <v>0</v>
      </c>
      <c r="H472" s="2" t="n">
        <f aca="false">IF(B472&lt;Test1_Hand!$B$13,1,0)</f>
        <v>0</v>
      </c>
      <c r="I472" s="23" t="n">
        <f aca="false">Test1_Hand!$B$4+H472*D472</f>
        <v>16</v>
      </c>
      <c r="J472" s="24" t="n">
        <f aca="false">Test1_Hand!$B$6*H472*D472+Test1_Hand!$B$7*MAX(0,I472-Test1_Hand!$B$5)+Test1_Hand!$B$14</f>
        <v>6000</v>
      </c>
    </row>
    <row r="473" customFormat="false" ht="15" hidden="false" customHeight="false" outlineLevel="0" collapsed="false">
      <c r="A473" s="2" t="n">
        <v>461</v>
      </c>
      <c r="B473" s="22" t="n">
        <v>0.0408695810826879</v>
      </c>
      <c r="C473" s="22" t="n">
        <v>0.929949295113125</v>
      </c>
      <c r="D473" s="23" t="n">
        <f aca="false">BETAINV(C473,Test1_Hand!$B$21,Test1_Hand!$B$22,Test1_Hand!$B$9,Test1_Hand!$B$11)</f>
        <v>5.54504975491894</v>
      </c>
      <c r="E473" s="2" t="n">
        <f aca="false">IF(B473&lt;Test1_Hand!$B$12,1,0)</f>
        <v>1</v>
      </c>
      <c r="F473" s="23" t="n">
        <f aca="false">Test1_Hand!$B$4+E473*D473</f>
        <v>21.5450497549189</v>
      </c>
      <c r="G473" s="24" t="n">
        <f aca="false">Test1_Hand!$B$6*E473*D473+Test1_Hand!$B$7*MAX(0,F473-Test1_Hand!$B$5)</f>
        <v>52085.6468139462</v>
      </c>
      <c r="H473" s="2" t="n">
        <f aca="false">IF(B473&lt;Test1_Hand!$B$13,1,0)</f>
        <v>1</v>
      </c>
      <c r="I473" s="23" t="n">
        <f aca="false">Test1_Hand!$B$4+H473*D473</f>
        <v>21.5450497549189</v>
      </c>
      <c r="J473" s="24" t="n">
        <f aca="false">Test1_Hand!$B$6*H473*D473+Test1_Hand!$B$7*MAX(0,I473-Test1_Hand!$B$5)+Test1_Hand!$B$14</f>
        <v>58085.6468139462</v>
      </c>
    </row>
    <row r="474" customFormat="false" ht="15" hidden="false" customHeight="false" outlineLevel="0" collapsed="false">
      <c r="A474" s="2" t="n">
        <v>462</v>
      </c>
      <c r="B474" s="22" t="n">
        <v>0.0453960663117933</v>
      </c>
      <c r="C474" s="22" t="n">
        <v>0.477340232902337</v>
      </c>
      <c r="D474" s="23" t="n">
        <f aca="false">BETAINV(C474,Test1_Hand!$B$21,Test1_Hand!$B$22,Test1_Hand!$B$9,Test1_Hand!$B$11)</f>
        <v>3.30304221549428</v>
      </c>
      <c r="E474" s="2" t="n">
        <f aca="false">IF(B474&lt;Test1_Hand!$B$12,1,0)</f>
        <v>1</v>
      </c>
      <c r="F474" s="23" t="n">
        <f aca="false">Test1_Hand!$B$4+E474*D474</f>
        <v>19.3030422154943</v>
      </c>
      <c r="G474" s="24" t="n">
        <f aca="false">Test1_Hand!$B$6*E474*D474+Test1_Hand!$B$7*MAX(0,F474-Test1_Hand!$B$5)</f>
        <v>26424.3377239542</v>
      </c>
      <c r="H474" s="2" t="n">
        <f aca="false">IF(B474&lt;Test1_Hand!$B$13,1,0)</f>
        <v>1</v>
      </c>
      <c r="I474" s="23" t="n">
        <f aca="false">Test1_Hand!$B$4+H474*D474</f>
        <v>19.3030422154943</v>
      </c>
      <c r="J474" s="24" t="n">
        <f aca="false">Test1_Hand!$B$6*H474*D474+Test1_Hand!$B$7*MAX(0,I474-Test1_Hand!$B$5)+Test1_Hand!$B$14</f>
        <v>32424.3377239542</v>
      </c>
    </row>
    <row r="475" customFormat="false" ht="15" hidden="false" customHeight="false" outlineLevel="0" collapsed="false">
      <c r="A475" s="2" t="n">
        <v>463</v>
      </c>
      <c r="B475" s="22" t="n">
        <v>0.360964766483888</v>
      </c>
      <c r="C475" s="22" t="n">
        <v>0.95442988881285</v>
      </c>
      <c r="D475" s="23" t="n">
        <f aca="false">BETAINV(C475,Test1_Hand!$B$21,Test1_Hand!$B$22,Test1_Hand!$B$9,Test1_Hand!$B$11)</f>
        <v>5.83250034961359</v>
      </c>
      <c r="E475" s="2" t="n">
        <f aca="false">IF(B475&lt;Test1_Hand!$B$12,1,0)</f>
        <v>1</v>
      </c>
      <c r="F475" s="23" t="n">
        <f aca="false">Test1_Hand!$B$4+E475*D475</f>
        <v>21.8325003496136</v>
      </c>
      <c r="G475" s="24" t="n">
        <f aca="false">Test1_Hand!$B$6*E475*D475+Test1_Hand!$B$7*MAX(0,F475-Test1_Hand!$B$5)</f>
        <v>55822.5045449767</v>
      </c>
      <c r="H475" s="2" t="n">
        <f aca="false">IF(B475&lt;Test1_Hand!$B$13,1,0)</f>
        <v>0</v>
      </c>
      <c r="I475" s="23" t="n">
        <f aca="false">Test1_Hand!$B$4+H475*D475</f>
        <v>16</v>
      </c>
      <c r="J475" s="24" t="n">
        <f aca="false">Test1_Hand!$B$6*H475*D475+Test1_Hand!$B$7*MAX(0,I475-Test1_Hand!$B$5)+Test1_Hand!$B$14</f>
        <v>6000</v>
      </c>
    </row>
    <row r="476" customFormat="false" ht="15" hidden="false" customHeight="false" outlineLevel="0" collapsed="false">
      <c r="A476" s="2" t="n">
        <v>464</v>
      </c>
      <c r="B476" s="22" t="n">
        <v>0.421978493002012</v>
      </c>
      <c r="C476" s="22" t="n">
        <v>0.210604548049194</v>
      </c>
      <c r="D476" s="23" t="n">
        <f aca="false">BETAINV(C476,Test1_Hand!$B$21,Test1_Hand!$B$22,Test1_Hand!$B$9,Test1_Hand!$B$11)</f>
        <v>2.36699197509073</v>
      </c>
      <c r="E476" s="2" t="n">
        <f aca="false">IF(B476&lt;Test1_Hand!$B$12,1,0)</f>
        <v>1</v>
      </c>
      <c r="F476" s="23" t="n">
        <f aca="false">Test1_Hand!$B$4+E476*D476</f>
        <v>18.3669919750907</v>
      </c>
      <c r="G476" s="24" t="n">
        <f aca="false">Test1_Hand!$B$6*E476*D476+Test1_Hand!$B$7*MAX(0,F476-Test1_Hand!$B$5)</f>
        <v>18935.9358007259</v>
      </c>
      <c r="H476" s="2" t="n">
        <f aca="false">IF(B476&lt;Test1_Hand!$B$13,1,0)</f>
        <v>0</v>
      </c>
      <c r="I476" s="23" t="n">
        <f aca="false">Test1_Hand!$B$4+H476*D476</f>
        <v>16</v>
      </c>
      <c r="J476" s="24" t="n">
        <f aca="false">Test1_Hand!$B$6*H476*D476+Test1_Hand!$B$7*MAX(0,I476-Test1_Hand!$B$5)+Test1_Hand!$B$14</f>
        <v>6000</v>
      </c>
    </row>
    <row r="477" customFormat="false" ht="15" hidden="false" customHeight="false" outlineLevel="0" collapsed="false">
      <c r="A477" s="2" t="n">
        <v>465</v>
      </c>
      <c r="B477" s="22" t="n">
        <v>0.860478183856167</v>
      </c>
      <c r="C477" s="22" t="n">
        <v>0.521906408126346</v>
      </c>
      <c r="D477" s="23" t="n">
        <f aca="false">BETAINV(C477,Test1_Hand!$B$21,Test1_Hand!$B$22,Test1_Hand!$B$9,Test1_Hand!$B$11)</f>
        <v>3.46033456777273</v>
      </c>
      <c r="E477" s="2" t="n">
        <f aca="false">IF(B477&lt;Test1_Hand!$B$12,1,0)</f>
        <v>0</v>
      </c>
      <c r="F477" s="23" t="n">
        <f aca="false">Test1_Hand!$B$4+E477*D477</f>
        <v>16</v>
      </c>
      <c r="G477" s="24" t="n">
        <f aca="false">Test1_Hand!$B$6*E477*D477+Test1_Hand!$B$7*MAX(0,F477-Test1_Hand!$B$5)</f>
        <v>0</v>
      </c>
      <c r="H477" s="2" t="n">
        <f aca="false">IF(B477&lt;Test1_Hand!$B$13,1,0)</f>
        <v>0</v>
      </c>
      <c r="I477" s="23" t="n">
        <f aca="false">Test1_Hand!$B$4+H477*D477</f>
        <v>16</v>
      </c>
      <c r="J477" s="24" t="n">
        <f aca="false">Test1_Hand!$B$6*H477*D477+Test1_Hand!$B$7*MAX(0,I477-Test1_Hand!$B$5)+Test1_Hand!$B$14</f>
        <v>6000</v>
      </c>
    </row>
    <row r="478" customFormat="false" ht="15" hidden="false" customHeight="false" outlineLevel="0" collapsed="false">
      <c r="A478" s="2" t="n">
        <v>466</v>
      </c>
      <c r="B478" s="22" t="n">
        <v>0.159451031883723</v>
      </c>
      <c r="C478" s="22" t="n">
        <v>0.136055965725519</v>
      </c>
      <c r="D478" s="23" t="n">
        <f aca="false">BETAINV(C478,Test1_Hand!$B$21,Test1_Hand!$B$22,Test1_Hand!$B$9,Test1_Hand!$B$11)</f>
        <v>2.06836692456968</v>
      </c>
      <c r="E478" s="2" t="n">
        <f aca="false">IF(B478&lt;Test1_Hand!$B$12,1,0)</f>
        <v>1</v>
      </c>
      <c r="F478" s="23" t="n">
        <f aca="false">Test1_Hand!$B$4+E478*D478</f>
        <v>18.0683669245697</v>
      </c>
      <c r="G478" s="24" t="n">
        <f aca="false">Test1_Hand!$B$6*E478*D478+Test1_Hand!$B$7*MAX(0,F478-Test1_Hand!$B$5)</f>
        <v>16546.9353965574</v>
      </c>
      <c r="H478" s="2" t="n">
        <f aca="false">IF(B478&lt;Test1_Hand!$B$13,1,0)</f>
        <v>1</v>
      </c>
      <c r="I478" s="23" t="n">
        <f aca="false">Test1_Hand!$B$4+H478*D478</f>
        <v>18.0683669245697</v>
      </c>
      <c r="J478" s="24" t="n">
        <f aca="false">Test1_Hand!$B$6*H478*D478+Test1_Hand!$B$7*MAX(0,I478-Test1_Hand!$B$5)+Test1_Hand!$B$14</f>
        <v>22546.9353965574</v>
      </c>
    </row>
    <row r="479" customFormat="false" ht="15" hidden="false" customHeight="false" outlineLevel="0" collapsed="false">
      <c r="A479" s="2" t="n">
        <v>467</v>
      </c>
      <c r="B479" s="22" t="n">
        <v>0.600386296624258</v>
      </c>
      <c r="C479" s="22" t="n">
        <v>0.0606965397333993</v>
      </c>
      <c r="D479" s="23" t="n">
        <f aca="false">BETAINV(C479,Test1_Hand!$B$21,Test1_Hand!$B$22,Test1_Hand!$B$9,Test1_Hand!$B$11)</f>
        <v>1.69607008708606</v>
      </c>
      <c r="E479" s="2" t="n">
        <f aca="false">IF(B479&lt;Test1_Hand!$B$12,1,0)</f>
        <v>0</v>
      </c>
      <c r="F479" s="23" t="n">
        <f aca="false">Test1_Hand!$B$4+E479*D479</f>
        <v>16</v>
      </c>
      <c r="G479" s="24" t="n">
        <f aca="false">Test1_Hand!$B$6*E479*D479+Test1_Hand!$B$7*MAX(0,F479-Test1_Hand!$B$5)</f>
        <v>0</v>
      </c>
      <c r="H479" s="2" t="n">
        <f aca="false">IF(B479&lt;Test1_Hand!$B$13,1,0)</f>
        <v>0</v>
      </c>
      <c r="I479" s="23" t="n">
        <f aca="false">Test1_Hand!$B$4+H479*D479</f>
        <v>16</v>
      </c>
      <c r="J479" s="24" t="n">
        <f aca="false">Test1_Hand!$B$6*H479*D479+Test1_Hand!$B$7*MAX(0,I479-Test1_Hand!$B$5)+Test1_Hand!$B$14</f>
        <v>6000</v>
      </c>
    </row>
    <row r="480" customFormat="false" ht="15" hidden="false" customHeight="false" outlineLevel="0" collapsed="false">
      <c r="A480" s="2" t="n">
        <v>468</v>
      </c>
      <c r="B480" s="22" t="n">
        <v>0.346213618727066</v>
      </c>
      <c r="C480" s="22" t="n">
        <v>0.681884296964439</v>
      </c>
      <c r="D480" s="23" t="n">
        <f aca="false">BETAINV(C480,Test1_Hand!$B$21,Test1_Hand!$B$22,Test1_Hand!$B$9,Test1_Hand!$B$11)</f>
        <v>4.07248639193671</v>
      </c>
      <c r="E480" s="2" t="n">
        <f aca="false">IF(B480&lt;Test1_Hand!$B$12,1,0)</f>
        <v>1</v>
      </c>
      <c r="F480" s="23" t="n">
        <f aca="false">Test1_Hand!$B$4+E480*D480</f>
        <v>20.0724863919367</v>
      </c>
      <c r="G480" s="24" t="n">
        <f aca="false">Test1_Hand!$B$6*E480*D480+Test1_Hand!$B$7*MAX(0,F480-Test1_Hand!$B$5)</f>
        <v>32942.3230951772</v>
      </c>
      <c r="H480" s="2" t="n">
        <f aca="false">IF(B480&lt;Test1_Hand!$B$13,1,0)</f>
        <v>0</v>
      </c>
      <c r="I480" s="23" t="n">
        <f aca="false">Test1_Hand!$B$4+H480*D480</f>
        <v>16</v>
      </c>
      <c r="J480" s="24" t="n">
        <f aca="false">Test1_Hand!$B$6*H480*D480+Test1_Hand!$B$7*MAX(0,I480-Test1_Hand!$B$5)+Test1_Hand!$B$14</f>
        <v>6000</v>
      </c>
    </row>
    <row r="481" customFormat="false" ht="15" hidden="false" customHeight="false" outlineLevel="0" collapsed="false">
      <c r="A481" s="2" t="n">
        <v>469</v>
      </c>
      <c r="B481" s="22" t="n">
        <v>0.715750544366673</v>
      </c>
      <c r="C481" s="22" t="n">
        <v>0.658037242531188</v>
      </c>
      <c r="D481" s="23" t="n">
        <f aca="false">BETAINV(C481,Test1_Hand!$B$21,Test1_Hand!$B$22,Test1_Hand!$B$9,Test1_Hand!$B$11)</f>
        <v>3.97425631598505</v>
      </c>
      <c r="E481" s="2" t="n">
        <f aca="false">IF(B481&lt;Test1_Hand!$B$12,1,0)</f>
        <v>0</v>
      </c>
      <c r="F481" s="23" t="n">
        <f aca="false">Test1_Hand!$B$4+E481*D481</f>
        <v>16</v>
      </c>
      <c r="G481" s="24" t="n">
        <f aca="false">Test1_Hand!$B$6*E481*D481+Test1_Hand!$B$7*MAX(0,F481-Test1_Hand!$B$5)</f>
        <v>0</v>
      </c>
      <c r="H481" s="2" t="n">
        <f aca="false">IF(B481&lt;Test1_Hand!$B$13,1,0)</f>
        <v>0</v>
      </c>
      <c r="I481" s="23" t="n">
        <f aca="false">Test1_Hand!$B$4+H481*D481</f>
        <v>16</v>
      </c>
      <c r="J481" s="24" t="n">
        <f aca="false">Test1_Hand!$B$6*H481*D481+Test1_Hand!$B$7*MAX(0,I481-Test1_Hand!$B$5)+Test1_Hand!$B$14</f>
        <v>6000</v>
      </c>
    </row>
    <row r="482" customFormat="false" ht="15" hidden="false" customHeight="false" outlineLevel="0" collapsed="false">
      <c r="A482" s="2" t="n">
        <v>470</v>
      </c>
      <c r="B482" s="22" t="n">
        <v>0.140385412142958</v>
      </c>
      <c r="C482" s="22" t="n">
        <v>0.0192202182424954</v>
      </c>
      <c r="D482" s="23" t="n">
        <f aca="false">BETAINV(C482,Test1_Hand!$B$21,Test1_Hand!$B$22,Test1_Hand!$B$9,Test1_Hand!$B$11)</f>
        <v>1.39050321927574</v>
      </c>
      <c r="E482" s="2" t="n">
        <f aca="false">IF(B482&lt;Test1_Hand!$B$12,1,0)</f>
        <v>1</v>
      </c>
      <c r="F482" s="23" t="n">
        <f aca="false">Test1_Hand!$B$4+E482*D482</f>
        <v>17.3905032192757</v>
      </c>
      <c r="G482" s="24" t="n">
        <f aca="false">Test1_Hand!$B$6*E482*D482+Test1_Hand!$B$7*MAX(0,F482-Test1_Hand!$B$5)</f>
        <v>11124.0257542059</v>
      </c>
      <c r="H482" s="2" t="n">
        <f aca="false">IF(B482&lt;Test1_Hand!$B$13,1,0)</f>
        <v>1</v>
      </c>
      <c r="I482" s="23" t="n">
        <f aca="false">Test1_Hand!$B$4+H482*D482</f>
        <v>17.3905032192757</v>
      </c>
      <c r="J482" s="24" t="n">
        <f aca="false">Test1_Hand!$B$6*H482*D482+Test1_Hand!$B$7*MAX(0,I482-Test1_Hand!$B$5)+Test1_Hand!$B$14</f>
        <v>17124.0257542059</v>
      </c>
    </row>
    <row r="483" customFormat="false" ht="15" hidden="false" customHeight="false" outlineLevel="0" collapsed="false">
      <c r="A483" s="2" t="n">
        <v>471</v>
      </c>
      <c r="B483" s="22" t="n">
        <v>0.648261888934618</v>
      </c>
      <c r="C483" s="22" t="n">
        <v>0.379511517518617</v>
      </c>
      <c r="D483" s="23" t="n">
        <f aca="false">BETAINV(C483,Test1_Hand!$B$21,Test1_Hand!$B$22,Test1_Hand!$B$9,Test1_Hand!$B$11)</f>
        <v>2.96538837046885</v>
      </c>
      <c r="E483" s="2" t="n">
        <f aca="false">IF(B483&lt;Test1_Hand!$B$12,1,0)</f>
        <v>0</v>
      </c>
      <c r="F483" s="23" t="n">
        <f aca="false">Test1_Hand!$B$4+E483*D483</f>
        <v>16</v>
      </c>
      <c r="G483" s="24" t="n">
        <f aca="false">Test1_Hand!$B$6*E483*D483+Test1_Hand!$B$7*MAX(0,F483-Test1_Hand!$B$5)</f>
        <v>0</v>
      </c>
      <c r="H483" s="2" t="n">
        <f aca="false">IF(B483&lt;Test1_Hand!$B$13,1,0)</f>
        <v>0</v>
      </c>
      <c r="I483" s="23" t="n">
        <f aca="false">Test1_Hand!$B$4+H483*D483</f>
        <v>16</v>
      </c>
      <c r="J483" s="24" t="n">
        <f aca="false">Test1_Hand!$B$6*H483*D483+Test1_Hand!$B$7*MAX(0,I483-Test1_Hand!$B$5)+Test1_Hand!$B$14</f>
        <v>6000</v>
      </c>
    </row>
    <row r="484" customFormat="false" ht="15" hidden="false" customHeight="false" outlineLevel="0" collapsed="false">
      <c r="A484" s="2" t="n">
        <v>472</v>
      </c>
      <c r="B484" s="22" t="n">
        <v>0.551528749480118</v>
      </c>
      <c r="C484" s="22" t="n">
        <v>0.127498947501985</v>
      </c>
      <c r="D484" s="23" t="n">
        <f aca="false">BETAINV(C484,Test1_Hand!$B$21,Test1_Hand!$B$22,Test1_Hand!$B$9,Test1_Hand!$B$11)</f>
        <v>2.03103258049884</v>
      </c>
      <c r="E484" s="2" t="n">
        <f aca="false">IF(B484&lt;Test1_Hand!$B$12,1,0)</f>
        <v>0</v>
      </c>
      <c r="F484" s="23" t="n">
        <f aca="false">Test1_Hand!$B$4+E484*D484</f>
        <v>16</v>
      </c>
      <c r="G484" s="24" t="n">
        <f aca="false">Test1_Hand!$B$6*E484*D484+Test1_Hand!$B$7*MAX(0,F484-Test1_Hand!$B$5)</f>
        <v>0</v>
      </c>
      <c r="H484" s="2" t="n">
        <f aca="false">IF(B484&lt;Test1_Hand!$B$13,1,0)</f>
        <v>0</v>
      </c>
      <c r="I484" s="23" t="n">
        <f aca="false">Test1_Hand!$B$4+H484*D484</f>
        <v>16</v>
      </c>
      <c r="J484" s="24" t="n">
        <f aca="false">Test1_Hand!$B$6*H484*D484+Test1_Hand!$B$7*MAX(0,I484-Test1_Hand!$B$5)+Test1_Hand!$B$14</f>
        <v>6000</v>
      </c>
    </row>
    <row r="485" customFormat="false" ht="15" hidden="false" customHeight="false" outlineLevel="0" collapsed="false">
      <c r="A485" s="2" t="n">
        <v>473</v>
      </c>
      <c r="B485" s="22" t="n">
        <v>0.141155712123588</v>
      </c>
      <c r="C485" s="22" t="n">
        <v>0.164893813617232</v>
      </c>
      <c r="D485" s="23" t="n">
        <f aca="false">BETAINV(C485,Test1_Hand!$B$21,Test1_Hand!$B$22,Test1_Hand!$B$9,Test1_Hand!$B$11)</f>
        <v>2.18873674514738</v>
      </c>
      <c r="E485" s="2" t="n">
        <f aca="false">IF(B485&lt;Test1_Hand!$B$12,1,0)</f>
        <v>1</v>
      </c>
      <c r="F485" s="23" t="n">
        <f aca="false">Test1_Hand!$B$4+E485*D485</f>
        <v>18.1887367451474</v>
      </c>
      <c r="G485" s="24" t="n">
        <f aca="false">Test1_Hand!$B$6*E485*D485+Test1_Hand!$B$7*MAX(0,F485-Test1_Hand!$B$5)</f>
        <v>17509.8939611791</v>
      </c>
      <c r="H485" s="2" t="n">
        <f aca="false">IF(B485&lt;Test1_Hand!$B$13,1,0)</f>
        <v>1</v>
      </c>
      <c r="I485" s="23" t="n">
        <f aca="false">Test1_Hand!$B$4+H485*D485</f>
        <v>18.1887367451474</v>
      </c>
      <c r="J485" s="24" t="n">
        <f aca="false">Test1_Hand!$B$6*H485*D485+Test1_Hand!$B$7*MAX(0,I485-Test1_Hand!$B$5)+Test1_Hand!$B$14</f>
        <v>23509.8939611791</v>
      </c>
    </row>
    <row r="486" customFormat="false" ht="15" hidden="false" customHeight="false" outlineLevel="0" collapsed="false">
      <c r="A486" s="2" t="n">
        <v>474</v>
      </c>
      <c r="B486" s="22" t="n">
        <v>0.712315172156768</v>
      </c>
      <c r="C486" s="22" t="n">
        <v>0.205880720492068</v>
      </c>
      <c r="D486" s="23" t="n">
        <f aca="false">BETAINV(C486,Test1_Hand!$B$21,Test1_Hand!$B$22,Test1_Hand!$B$9,Test1_Hand!$B$11)</f>
        <v>2.34911630495561</v>
      </c>
      <c r="E486" s="2" t="n">
        <f aca="false">IF(B486&lt;Test1_Hand!$B$12,1,0)</f>
        <v>0</v>
      </c>
      <c r="F486" s="23" t="n">
        <f aca="false">Test1_Hand!$B$4+E486*D486</f>
        <v>16</v>
      </c>
      <c r="G486" s="24" t="n">
        <f aca="false">Test1_Hand!$B$6*E486*D486+Test1_Hand!$B$7*MAX(0,F486-Test1_Hand!$B$5)</f>
        <v>0</v>
      </c>
      <c r="H486" s="2" t="n">
        <f aca="false">IF(B486&lt;Test1_Hand!$B$13,1,0)</f>
        <v>0</v>
      </c>
      <c r="I486" s="23" t="n">
        <f aca="false">Test1_Hand!$B$4+H486*D486</f>
        <v>16</v>
      </c>
      <c r="J486" s="24" t="n">
        <f aca="false">Test1_Hand!$B$6*H486*D486+Test1_Hand!$B$7*MAX(0,I486-Test1_Hand!$B$5)+Test1_Hand!$B$14</f>
        <v>6000</v>
      </c>
    </row>
    <row r="487" customFormat="false" ht="15" hidden="false" customHeight="false" outlineLevel="0" collapsed="false">
      <c r="A487" s="2" t="n">
        <v>475</v>
      </c>
      <c r="B487" s="22" t="n">
        <v>0.211851687362682</v>
      </c>
      <c r="C487" s="22" t="n">
        <v>0.816932422552509</v>
      </c>
      <c r="D487" s="23" t="n">
        <f aca="false">BETAINV(C487,Test1_Hand!$B$21,Test1_Hand!$B$22,Test1_Hand!$B$9,Test1_Hand!$B$11)</f>
        <v>4.71878906322172</v>
      </c>
      <c r="E487" s="2" t="n">
        <f aca="false">IF(B487&lt;Test1_Hand!$B$12,1,0)</f>
        <v>1</v>
      </c>
      <c r="F487" s="23" t="n">
        <f aca="false">Test1_Hand!$B$4+E487*D487</f>
        <v>20.7187890632217</v>
      </c>
      <c r="G487" s="24" t="n">
        <f aca="false">Test1_Hand!$B$6*E487*D487+Test1_Hand!$B$7*MAX(0,F487-Test1_Hand!$B$5)</f>
        <v>41344.2578218823</v>
      </c>
      <c r="H487" s="2" t="n">
        <f aca="false">IF(B487&lt;Test1_Hand!$B$13,1,0)</f>
        <v>0</v>
      </c>
      <c r="I487" s="23" t="n">
        <f aca="false">Test1_Hand!$B$4+H487*D487</f>
        <v>16</v>
      </c>
      <c r="J487" s="24" t="n">
        <f aca="false">Test1_Hand!$B$6*H487*D487+Test1_Hand!$B$7*MAX(0,I487-Test1_Hand!$B$5)+Test1_Hand!$B$14</f>
        <v>6000</v>
      </c>
    </row>
    <row r="488" customFormat="false" ht="15" hidden="false" customHeight="false" outlineLevel="0" collapsed="false">
      <c r="A488" s="2" t="n">
        <v>476</v>
      </c>
      <c r="B488" s="22" t="n">
        <v>0.373315197160636</v>
      </c>
      <c r="C488" s="22" t="n">
        <v>0.809835807110482</v>
      </c>
      <c r="D488" s="23" t="n">
        <f aca="false">BETAINV(C488,Test1_Hand!$B$21,Test1_Hand!$B$22,Test1_Hand!$B$9,Test1_Hand!$B$11)</f>
        <v>4.67927188723467</v>
      </c>
      <c r="E488" s="2" t="n">
        <f aca="false">IF(B488&lt;Test1_Hand!$B$12,1,0)</f>
        <v>1</v>
      </c>
      <c r="F488" s="23" t="n">
        <f aca="false">Test1_Hand!$B$4+E488*D488</f>
        <v>20.6792718872347</v>
      </c>
      <c r="G488" s="24" t="n">
        <f aca="false">Test1_Hand!$B$6*E488*D488+Test1_Hand!$B$7*MAX(0,F488-Test1_Hand!$B$5)</f>
        <v>40830.5345340508</v>
      </c>
      <c r="H488" s="2" t="n">
        <f aca="false">IF(B488&lt;Test1_Hand!$B$13,1,0)</f>
        <v>0</v>
      </c>
      <c r="I488" s="23" t="n">
        <f aca="false">Test1_Hand!$B$4+H488*D488</f>
        <v>16</v>
      </c>
      <c r="J488" s="24" t="n">
        <f aca="false">Test1_Hand!$B$6*H488*D488+Test1_Hand!$B$7*MAX(0,I488-Test1_Hand!$B$5)+Test1_Hand!$B$14</f>
        <v>6000</v>
      </c>
    </row>
    <row r="489" customFormat="false" ht="15" hidden="false" customHeight="false" outlineLevel="0" collapsed="false">
      <c r="A489" s="2" t="n">
        <v>477</v>
      </c>
      <c r="B489" s="22" t="n">
        <v>0.501682988379385</v>
      </c>
      <c r="C489" s="22" t="n">
        <v>0.57642754321916</v>
      </c>
      <c r="D489" s="23" t="n">
        <f aca="false">BETAINV(C489,Test1_Hand!$B$21,Test1_Hand!$B$22,Test1_Hand!$B$9,Test1_Hand!$B$11)</f>
        <v>3.65862619520793</v>
      </c>
      <c r="E489" s="2" t="n">
        <f aca="false">IF(B489&lt;Test1_Hand!$B$12,1,0)</f>
        <v>0</v>
      </c>
      <c r="F489" s="23" t="n">
        <f aca="false">Test1_Hand!$B$4+E489*D489</f>
        <v>16</v>
      </c>
      <c r="G489" s="24" t="n">
        <f aca="false">Test1_Hand!$B$6*E489*D489+Test1_Hand!$B$7*MAX(0,F489-Test1_Hand!$B$5)</f>
        <v>0</v>
      </c>
      <c r="H489" s="2" t="n">
        <f aca="false">IF(B489&lt;Test1_Hand!$B$13,1,0)</f>
        <v>0</v>
      </c>
      <c r="I489" s="23" t="n">
        <f aca="false">Test1_Hand!$B$4+H489*D489</f>
        <v>16</v>
      </c>
      <c r="J489" s="24" t="n">
        <f aca="false">Test1_Hand!$B$6*H489*D489+Test1_Hand!$B$7*MAX(0,I489-Test1_Hand!$B$5)+Test1_Hand!$B$14</f>
        <v>6000</v>
      </c>
    </row>
    <row r="490" customFormat="false" ht="15" hidden="false" customHeight="false" outlineLevel="0" collapsed="false">
      <c r="A490" s="2" t="n">
        <v>478</v>
      </c>
      <c r="B490" s="22" t="n">
        <v>0.357286607231569</v>
      </c>
      <c r="C490" s="22" t="n">
        <v>0.470028715924431</v>
      </c>
      <c r="D490" s="23" t="n">
        <f aca="false">BETAINV(C490,Test1_Hand!$B$21,Test1_Hand!$B$22,Test1_Hand!$B$9,Test1_Hand!$B$11)</f>
        <v>3.27753416228913</v>
      </c>
      <c r="E490" s="2" t="n">
        <f aca="false">IF(B490&lt;Test1_Hand!$B$12,1,0)</f>
        <v>1</v>
      </c>
      <c r="F490" s="23" t="n">
        <f aca="false">Test1_Hand!$B$4+E490*D490</f>
        <v>19.2775341622891</v>
      </c>
      <c r="G490" s="24" t="n">
        <f aca="false">Test1_Hand!$B$6*E490*D490+Test1_Hand!$B$7*MAX(0,F490-Test1_Hand!$B$5)</f>
        <v>26220.273298313</v>
      </c>
      <c r="H490" s="2" t="n">
        <f aca="false">IF(B490&lt;Test1_Hand!$B$13,1,0)</f>
        <v>0</v>
      </c>
      <c r="I490" s="23" t="n">
        <f aca="false">Test1_Hand!$B$4+H490*D490</f>
        <v>16</v>
      </c>
      <c r="J490" s="24" t="n">
        <f aca="false">Test1_Hand!$B$6*H490*D490+Test1_Hand!$B$7*MAX(0,I490-Test1_Hand!$B$5)+Test1_Hand!$B$14</f>
        <v>6000</v>
      </c>
    </row>
    <row r="491" customFormat="false" ht="15" hidden="false" customHeight="false" outlineLevel="0" collapsed="false">
      <c r="A491" s="2" t="n">
        <v>479</v>
      </c>
      <c r="B491" s="22" t="n">
        <v>0.40354304550308</v>
      </c>
      <c r="C491" s="22" t="n">
        <v>0.544420267773744</v>
      </c>
      <c r="D491" s="23" t="n">
        <f aca="false">BETAINV(C491,Test1_Hand!$B$21,Test1_Hand!$B$22,Test1_Hand!$B$9,Test1_Hand!$B$11)</f>
        <v>3.54129021807842</v>
      </c>
      <c r="E491" s="2" t="n">
        <f aca="false">IF(B491&lt;Test1_Hand!$B$12,1,0)</f>
        <v>1</v>
      </c>
      <c r="F491" s="23" t="n">
        <f aca="false">Test1_Hand!$B$4+E491*D491</f>
        <v>19.5412902180784</v>
      </c>
      <c r="G491" s="24" t="n">
        <f aca="false">Test1_Hand!$B$6*E491*D491+Test1_Hand!$B$7*MAX(0,F491-Test1_Hand!$B$5)</f>
        <v>28330.3217446274</v>
      </c>
      <c r="H491" s="2" t="n">
        <f aca="false">IF(B491&lt;Test1_Hand!$B$13,1,0)</f>
        <v>0</v>
      </c>
      <c r="I491" s="23" t="n">
        <f aca="false">Test1_Hand!$B$4+H491*D491</f>
        <v>16</v>
      </c>
      <c r="J491" s="24" t="n">
        <f aca="false">Test1_Hand!$B$6*H491*D491+Test1_Hand!$B$7*MAX(0,I491-Test1_Hand!$B$5)+Test1_Hand!$B$14</f>
        <v>6000</v>
      </c>
    </row>
    <row r="492" customFormat="false" ht="15" hidden="false" customHeight="false" outlineLevel="0" collapsed="false">
      <c r="A492" s="2" t="n">
        <v>480</v>
      </c>
      <c r="B492" s="22" t="n">
        <v>0.892194549079642</v>
      </c>
      <c r="C492" s="22" t="n">
        <v>0.61979343259552</v>
      </c>
      <c r="D492" s="23" t="n">
        <f aca="false">BETAINV(C492,Test1_Hand!$B$21,Test1_Hand!$B$22,Test1_Hand!$B$9,Test1_Hand!$B$11)</f>
        <v>3.82289773035231</v>
      </c>
      <c r="E492" s="2" t="n">
        <f aca="false">IF(B492&lt;Test1_Hand!$B$12,1,0)</f>
        <v>0</v>
      </c>
      <c r="F492" s="23" t="n">
        <f aca="false">Test1_Hand!$B$4+E492*D492</f>
        <v>16</v>
      </c>
      <c r="G492" s="24" t="n">
        <f aca="false">Test1_Hand!$B$6*E492*D492+Test1_Hand!$B$7*MAX(0,F492-Test1_Hand!$B$5)</f>
        <v>0</v>
      </c>
      <c r="H492" s="2" t="n">
        <f aca="false">IF(B492&lt;Test1_Hand!$B$13,1,0)</f>
        <v>0</v>
      </c>
      <c r="I492" s="23" t="n">
        <f aca="false">Test1_Hand!$B$4+H492*D492</f>
        <v>16</v>
      </c>
      <c r="J492" s="24" t="n">
        <f aca="false">Test1_Hand!$B$6*H492*D492+Test1_Hand!$B$7*MAX(0,I492-Test1_Hand!$B$5)+Test1_Hand!$B$14</f>
        <v>6000</v>
      </c>
    </row>
    <row r="493" customFormat="false" ht="15" hidden="false" customHeight="false" outlineLevel="0" collapsed="false">
      <c r="A493" s="2" t="n">
        <v>481</v>
      </c>
      <c r="B493" s="22" t="n">
        <v>0.580862406467145</v>
      </c>
      <c r="C493" s="22" t="n">
        <v>0.629588024287952</v>
      </c>
      <c r="D493" s="23" t="n">
        <f aca="false">BETAINV(C493,Test1_Hand!$B$21,Test1_Hand!$B$22,Test1_Hand!$B$9,Test1_Hand!$B$11)</f>
        <v>3.86101553126381</v>
      </c>
      <c r="E493" s="2" t="n">
        <f aca="false">IF(B493&lt;Test1_Hand!$B$12,1,0)</f>
        <v>0</v>
      </c>
      <c r="F493" s="23" t="n">
        <f aca="false">Test1_Hand!$B$4+E493*D493</f>
        <v>16</v>
      </c>
      <c r="G493" s="24" t="n">
        <f aca="false">Test1_Hand!$B$6*E493*D493+Test1_Hand!$B$7*MAX(0,F493-Test1_Hand!$B$5)</f>
        <v>0</v>
      </c>
      <c r="H493" s="2" t="n">
        <f aca="false">IF(B493&lt;Test1_Hand!$B$13,1,0)</f>
        <v>0</v>
      </c>
      <c r="I493" s="23" t="n">
        <f aca="false">Test1_Hand!$B$4+H493*D493</f>
        <v>16</v>
      </c>
      <c r="J493" s="24" t="n">
        <f aca="false">Test1_Hand!$B$6*H493*D493+Test1_Hand!$B$7*MAX(0,I493-Test1_Hand!$B$5)+Test1_Hand!$B$14</f>
        <v>6000</v>
      </c>
    </row>
    <row r="494" customFormat="false" ht="15" hidden="false" customHeight="false" outlineLevel="0" collapsed="false">
      <c r="A494" s="2" t="n">
        <v>482</v>
      </c>
      <c r="B494" s="22" t="n">
        <v>0.0167483134584073</v>
      </c>
      <c r="C494" s="22" t="n">
        <v>0.230528651658346</v>
      </c>
      <c r="D494" s="23" t="n">
        <f aca="false">BETAINV(C494,Test1_Hand!$B$21,Test1_Hand!$B$22,Test1_Hand!$B$9,Test1_Hand!$B$11)</f>
        <v>2.441296365376</v>
      </c>
      <c r="E494" s="2" t="n">
        <f aca="false">IF(B494&lt;Test1_Hand!$B$12,1,0)</f>
        <v>1</v>
      </c>
      <c r="F494" s="23" t="n">
        <f aca="false">Test1_Hand!$B$4+E494*D494</f>
        <v>18.441296365376</v>
      </c>
      <c r="G494" s="24" t="n">
        <f aca="false">Test1_Hand!$B$6*E494*D494+Test1_Hand!$B$7*MAX(0,F494-Test1_Hand!$B$5)</f>
        <v>19530.370923008</v>
      </c>
      <c r="H494" s="2" t="n">
        <f aca="false">IF(B494&lt;Test1_Hand!$B$13,1,0)</f>
        <v>1</v>
      </c>
      <c r="I494" s="23" t="n">
        <f aca="false">Test1_Hand!$B$4+H494*D494</f>
        <v>18.441296365376</v>
      </c>
      <c r="J494" s="24" t="n">
        <f aca="false">Test1_Hand!$B$6*H494*D494+Test1_Hand!$B$7*MAX(0,I494-Test1_Hand!$B$5)+Test1_Hand!$B$14</f>
        <v>25530.370923008</v>
      </c>
    </row>
    <row r="495" customFormat="false" ht="15" hidden="false" customHeight="false" outlineLevel="0" collapsed="false">
      <c r="A495" s="2" t="n">
        <v>483</v>
      </c>
      <c r="B495" s="22" t="n">
        <v>0.414529903049429</v>
      </c>
      <c r="C495" s="22" t="n">
        <v>0.976463734757959</v>
      </c>
      <c r="D495" s="23" t="n">
        <f aca="false">BETAINV(C495,Test1_Hand!$B$21,Test1_Hand!$B$22,Test1_Hand!$B$9,Test1_Hand!$B$11)</f>
        <v>6.20275293844736</v>
      </c>
      <c r="E495" s="2" t="n">
        <f aca="false">IF(B495&lt;Test1_Hand!$B$12,1,0)</f>
        <v>1</v>
      </c>
      <c r="F495" s="23" t="n">
        <f aca="false">Test1_Hand!$B$4+E495*D495</f>
        <v>22.2027529384474</v>
      </c>
      <c r="G495" s="24" t="n">
        <f aca="false">Test1_Hand!$B$6*E495*D495+Test1_Hand!$B$7*MAX(0,F495-Test1_Hand!$B$5)</f>
        <v>60635.7881998156</v>
      </c>
      <c r="H495" s="2" t="n">
        <f aca="false">IF(B495&lt;Test1_Hand!$B$13,1,0)</f>
        <v>0</v>
      </c>
      <c r="I495" s="23" t="n">
        <f aca="false">Test1_Hand!$B$4+H495*D495</f>
        <v>16</v>
      </c>
      <c r="J495" s="24" t="n">
        <f aca="false">Test1_Hand!$B$6*H495*D495+Test1_Hand!$B$7*MAX(0,I495-Test1_Hand!$B$5)+Test1_Hand!$B$14</f>
        <v>6000</v>
      </c>
    </row>
    <row r="496" customFormat="false" ht="15" hidden="false" customHeight="false" outlineLevel="0" collapsed="false">
      <c r="A496" s="2" t="n">
        <v>484</v>
      </c>
      <c r="B496" s="22" t="n">
        <v>0.741571475509177</v>
      </c>
      <c r="C496" s="22" t="n">
        <v>0.91162009069843</v>
      </c>
      <c r="D496" s="23" t="n">
        <f aca="false">BETAINV(C496,Test1_Hand!$B$21,Test1_Hand!$B$22,Test1_Hand!$B$9,Test1_Hand!$B$11)</f>
        <v>5.37113701653389</v>
      </c>
      <c r="E496" s="2" t="n">
        <f aca="false">IF(B496&lt;Test1_Hand!$B$12,1,0)</f>
        <v>0</v>
      </c>
      <c r="F496" s="23" t="n">
        <f aca="false">Test1_Hand!$B$4+E496*D496</f>
        <v>16</v>
      </c>
      <c r="G496" s="24" t="n">
        <f aca="false">Test1_Hand!$B$6*E496*D496+Test1_Hand!$B$7*MAX(0,F496-Test1_Hand!$B$5)</f>
        <v>0</v>
      </c>
      <c r="H496" s="2" t="n">
        <f aca="false">IF(B496&lt;Test1_Hand!$B$13,1,0)</f>
        <v>0</v>
      </c>
      <c r="I496" s="23" t="n">
        <f aca="false">Test1_Hand!$B$4+H496*D496</f>
        <v>16</v>
      </c>
      <c r="J496" s="24" t="n">
        <f aca="false">Test1_Hand!$B$6*H496*D496+Test1_Hand!$B$7*MAX(0,I496-Test1_Hand!$B$5)+Test1_Hand!$B$14</f>
        <v>6000</v>
      </c>
    </row>
    <row r="497" customFormat="false" ht="15" hidden="false" customHeight="false" outlineLevel="0" collapsed="false">
      <c r="A497" s="2" t="n">
        <v>485</v>
      </c>
      <c r="B497" s="22" t="n">
        <v>0.556971751460717</v>
      </c>
      <c r="C497" s="22" t="n">
        <v>0.869317485290755</v>
      </c>
      <c r="D497" s="23" t="n">
        <f aca="false">BETAINV(C497,Test1_Hand!$B$21,Test1_Hand!$B$22,Test1_Hand!$B$9,Test1_Hand!$B$11)</f>
        <v>5.04348064571083</v>
      </c>
      <c r="E497" s="2" t="n">
        <f aca="false">IF(B497&lt;Test1_Hand!$B$12,1,0)</f>
        <v>0</v>
      </c>
      <c r="F497" s="23" t="n">
        <f aca="false">Test1_Hand!$B$4+E497*D497</f>
        <v>16</v>
      </c>
      <c r="G497" s="24" t="n">
        <f aca="false">Test1_Hand!$B$6*E497*D497+Test1_Hand!$B$7*MAX(0,F497-Test1_Hand!$B$5)</f>
        <v>0</v>
      </c>
      <c r="H497" s="2" t="n">
        <f aca="false">IF(B497&lt;Test1_Hand!$B$13,1,0)</f>
        <v>0</v>
      </c>
      <c r="I497" s="23" t="n">
        <f aca="false">Test1_Hand!$B$4+H497*D497</f>
        <v>16</v>
      </c>
      <c r="J497" s="24" t="n">
        <f aca="false">Test1_Hand!$B$6*H497*D497+Test1_Hand!$B$7*MAX(0,I497-Test1_Hand!$B$5)+Test1_Hand!$B$14</f>
        <v>6000</v>
      </c>
    </row>
    <row r="498" customFormat="false" ht="15" hidden="false" customHeight="false" outlineLevel="0" collapsed="false">
      <c r="A498" s="2" t="n">
        <v>486</v>
      </c>
      <c r="B498" s="22" t="n">
        <v>0.465251072236249</v>
      </c>
      <c r="C498" s="22" t="n">
        <v>0.906530260768762</v>
      </c>
      <c r="D498" s="23" t="n">
        <f aca="false">BETAINV(C498,Test1_Hand!$B$21,Test1_Hand!$B$22,Test1_Hand!$B$9,Test1_Hand!$B$11)</f>
        <v>5.32706011194269</v>
      </c>
      <c r="E498" s="2" t="n">
        <f aca="false">IF(B498&lt;Test1_Hand!$B$12,1,0)</f>
        <v>1</v>
      </c>
      <c r="F498" s="23" t="n">
        <f aca="false">Test1_Hand!$B$4+E498*D498</f>
        <v>21.3270601119427</v>
      </c>
      <c r="G498" s="24" t="n">
        <f aca="false">Test1_Hand!$B$6*E498*D498+Test1_Hand!$B$7*MAX(0,F498-Test1_Hand!$B$5)</f>
        <v>49251.781455255</v>
      </c>
      <c r="H498" s="2" t="n">
        <f aca="false">IF(B498&lt;Test1_Hand!$B$13,1,0)</f>
        <v>0</v>
      </c>
      <c r="I498" s="23" t="n">
        <f aca="false">Test1_Hand!$B$4+H498*D498</f>
        <v>16</v>
      </c>
      <c r="J498" s="24" t="n">
        <f aca="false">Test1_Hand!$B$6*H498*D498+Test1_Hand!$B$7*MAX(0,I498-Test1_Hand!$B$5)+Test1_Hand!$B$14</f>
        <v>6000</v>
      </c>
    </row>
    <row r="499" customFormat="false" ht="15" hidden="false" customHeight="false" outlineLevel="0" collapsed="false">
      <c r="A499" s="2" t="n">
        <v>487</v>
      </c>
      <c r="B499" s="22" t="n">
        <v>0.992054865864002</v>
      </c>
      <c r="C499" s="22" t="n">
        <v>0.664959817715542</v>
      </c>
      <c r="D499" s="23" t="n">
        <f aca="false">BETAINV(C499,Test1_Hand!$B$21,Test1_Hand!$B$22,Test1_Hand!$B$9,Test1_Hand!$B$11)</f>
        <v>4.00243686925705</v>
      </c>
      <c r="E499" s="2" t="n">
        <f aca="false">IF(B499&lt;Test1_Hand!$B$12,1,0)</f>
        <v>0</v>
      </c>
      <c r="F499" s="23" t="n">
        <f aca="false">Test1_Hand!$B$4+E499*D499</f>
        <v>16</v>
      </c>
      <c r="G499" s="24" t="n">
        <f aca="false">Test1_Hand!$B$6*E499*D499+Test1_Hand!$B$7*MAX(0,F499-Test1_Hand!$B$5)</f>
        <v>0</v>
      </c>
      <c r="H499" s="2" t="n">
        <f aca="false">IF(B499&lt;Test1_Hand!$B$13,1,0)</f>
        <v>0</v>
      </c>
      <c r="I499" s="23" t="n">
        <f aca="false">Test1_Hand!$B$4+H499*D499</f>
        <v>16</v>
      </c>
      <c r="J499" s="24" t="n">
        <f aca="false">Test1_Hand!$B$6*H499*D499+Test1_Hand!$B$7*MAX(0,I499-Test1_Hand!$B$5)+Test1_Hand!$B$14</f>
        <v>6000</v>
      </c>
    </row>
    <row r="500" customFormat="false" ht="15" hidden="false" customHeight="false" outlineLevel="0" collapsed="false">
      <c r="A500" s="2" t="n">
        <v>488</v>
      </c>
      <c r="B500" s="22" t="n">
        <v>0.48110864300559</v>
      </c>
      <c r="C500" s="22" t="n">
        <v>0.711059577213953</v>
      </c>
      <c r="D500" s="23" t="n">
        <f aca="false">BETAINV(C500,Test1_Hand!$B$21,Test1_Hand!$B$22,Test1_Hand!$B$9,Test1_Hand!$B$11)</f>
        <v>4.19756344393418</v>
      </c>
      <c r="E500" s="2" t="n">
        <f aca="false">IF(B500&lt;Test1_Hand!$B$12,1,0)</f>
        <v>1</v>
      </c>
      <c r="F500" s="23" t="n">
        <f aca="false">Test1_Hand!$B$4+E500*D500</f>
        <v>20.1975634439342</v>
      </c>
      <c r="G500" s="24" t="n">
        <f aca="false">Test1_Hand!$B$6*E500*D500+Test1_Hand!$B$7*MAX(0,F500-Test1_Hand!$B$5)</f>
        <v>34568.3247711444</v>
      </c>
      <c r="H500" s="2" t="n">
        <f aca="false">IF(B500&lt;Test1_Hand!$B$13,1,0)</f>
        <v>0</v>
      </c>
      <c r="I500" s="23" t="n">
        <f aca="false">Test1_Hand!$B$4+H500*D500</f>
        <v>16</v>
      </c>
      <c r="J500" s="24" t="n">
        <f aca="false">Test1_Hand!$B$6*H500*D500+Test1_Hand!$B$7*MAX(0,I500-Test1_Hand!$B$5)+Test1_Hand!$B$14</f>
        <v>6000</v>
      </c>
    </row>
    <row r="501" customFormat="false" ht="15" hidden="false" customHeight="false" outlineLevel="0" collapsed="false">
      <c r="A501" s="2" t="n">
        <v>489</v>
      </c>
      <c r="B501" s="22" t="n">
        <v>0.95112452901114</v>
      </c>
      <c r="C501" s="22" t="n">
        <v>0.46368229767722</v>
      </c>
      <c r="D501" s="23" t="n">
        <f aca="false">BETAINV(C501,Test1_Hand!$B$21,Test1_Hand!$B$22,Test1_Hand!$B$9,Test1_Hand!$B$11)</f>
        <v>3.25544761691317</v>
      </c>
      <c r="E501" s="2" t="n">
        <f aca="false">IF(B501&lt;Test1_Hand!$B$12,1,0)</f>
        <v>0</v>
      </c>
      <c r="F501" s="23" t="n">
        <f aca="false">Test1_Hand!$B$4+E501*D501</f>
        <v>16</v>
      </c>
      <c r="G501" s="24" t="n">
        <f aca="false">Test1_Hand!$B$6*E501*D501+Test1_Hand!$B$7*MAX(0,F501-Test1_Hand!$B$5)</f>
        <v>0</v>
      </c>
      <c r="H501" s="2" t="n">
        <f aca="false">IF(B501&lt;Test1_Hand!$B$13,1,0)</f>
        <v>0</v>
      </c>
      <c r="I501" s="23" t="n">
        <f aca="false">Test1_Hand!$B$4+H501*D501</f>
        <v>16</v>
      </c>
      <c r="J501" s="24" t="n">
        <f aca="false">Test1_Hand!$B$6*H501*D501+Test1_Hand!$B$7*MAX(0,I501-Test1_Hand!$B$5)+Test1_Hand!$B$14</f>
        <v>6000</v>
      </c>
    </row>
    <row r="502" customFormat="false" ht="15" hidden="false" customHeight="false" outlineLevel="0" collapsed="false">
      <c r="A502" s="2" t="n">
        <v>490</v>
      </c>
      <c r="B502" s="22" t="n">
        <v>0.690182697163014</v>
      </c>
      <c r="C502" s="22" t="n">
        <v>0.047400943912255</v>
      </c>
      <c r="D502" s="23" t="n">
        <f aca="false">BETAINV(C502,Test1_Hand!$B$21,Test1_Hand!$B$22,Test1_Hand!$B$9,Test1_Hand!$B$11)</f>
        <v>1.61323935453807</v>
      </c>
      <c r="E502" s="2" t="n">
        <f aca="false">IF(B502&lt;Test1_Hand!$B$12,1,0)</f>
        <v>0</v>
      </c>
      <c r="F502" s="23" t="n">
        <f aca="false">Test1_Hand!$B$4+E502*D502</f>
        <v>16</v>
      </c>
      <c r="G502" s="24" t="n">
        <f aca="false">Test1_Hand!$B$6*E502*D502+Test1_Hand!$B$7*MAX(0,F502-Test1_Hand!$B$5)</f>
        <v>0</v>
      </c>
      <c r="H502" s="2" t="n">
        <f aca="false">IF(B502&lt;Test1_Hand!$B$13,1,0)</f>
        <v>0</v>
      </c>
      <c r="I502" s="23" t="n">
        <f aca="false">Test1_Hand!$B$4+H502*D502</f>
        <v>16</v>
      </c>
      <c r="J502" s="24" t="n">
        <f aca="false">Test1_Hand!$B$6*H502*D502+Test1_Hand!$B$7*MAX(0,I502-Test1_Hand!$B$5)+Test1_Hand!$B$14</f>
        <v>6000</v>
      </c>
    </row>
    <row r="503" customFormat="false" ht="15" hidden="false" customHeight="false" outlineLevel="0" collapsed="false">
      <c r="A503" s="2" t="n">
        <v>491</v>
      </c>
      <c r="B503" s="22" t="n">
        <v>0.581934818032144</v>
      </c>
      <c r="C503" s="22" t="n">
        <v>0.303954470612215</v>
      </c>
      <c r="D503" s="23" t="n">
        <f aca="false">BETAINV(C503,Test1_Hand!$B$21,Test1_Hand!$B$22,Test1_Hand!$B$9,Test1_Hand!$B$11)</f>
        <v>2.7041752759141</v>
      </c>
      <c r="E503" s="2" t="n">
        <f aca="false">IF(B503&lt;Test1_Hand!$B$12,1,0)</f>
        <v>0</v>
      </c>
      <c r="F503" s="23" t="n">
        <f aca="false">Test1_Hand!$B$4+E503*D503</f>
        <v>16</v>
      </c>
      <c r="G503" s="24" t="n">
        <f aca="false">Test1_Hand!$B$6*E503*D503+Test1_Hand!$B$7*MAX(0,F503-Test1_Hand!$B$5)</f>
        <v>0</v>
      </c>
      <c r="H503" s="2" t="n">
        <f aca="false">IF(B503&lt;Test1_Hand!$B$13,1,0)</f>
        <v>0</v>
      </c>
      <c r="I503" s="23" t="n">
        <f aca="false">Test1_Hand!$B$4+H503*D503</f>
        <v>16</v>
      </c>
      <c r="J503" s="24" t="n">
        <f aca="false">Test1_Hand!$B$6*H503*D503+Test1_Hand!$B$7*MAX(0,I503-Test1_Hand!$B$5)+Test1_Hand!$B$14</f>
        <v>6000</v>
      </c>
    </row>
    <row r="504" customFormat="false" ht="15" hidden="false" customHeight="false" outlineLevel="0" collapsed="false">
      <c r="A504" s="2" t="n">
        <v>492</v>
      </c>
      <c r="B504" s="22" t="n">
        <v>0.766167249079362</v>
      </c>
      <c r="C504" s="22" t="n">
        <v>0.292006117025695</v>
      </c>
      <c r="D504" s="23" t="n">
        <f aca="false">BETAINV(C504,Test1_Hand!$B$21,Test1_Hand!$B$22,Test1_Hand!$B$9,Test1_Hand!$B$11)</f>
        <v>2.66225686090401</v>
      </c>
      <c r="E504" s="2" t="n">
        <f aca="false">IF(B504&lt;Test1_Hand!$B$12,1,0)</f>
        <v>0</v>
      </c>
      <c r="F504" s="23" t="n">
        <f aca="false">Test1_Hand!$B$4+E504*D504</f>
        <v>16</v>
      </c>
      <c r="G504" s="24" t="n">
        <f aca="false">Test1_Hand!$B$6*E504*D504+Test1_Hand!$B$7*MAX(0,F504-Test1_Hand!$B$5)</f>
        <v>0</v>
      </c>
      <c r="H504" s="2" t="n">
        <f aca="false">IF(B504&lt;Test1_Hand!$B$13,1,0)</f>
        <v>0</v>
      </c>
      <c r="I504" s="23" t="n">
        <f aca="false">Test1_Hand!$B$4+H504*D504</f>
        <v>16</v>
      </c>
      <c r="J504" s="24" t="n">
        <f aca="false">Test1_Hand!$B$6*H504*D504+Test1_Hand!$B$7*MAX(0,I504-Test1_Hand!$B$5)+Test1_Hand!$B$14</f>
        <v>6000</v>
      </c>
    </row>
    <row r="505" customFormat="false" ht="15" hidden="false" customHeight="false" outlineLevel="0" collapsed="false">
      <c r="A505" s="2" t="n">
        <v>493</v>
      </c>
      <c r="B505" s="22" t="n">
        <v>0.601613063458642</v>
      </c>
      <c r="C505" s="22" t="n">
        <v>0.49827165240889</v>
      </c>
      <c r="D505" s="23" t="n">
        <f aca="false">BETAINV(C505,Test1_Hand!$B$21,Test1_Hand!$B$22,Test1_Hand!$B$9,Test1_Hand!$B$11)</f>
        <v>3.37649235057536</v>
      </c>
      <c r="E505" s="2" t="n">
        <f aca="false">IF(B505&lt;Test1_Hand!$B$12,1,0)</f>
        <v>0</v>
      </c>
      <c r="F505" s="23" t="n">
        <f aca="false">Test1_Hand!$B$4+E505*D505</f>
        <v>16</v>
      </c>
      <c r="G505" s="24" t="n">
        <f aca="false">Test1_Hand!$B$6*E505*D505+Test1_Hand!$B$7*MAX(0,F505-Test1_Hand!$B$5)</f>
        <v>0</v>
      </c>
      <c r="H505" s="2" t="n">
        <f aca="false">IF(B505&lt;Test1_Hand!$B$13,1,0)</f>
        <v>0</v>
      </c>
      <c r="I505" s="23" t="n">
        <f aca="false">Test1_Hand!$B$4+H505*D505</f>
        <v>16</v>
      </c>
      <c r="J505" s="24" t="n">
        <f aca="false">Test1_Hand!$B$6*H505*D505+Test1_Hand!$B$7*MAX(0,I505-Test1_Hand!$B$5)+Test1_Hand!$B$14</f>
        <v>6000</v>
      </c>
    </row>
    <row r="506" customFormat="false" ht="15" hidden="false" customHeight="false" outlineLevel="0" collapsed="false">
      <c r="A506" s="2" t="n">
        <v>494</v>
      </c>
      <c r="B506" s="22" t="n">
        <v>0.997389894404524</v>
      </c>
      <c r="C506" s="22" t="n">
        <v>0.871454296578068</v>
      </c>
      <c r="D506" s="23" t="n">
        <f aca="false">BETAINV(C506,Test1_Hand!$B$21,Test1_Hand!$B$22,Test1_Hand!$B$9,Test1_Hand!$B$11)</f>
        <v>5.05828042766846</v>
      </c>
      <c r="E506" s="2" t="n">
        <f aca="false">IF(B506&lt;Test1_Hand!$B$12,1,0)</f>
        <v>0</v>
      </c>
      <c r="F506" s="23" t="n">
        <f aca="false">Test1_Hand!$B$4+E506*D506</f>
        <v>16</v>
      </c>
      <c r="G506" s="24" t="n">
        <f aca="false">Test1_Hand!$B$6*E506*D506+Test1_Hand!$B$7*MAX(0,F506-Test1_Hand!$B$5)</f>
        <v>0</v>
      </c>
      <c r="H506" s="2" t="n">
        <f aca="false">IF(B506&lt;Test1_Hand!$B$13,1,0)</f>
        <v>0</v>
      </c>
      <c r="I506" s="23" t="n">
        <f aca="false">Test1_Hand!$B$4+H506*D506</f>
        <v>16</v>
      </c>
      <c r="J506" s="24" t="n">
        <f aca="false">Test1_Hand!$B$6*H506*D506+Test1_Hand!$B$7*MAX(0,I506-Test1_Hand!$B$5)+Test1_Hand!$B$14</f>
        <v>6000</v>
      </c>
    </row>
    <row r="507" customFormat="false" ht="15" hidden="false" customHeight="false" outlineLevel="0" collapsed="false">
      <c r="A507" s="2" t="n">
        <v>495</v>
      </c>
      <c r="B507" s="22" t="n">
        <v>0.0878716862277903</v>
      </c>
      <c r="C507" s="22" t="n">
        <v>0.913218905677892</v>
      </c>
      <c r="D507" s="23" t="n">
        <f aca="false">BETAINV(C507,Test1_Hand!$B$21,Test1_Hand!$B$22,Test1_Hand!$B$9,Test1_Hand!$B$11)</f>
        <v>5.38531809305089</v>
      </c>
      <c r="E507" s="2" t="n">
        <f aca="false">IF(B507&lt;Test1_Hand!$B$12,1,0)</f>
        <v>1</v>
      </c>
      <c r="F507" s="23" t="n">
        <f aca="false">Test1_Hand!$B$4+E507*D507</f>
        <v>21.3853180930509</v>
      </c>
      <c r="G507" s="24" t="n">
        <f aca="false">Test1_Hand!$B$6*E507*D507+Test1_Hand!$B$7*MAX(0,F507-Test1_Hand!$B$5)</f>
        <v>50009.1352096615</v>
      </c>
      <c r="H507" s="2" t="n">
        <f aca="false">IF(B507&lt;Test1_Hand!$B$13,1,0)</f>
        <v>1</v>
      </c>
      <c r="I507" s="23" t="n">
        <f aca="false">Test1_Hand!$B$4+H507*D507</f>
        <v>21.3853180930509</v>
      </c>
      <c r="J507" s="24" t="n">
        <f aca="false">Test1_Hand!$B$6*H507*D507+Test1_Hand!$B$7*MAX(0,I507-Test1_Hand!$B$5)+Test1_Hand!$B$14</f>
        <v>56009.1352096615</v>
      </c>
    </row>
    <row r="508" customFormat="false" ht="15" hidden="false" customHeight="false" outlineLevel="0" collapsed="false">
      <c r="A508" s="2" t="n">
        <v>496</v>
      </c>
      <c r="B508" s="22" t="n">
        <v>0.766347964722869</v>
      </c>
      <c r="C508" s="22" t="n">
        <v>0.111411451303693</v>
      </c>
      <c r="D508" s="23" t="n">
        <f aca="false">BETAINV(C508,Test1_Hand!$B$21,Test1_Hand!$B$22,Test1_Hand!$B$9,Test1_Hand!$B$11)</f>
        <v>1.95831603271557</v>
      </c>
      <c r="E508" s="2" t="n">
        <f aca="false">IF(B508&lt;Test1_Hand!$B$12,1,0)</f>
        <v>0</v>
      </c>
      <c r="F508" s="23" t="n">
        <f aca="false">Test1_Hand!$B$4+E508*D508</f>
        <v>16</v>
      </c>
      <c r="G508" s="24" t="n">
        <f aca="false">Test1_Hand!$B$6*E508*D508+Test1_Hand!$B$7*MAX(0,F508-Test1_Hand!$B$5)</f>
        <v>0</v>
      </c>
      <c r="H508" s="2" t="n">
        <f aca="false">IF(B508&lt;Test1_Hand!$B$13,1,0)</f>
        <v>0</v>
      </c>
      <c r="I508" s="23" t="n">
        <f aca="false">Test1_Hand!$B$4+H508*D508</f>
        <v>16</v>
      </c>
      <c r="J508" s="24" t="n">
        <f aca="false">Test1_Hand!$B$6*H508*D508+Test1_Hand!$B$7*MAX(0,I508-Test1_Hand!$B$5)+Test1_Hand!$B$14</f>
        <v>6000</v>
      </c>
    </row>
    <row r="509" customFormat="false" ht="15" hidden="false" customHeight="false" outlineLevel="0" collapsed="false">
      <c r="A509" s="2" t="n">
        <v>497</v>
      </c>
      <c r="B509" s="22" t="n">
        <v>0.747500830178885</v>
      </c>
      <c r="C509" s="22" t="n">
        <v>0.920014158974846</v>
      </c>
      <c r="D509" s="23" t="n">
        <f aca="false">BETAINV(C509,Test1_Hand!$B$21,Test1_Hand!$B$22,Test1_Hand!$B$9,Test1_Hand!$B$11)</f>
        <v>5.44754870301315</v>
      </c>
      <c r="E509" s="2" t="n">
        <f aca="false">IF(B509&lt;Test1_Hand!$B$12,1,0)</f>
        <v>0</v>
      </c>
      <c r="F509" s="23" t="n">
        <f aca="false">Test1_Hand!$B$4+E509*D509</f>
        <v>16</v>
      </c>
      <c r="G509" s="24" t="n">
        <f aca="false">Test1_Hand!$B$6*E509*D509+Test1_Hand!$B$7*MAX(0,F509-Test1_Hand!$B$5)</f>
        <v>0</v>
      </c>
      <c r="H509" s="2" t="n">
        <f aca="false">IF(B509&lt;Test1_Hand!$B$13,1,0)</f>
        <v>0</v>
      </c>
      <c r="I509" s="23" t="n">
        <f aca="false">Test1_Hand!$B$4+H509*D509</f>
        <v>16</v>
      </c>
      <c r="J509" s="24" t="n">
        <f aca="false">Test1_Hand!$B$6*H509*D509+Test1_Hand!$B$7*MAX(0,I509-Test1_Hand!$B$5)+Test1_Hand!$B$14</f>
        <v>6000</v>
      </c>
    </row>
    <row r="510" customFormat="false" ht="15" hidden="false" customHeight="false" outlineLevel="0" collapsed="false">
      <c r="A510" s="2" t="n">
        <v>498</v>
      </c>
      <c r="B510" s="22" t="n">
        <v>0.300189062070811</v>
      </c>
      <c r="C510" s="22" t="n">
        <v>0.555614786022124</v>
      </c>
      <c r="D510" s="23" t="n">
        <f aca="false">BETAINV(C510,Test1_Hand!$B$21,Test1_Hand!$B$22,Test1_Hand!$B$9,Test1_Hand!$B$11)</f>
        <v>3.58200379050884</v>
      </c>
      <c r="E510" s="2" t="n">
        <f aca="false">IF(B510&lt;Test1_Hand!$B$12,1,0)</f>
        <v>1</v>
      </c>
      <c r="F510" s="23" t="n">
        <f aca="false">Test1_Hand!$B$4+E510*D510</f>
        <v>19.5820037905088</v>
      </c>
      <c r="G510" s="24" t="n">
        <f aca="false">Test1_Hand!$B$6*E510*D510+Test1_Hand!$B$7*MAX(0,F510-Test1_Hand!$B$5)</f>
        <v>28656.0303240707</v>
      </c>
      <c r="H510" s="2" t="n">
        <f aca="false">IF(B510&lt;Test1_Hand!$B$13,1,0)</f>
        <v>0</v>
      </c>
      <c r="I510" s="23" t="n">
        <f aca="false">Test1_Hand!$B$4+H510*D510</f>
        <v>16</v>
      </c>
      <c r="J510" s="24" t="n">
        <f aca="false">Test1_Hand!$B$6*H510*D510+Test1_Hand!$B$7*MAX(0,I510-Test1_Hand!$B$5)+Test1_Hand!$B$14</f>
        <v>6000</v>
      </c>
    </row>
    <row r="511" customFormat="false" ht="15" hidden="false" customHeight="false" outlineLevel="0" collapsed="false">
      <c r="A511" s="2" t="n">
        <v>499</v>
      </c>
      <c r="B511" s="22" t="n">
        <v>0.152724298814932</v>
      </c>
      <c r="C511" s="22" t="n">
        <v>0.368678257555908</v>
      </c>
      <c r="D511" s="23" t="n">
        <f aca="false">BETAINV(C511,Test1_Hand!$B$21,Test1_Hand!$B$22,Test1_Hand!$B$9,Test1_Hand!$B$11)</f>
        <v>2.92817177693233</v>
      </c>
      <c r="E511" s="2" t="n">
        <f aca="false">IF(B511&lt;Test1_Hand!$B$12,1,0)</f>
        <v>1</v>
      </c>
      <c r="F511" s="23" t="n">
        <f aca="false">Test1_Hand!$B$4+E511*D511</f>
        <v>18.9281717769323</v>
      </c>
      <c r="G511" s="24" t="n">
        <f aca="false">Test1_Hand!$B$6*E511*D511+Test1_Hand!$B$7*MAX(0,F511-Test1_Hand!$B$5)</f>
        <v>23425.3742154587</v>
      </c>
      <c r="H511" s="2" t="n">
        <f aca="false">IF(B511&lt;Test1_Hand!$B$13,1,0)</f>
        <v>1</v>
      </c>
      <c r="I511" s="23" t="n">
        <f aca="false">Test1_Hand!$B$4+H511*D511</f>
        <v>18.9281717769323</v>
      </c>
      <c r="J511" s="24" t="n">
        <f aca="false">Test1_Hand!$B$6*H511*D511+Test1_Hand!$B$7*MAX(0,I511-Test1_Hand!$B$5)+Test1_Hand!$B$14</f>
        <v>29425.3742154587</v>
      </c>
    </row>
    <row r="512" customFormat="false" ht="15" hidden="false" customHeight="false" outlineLevel="0" collapsed="false">
      <c r="A512" s="2" t="n">
        <v>500</v>
      </c>
      <c r="B512" s="22" t="n">
        <v>0.492876705035627</v>
      </c>
      <c r="C512" s="22" t="n">
        <v>0.43232335240514</v>
      </c>
      <c r="D512" s="23" t="n">
        <f aca="false">BETAINV(C512,Test1_Hand!$B$21,Test1_Hand!$B$22,Test1_Hand!$B$9,Test1_Hand!$B$11)</f>
        <v>3.14691954688067</v>
      </c>
      <c r="E512" s="2" t="n">
        <f aca="false">IF(B512&lt;Test1_Hand!$B$12,1,0)</f>
        <v>1</v>
      </c>
      <c r="F512" s="23" t="n">
        <f aca="false">Test1_Hand!$B$4+E512*D512</f>
        <v>19.1469195468807</v>
      </c>
      <c r="G512" s="24" t="n">
        <f aca="false">Test1_Hand!$B$6*E512*D512+Test1_Hand!$B$7*MAX(0,F512-Test1_Hand!$B$5)</f>
        <v>25175.3563750454</v>
      </c>
      <c r="H512" s="2" t="n">
        <f aca="false">IF(B512&lt;Test1_Hand!$B$13,1,0)</f>
        <v>0</v>
      </c>
      <c r="I512" s="23" t="n">
        <f aca="false">Test1_Hand!$B$4+H512*D512</f>
        <v>16</v>
      </c>
      <c r="J512" s="24" t="n">
        <f aca="false">Test1_Hand!$B$6*H512*D512+Test1_Hand!$B$7*MAX(0,I512-Test1_Hand!$B$5)+Test1_Hand!$B$14</f>
        <v>6000</v>
      </c>
    </row>
    <row r="513" customFormat="false" ht="15" hidden="false" customHeight="false" outlineLevel="0" collapsed="false">
      <c r="A513" s="2" t="n">
        <v>501</v>
      </c>
      <c r="B513" s="22" t="n">
        <v>0.189004570637877</v>
      </c>
      <c r="C513" s="22" t="n">
        <v>0.982054229910673</v>
      </c>
      <c r="D513" s="23" t="n">
        <f aca="false">BETAINV(C513,Test1_Hand!$B$21,Test1_Hand!$B$22,Test1_Hand!$B$9,Test1_Hand!$B$11)</f>
        <v>6.33392385916728</v>
      </c>
      <c r="E513" s="2" t="n">
        <f aca="false">IF(B513&lt;Test1_Hand!$B$12,1,0)</f>
        <v>1</v>
      </c>
      <c r="F513" s="23" t="n">
        <f aca="false">Test1_Hand!$B$4+E513*D513</f>
        <v>22.3339238591673</v>
      </c>
      <c r="G513" s="24" t="n">
        <f aca="false">Test1_Hand!$B$6*E513*D513+Test1_Hand!$B$7*MAX(0,F513-Test1_Hand!$B$5)</f>
        <v>62341.0101691747</v>
      </c>
      <c r="H513" s="2" t="n">
        <f aca="false">IF(B513&lt;Test1_Hand!$B$13,1,0)</f>
        <v>1</v>
      </c>
      <c r="I513" s="23" t="n">
        <f aca="false">Test1_Hand!$B$4+H513*D513</f>
        <v>22.3339238591673</v>
      </c>
      <c r="J513" s="24" t="n">
        <f aca="false">Test1_Hand!$B$6*H513*D513+Test1_Hand!$B$7*MAX(0,I513-Test1_Hand!$B$5)+Test1_Hand!$B$14</f>
        <v>68341.0101691747</v>
      </c>
    </row>
    <row r="514" customFormat="false" ht="15" hidden="false" customHeight="false" outlineLevel="0" collapsed="false">
      <c r="A514" s="2" t="n">
        <v>502</v>
      </c>
      <c r="B514" s="22" t="n">
        <v>0.0185531619921761</v>
      </c>
      <c r="C514" s="22" t="n">
        <v>0.176410977529722</v>
      </c>
      <c r="D514" s="23" t="n">
        <f aca="false">BETAINV(C514,Test1_Hand!$B$21,Test1_Hand!$B$22,Test1_Hand!$B$9,Test1_Hand!$B$11)</f>
        <v>2.23488268836961</v>
      </c>
      <c r="E514" s="2" t="n">
        <f aca="false">IF(B514&lt;Test1_Hand!$B$12,1,0)</f>
        <v>1</v>
      </c>
      <c r="F514" s="23" t="n">
        <f aca="false">Test1_Hand!$B$4+E514*D514</f>
        <v>18.2348826883696</v>
      </c>
      <c r="G514" s="24" t="n">
        <f aca="false">Test1_Hand!$B$6*E514*D514+Test1_Hand!$B$7*MAX(0,F514-Test1_Hand!$B$5)</f>
        <v>17879.0615069569</v>
      </c>
      <c r="H514" s="2" t="n">
        <f aca="false">IF(B514&lt;Test1_Hand!$B$13,1,0)</f>
        <v>1</v>
      </c>
      <c r="I514" s="23" t="n">
        <f aca="false">Test1_Hand!$B$4+H514*D514</f>
        <v>18.2348826883696</v>
      </c>
      <c r="J514" s="24" t="n">
        <f aca="false">Test1_Hand!$B$6*H514*D514+Test1_Hand!$B$7*MAX(0,I514-Test1_Hand!$B$5)+Test1_Hand!$B$14</f>
        <v>23879.0615069569</v>
      </c>
    </row>
    <row r="515" customFormat="false" ht="15" hidden="false" customHeight="false" outlineLevel="0" collapsed="false">
      <c r="A515" s="2" t="n">
        <v>503</v>
      </c>
      <c r="B515" s="22" t="n">
        <v>0.29904137603075</v>
      </c>
      <c r="C515" s="22" t="n">
        <v>0.248597524729743</v>
      </c>
      <c r="D515" s="23" t="n">
        <f aca="false">BETAINV(C515,Test1_Hand!$B$21,Test1_Hand!$B$22,Test1_Hand!$B$9,Test1_Hand!$B$11)</f>
        <v>2.50736645678387</v>
      </c>
      <c r="E515" s="2" t="n">
        <f aca="false">IF(B515&lt;Test1_Hand!$B$12,1,0)</f>
        <v>1</v>
      </c>
      <c r="F515" s="23" t="n">
        <f aca="false">Test1_Hand!$B$4+E515*D515</f>
        <v>18.5073664567839</v>
      </c>
      <c r="G515" s="24" t="n">
        <f aca="false">Test1_Hand!$B$6*E515*D515+Test1_Hand!$B$7*MAX(0,F515-Test1_Hand!$B$5)</f>
        <v>20058.9316542709</v>
      </c>
      <c r="H515" s="2" t="n">
        <f aca="false">IF(B515&lt;Test1_Hand!$B$13,1,0)</f>
        <v>0</v>
      </c>
      <c r="I515" s="23" t="n">
        <f aca="false">Test1_Hand!$B$4+H515*D515</f>
        <v>16</v>
      </c>
      <c r="J515" s="24" t="n">
        <f aca="false">Test1_Hand!$B$6*H515*D515+Test1_Hand!$B$7*MAX(0,I515-Test1_Hand!$B$5)+Test1_Hand!$B$14</f>
        <v>6000</v>
      </c>
    </row>
    <row r="516" customFormat="false" ht="15" hidden="false" customHeight="false" outlineLevel="0" collapsed="false">
      <c r="A516" s="2" t="n">
        <v>504</v>
      </c>
      <c r="B516" s="22" t="n">
        <v>0.0602514079157464</v>
      </c>
      <c r="C516" s="22" t="n">
        <v>0.4027831821029</v>
      </c>
      <c r="D516" s="23" t="n">
        <f aca="false">BETAINV(C516,Test1_Hand!$B$21,Test1_Hand!$B$22,Test1_Hand!$B$9,Test1_Hand!$B$11)</f>
        <v>3.04529713218199</v>
      </c>
      <c r="E516" s="2" t="n">
        <f aca="false">IF(B516&lt;Test1_Hand!$B$12,1,0)</f>
        <v>1</v>
      </c>
      <c r="F516" s="23" t="n">
        <f aca="false">Test1_Hand!$B$4+E516*D516</f>
        <v>19.045297132182</v>
      </c>
      <c r="G516" s="24" t="n">
        <f aca="false">Test1_Hand!$B$6*E516*D516+Test1_Hand!$B$7*MAX(0,F516-Test1_Hand!$B$5)</f>
        <v>24362.377057456</v>
      </c>
      <c r="H516" s="2" t="n">
        <f aca="false">IF(B516&lt;Test1_Hand!$B$13,1,0)</f>
        <v>1</v>
      </c>
      <c r="I516" s="23" t="n">
        <f aca="false">Test1_Hand!$B$4+H516*D516</f>
        <v>19.045297132182</v>
      </c>
      <c r="J516" s="24" t="n">
        <f aca="false">Test1_Hand!$B$6*H516*D516+Test1_Hand!$B$7*MAX(0,I516-Test1_Hand!$B$5)+Test1_Hand!$B$14</f>
        <v>30362.377057456</v>
      </c>
    </row>
    <row r="517" customFormat="false" ht="15" hidden="false" customHeight="false" outlineLevel="0" collapsed="false">
      <c r="A517" s="2" t="n">
        <v>505</v>
      </c>
      <c r="B517" s="22" t="n">
        <v>0.239711359490497</v>
      </c>
      <c r="C517" s="22" t="n">
        <v>0.332865719952789</v>
      </c>
      <c r="D517" s="23" t="n">
        <f aca="false">BETAINV(C517,Test1_Hand!$B$21,Test1_Hand!$B$22,Test1_Hand!$B$9,Test1_Hand!$B$11)</f>
        <v>2.80472881763261</v>
      </c>
      <c r="E517" s="2" t="n">
        <f aca="false">IF(B517&lt;Test1_Hand!$B$12,1,0)</f>
        <v>1</v>
      </c>
      <c r="F517" s="23" t="n">
        <f aca="false">Test1_Hand!$B$4+E517*D517</f>
        <v>18.8047288176326</v>
      </c>
      <c r="G517" s="24" t="n">
        <f aca="false">Test1_Hand!$B$6*E517*D517+Test1_Hand!$B$7*MAX(0,F517-Test1_Hand!$B$5)</f>
        <v>22437.8305410609</v>
      </c>
      <c r="H517" s="2" t="n">
        <f aca="false">IF(B517&lt;Test1_Hand!$B$13,1,0)</f>
        <v>0</v>
      </c>
      <c r="I517" s="23" t="n">
        <f aca="false">Test1_Hand!$B$4+H517*D517</f>
        <v>16</v>
      </c>
      <c r="J517" s="24" t="n">
        <f aca="false">Test1_Hand!$B$6*H517*D517+Test1_Hand!$B$7*MAX(0,I517-Test1_Hand!$B$5)+Test1_Hand!$B$14</f>
        <v>6000</v>
      </c>
    </row>
    <row r="518" customFormat="false" ht="15" hidden="false" customHeight="false" outlineLevel="0" collapsed="false">
      <c r="A518" s="2" t="n">
        <v>506</v>
      </c>
      <c r="B518" s="22" t="n">
        <v>0.107507051337943</v>
      </c>
      <c r="C518" s="22" t="n">
        <v>0.864730902909481</v>
      </c>
      <c r="D518" s="23" t="n">
        <f aca="false">BETAINV(C518,Test1_Hand!$B$21,Test1_Hand!$B$22,Test1_Hand!$B$9,Test1_Hand!$B$11)</f>
        <v>5.01220881103096</v>
      </c>
      <c r="E518" s="2" t="n">
        <f aca="false">IF(B518&lt;Test1_Hand!$B$12,1,0)</f>
        <v>1</v>
      </c>
      <c r="F518" s="23" t="n">
        <f aca="false">Test1_Hand!$B$4+E518*D518</f>
        <v>21.012208811031</v>
      </c>
      <c r="G518" s="24" t="n">
        <f aca="false">Test1_Hand!$B$6*E518*D518+Test1_Hand!$B$7*MAX(0,F518-Test1_Hand!$B$5)</f>
        <v>45158.7145434025</v>
      </c>
      <c r="H518" s="2" t="n">
        <f aca="false">IF(B518&lt;Test1_Hand!$B$13,1,0)</f>
        <v>1</v>
      </c>
      <c r="I518" s="23" t="n">
        <f aca="false">Test1_Hand!$B$4+H518*D518</f>
        <v>21.012208811031</v>
      </c>
      <c r="J518" s="24" t="n">
        <f aca="false">Test1_Hand!$B$6*H518*D518+Test1_Hand!$B$7*MAX(0,I518-Test1_Hand!$B$5)+Test1_Hand!$B$14</f>
        <v>51158.7145434025</v>
      </c>
    </row>
    <row r="519" customFormat="false" ht="15" hidden="false" customHeight="false" outlineLevel="0" collapsed="false">
      <c r="A519" s="2" t="n">
        <v>507</v>
      </c>
      <c r="B519" s="22" t="n">
        <v>0.786041833208029</v>
      </c>
      <c r="C519" s="22" t="n">
        <v>0.0147720379821689</v>
      </c>
      <c r="D519" s="23" t="n">
        <f aca="false">BETAINV(C519,Test1_Hand!$B$21,Test1_Hand!$B$22,Test1_Hand!$B$9,Test1_Hand!$B$11)</f>
        <v>1.34318711073892</v>
      </c>
      <c r="E519" s="2" t="n">
        <f aca="false">IF(B519&lt;Test1_Hand!$B$12,1,0)</f>
        <v>0</v>
      </c>
      <c r="F519" s="23" t="n">
        <f aca="false">Test1_Hand!$B$4+E519*D519</f>
        <v>16</v>
      </c>
      <c r="G519" s="24" t="n">
        <f aca="false">Test1_Hand!$B$6*E519*D519+Test1_Hand!$B$7*MAX(0,F519-Test1_Hand!$B$5)</f>
        <v>0</v>
      </c>
      <c r="H519" s="2" t="n">
        <f aca="false">IF(B519&lt;Test1_Hand!$B$13,1,0)</f>
        <v>0</v>
      </c>
      <c r="I519" s="23" t="n">
        <f aca="false">Test1_Hand!$B$4+H519*D519</f>
        <v>16</v>
      </c>
      <c r="J519" s="24" t="n">
        <f aca="false">Test1_Hand!$B$6*H519*D519+Test1_Hand!$B$7*MAX(0,I519-Test1_Hand!$B$5)+Test1_Hand!$B$14</f>
        <v>6000</v>
      </c>
    </row>
    <row r="520" customFormat="false" ht="15" hidden="false" customHeight="false" outlineLevel="0" collapsed="false">
      <c r="A520" s="2" t="n">
        <v>508</v>
      </c>
      <c r="B520" s="22" t="n">
        <v>0.0317459111059937</v>
      </c>
      <c r="C520" s="22" t="n">
        <v>0.666200285711435</v>
      </c>
      <c r="D520" s="23" t="n">
        <f aca="false">BETAINV(C520,Test1_Hand!$B$21,Test1_Hand!$B$22,Test1_Hand!$B$9,Test1_Hand!$B$11)</f>
        <v>4.00751454079585</v>
      </c>
      <c r="E520" s="2" t="n">
        <f aca="false">IF(B520&lt;Test1_Hand!$B$12,1,0)</f>
        <v>1</v>
      </c>
      <c r="F520" s="23" t="n">
        <f aca="false">Test1_Hand!$B$4+E520*D520</f>
        <v>20.0075145407959</v>
      </c>
      <c r="G520" s="24" t="n">
        <f aca="false">Test1_Hand!$B$6*E520*D520+Test1_Hand!$B$7*MAX(0,F520-Test1_Hand!$B$5)</f>
        <v>32097.689030346</v>
      </c>
      <c r="H520" s="2" t="n">
        <f aca="false">IF(B520&lt;Test1_Hand!$B$13,1,0)</f>
        <v>1</v>
      </c>
      <c r="I520" s="23" t="n">
        <f aca="false">Test1_Hand!$B$4+H520*D520</f>
        <v>20.0075145407959</v>
      </c>
      <c r="J520" s="24" t="n">
        <f aca="false">Test1_Hand!$B$6*H520*D520+Test1_Hand!$B$7*MAX(0,I520-Test1_Hand!$B$5)+Test1_Hand!$B$14</f>
        <v>38097.689030346</v>
      </c>
    </row>
    <row r="521" customFormat="false" ht="15" hidden="false" customHeight="false" outlineLevel="0" collapsed="false">
      <c r="A521" s="2" t="n">
        <v>509</v>
      </c>
      <c r="B521" s="22" t="n">
        <v>0.270479078326998</v>
      </c>
      <c r="C521" s="22" t="n">
        <v>0.355476674362865</v>
      </c>
      <c r="D521" s="23" t="n">
        <f aca="false">BETAINV(C521,Test1_Hand!$B$21,Test1_Hand!$B$22,Test1_Hand!$B$9,Test1_Hand!$B$11)</f>
        <v>2.88276174667873</v>
      </c>
      <c r="E521" s="2" t="n">
        <f aca="false">IF(B521&lt;Test1_Hand!$B$12,1,0)</f>
        <v>1</v>
      </c>
      <c r="F521" s="23" t="n">
        <f aca="false">Test1_Hand!$B$4+E521*D521</f>
        <v>18.8827617466787</v>
      </c>
      <c r="G521" s="24" t="n">
        <f aca="false">Test1_Hand!$B$6*E521*D521+Test1_Hand!$B$7*MAX(0,F521-Test1_Hand!$B$5)</f>
        <v>23062.0939734299</v>
      </c>
      <c r="H521" s="2" t="n">
        <f aca="false">IF(B521&lt;Test1_Hand!$B$13,1,0)</f>
        <v>0</v>
      </c>
      <c r="I521" s="23" t="n">
        <f aca="false">Test1_Hand!$B$4+H521*D521</f>
        <v>16</v>
      </c>
      <c r="J521" s="24" t="n">
        <f aca="false">Test1_Hand!$B$6*H521*D521+Test1_Hand!$B$7*MAX(0,I521-Test1_Hand!$B$5)+Test1_Hand!$B$14</f>
        <v>6000</v>
      </c>
    </row>
    <row r="522" customFormat="false" ht="15" hidden="false" customHeight="false" outlineLevel="0" collapsed="false">
      <c r="A522" s="2" t="n">
        <v>510</v>
      </c>
      <c r="B522" s="22" t="n">
        <v>0.485135147458988</v>
      </c>
      <c r="C522" s="22" t="n">
        <v>0.945105496332277</v>
      </c>
      <c r="D522" s="23" t="n">
        <f aca="false">BETAINV(C522,Test1_Hand!$B$21,Test1_Hand!$B$22,Test1_Hand!$B$9,Test1_Hand!$B$11)</f>
        <v>5.71310854266659</v>
      </c>
      <c r="E522" s="2" t="n">
        <f aca="false">IF(B522&lt;Test1_Hand!$B$12,1,0)</f>
        <v>1</v>
      </c>
      <c r="F522" s="23" t="n">
        <f aca="false">Test1_Hand!$B$4+E522*D522</f>
        <v>21.7131085426666</v>
      </c>
      <c r="G522" s="24" t="n">
        <f aca="false">Test1_Hand!$B$6*E522*D522+Test1_Hand!$B$7*MAX(0,F522-Test1_Hand!$B$5)</f>
        <v>54270.4110546657</v>
      </c>
      <c r="H522" s="2" t="n">
        <f aca="false">IF(B522&lt;Test1_Hand!$B$13,1,0)</f>
        <v>0</v>
      </c>
      <c r="I522" s="23" t="n">
        <f aca="false">Test1_Hand!$B$4+H522*D522</f>
        <v>16</v>
      </c>
      <c r="J522" s="24" t="n">
        <f aca="false">Test1_Hand!$B$6*H522*D522+Test1_Hand!$B$7*MAX(0,I522-Test1_Hand!$B$5)+Test1_Hand!$B$14</f>
        <v>6000</v>
      </c>
    </row>
    <row r="523" customFormat="false" ht="15" hidden="false" customHeight="false" outlineLevel="0" collapsed="false">
      <c r="A523" s="2" t="n">
        <v>511</v>
      </c>
      <c r="B523" s="22" t="n">
        <v>0.120312999986977</v>
      </c>
      <c r="C523" s="22" t="n">
        <v>0.359233523561588</v>
      </c>
      <c r="D523" s="23" t="n">
        <f aca="false">BETAINV(C523,Test1_Hand!$B$21,Test1_Hand!$B$22,Test1_Hand!$B$9,Test1_Hand!$B$11)</f>
        <v>2.8956928081524</v>
      </c>
      <c r="E523" s="2" t="n">
        <f aca="false">IF(B523&lt;Test1_Hand!$B$12,1,0)</f>
        <v>1</v>
      </c>
      <c r="F523" s="23" t="n">
        <f aca="false">Test1_Hand!$B$4+E523*D523</f>
        <v>18.8956928081524</v>
      </c>
      <c r="G523" s="24" t="n">
        <f aca="false">Test1_Hand!$B$6*E523*D523+Test1_Hand!$B$7*MAX(0,F523-Test1_Hand!$B$5)</f>
        <v>23165.5424652192</v>
      </c>
      <c r="H523" s="2" t="n">
        <f aca="false">IF(B523&lt;Test1_Hand!$B$13,1,0)</f>
        <v>1</v>
      </c>
      <c r="I523" s="23" t="n">
        <f aca="false">Test1_Hand!$B$4+H523*D523</f>
        <v>18.8956928081524</v>
      </c>
      <c r="J523" s="24" t="n">
        <f aca="false">Test1_Hand!$B$6*H523*D523+Test1_Hand!$B$7*MAX(0,I523-Test1_Hand!$B$5)+Test1_Hand!$B$14</f>
        <v>29165.5424652192</v>
      </c>
    </row>
    <row r="524" customFormat="false" ht="15" hidden="false" customHeight="false" outlineLevel="0" collapsed="false">
      <c r="A524" s="2" t="n">
        <v>512</v>
      </c>
      <c r="B524" s="22" t="n">
        <v>0.762480609552834</v>
      </c>
      <c r="C524" s="22" t="n">
        <v>0.588980450595158</v>
      </c>
      <c r="D524" s="23" t="n">
        <f aca="false">BETAINV(C524,Test1_Hand!$B$21,Test1_Hand!$B$22,Test1_Hand!$B$9,Test1_Hand!$B$11)</f>
        <v>3.70548699845583</v>
      </c>
      <c r="E524" s="2" t="n">
        <f aca="false">IF(B524&lt;Test1_Hand!$B$12,1,0)</f>
        <v>0</v>
      </c>
      <c r="F524" s="23" t="n">
        <f aca="false">Test1_Hand!$B$4+E524*D524</f>
        <v>16</v>
      </c>
      <c r="G524" s="24" t="n">
        <f aca="false">Test1_Hand!$B$6*E524*D524+Test1_Hand!$B$7*MAX(0,F524-Test1_Hand!$B$5)</f>
        <v>0</v>
      </c>
      <c r="H524" s="2" t="n">
        <f aca="false">IF(B524&lt;Test1_Hand!$B$13,1,0)</f>
        <v>0</v>
      </c>
      <c r="I524" s="23" t="n">
        <f aca="false">Test1_Hand!$B$4+H524*D524</f>
        <v>16</v>
      </c>
      <c r="J524" s="24" t="n">
        <f aca="false">Test1_Hand!$B$6*H524*D524+Test1_Hand!$B$7*MAX(0,I524-Test1_Hand!$B$5)+Test1_Hand!$B$14</f>
        <v>6000</v>
      </c>
    </row>
    <row r="525" customFormat="false" ht="15" hidden="false" customHeight="false" outlineLevel="0" collapsed="false">
      <c r="A525" s="2" t="n">
        <v>513</v>
      </c>
      <c r="B525" s="22" t="n">
        <v>0.365844228521327</v>
      </c>
      <c r="C525" s="22" t="n">
        <v>0.510711771183648</v>
      </c>
      <c r="D525" s="23" t="n">
        <f aca="false">BETAINV(C525,Test1_Hand!$B$21,Test1_Hand!$B$22,Test1_Hand!$B$9,Test1_Hand!$B$11)</f>
        <v>3.42049001061843</v>
      </c>
      <c r="E525" s="2" t="n">
        <f aca="false">IF(B525&lt;Test1_Hand!$B$12,1,0)</f>
        <v>1</v>
      </c>
      <c r="F525" s="23" t="n">
        <f aca="false">Test1_Hand!$B$4+E525*D525</f>
        <v>19.4204900106184</v>
      </c>
      <c r="G525" s="24" t="n">
        <f aca="false">Test1_Hand!$B$6*E525*D525+Test1_Hand!$B$7*MAX(0,F525-Test1_Hand!$B$5)</f>
        <v>27363.9200849474</v>
      </c>
      <c r="H525" s="2" t="n">
        <f aca="false">IF(B525&lt;Test1_Hand!$B$13,1,0)</f>
        <v>0</v>
      </c>
      <c r="I525" s="23" t="n">
        <f aca="false">Test1_Hand!$B$4+H525*D525</f>
        <v>16</v>
      </c>
      <c r="J525" s="24" t="n">
        <f aca="false">Test1_Hand!$B$6*H525*D525+Test1_Hand!$B$7*MAX(0,I525-Test1_Hand!$B$5)+Test1_Hand!$B$14</f>
        <v>6000</v>
      </c>
    </row>
    <row r="526" customFormat="false" ht="15" hidden="false" customHeight="false" outlineLevel="0" collapsed="false">
      <c r="A526" s="2" t="n">
        <v>514</v>
      </c>
      <c r="B526" s="22" t="n">
        <v>0.0354721160148298</v>
      </c>
      <c r="C526" s="22" t="n">
        <v>0.348728548142086</v>
      </c>
      <c r="D526" s="23" t="n">
        <f aca="false">BETAINV(C526,Test1_Hand!$B$21,Test1_Hand!$B$22,Test1_Hand!$B$9,Test1_Hand!$B$11)</f>
        <v>2.85951363291205</v>
      </c>
      <c r="E526" s="2" t="n">
        <f aca="false">IF(B526&lt;Test1_Hand!$B$12,1,0)</f>
        <v>1</v>
      </c>
      <c r="F526" s="23" t="n">
        <f aca="false">Test1_Hand!$B$4+E526*D526</f>
        <v>18.8595136329121</v>
      </c>
      <c r="G526" s="24" t="n">
        <f aca="false">Test1_Hand!$B$6*E526*D526+Test1_Hand!$B$7*MAX(0,F526-Test1_Hand!$B$5)</f>
        <v>22876.1090632964</v>
      </c>
      <c r="H526" s="2" t="n">
        <f aca="false">IF(B526&lt;Test1_Hand!$B$13,1,0)</f>
        <v>1</v>
      </c>
      <c r="I526" s="23" t="n">
        <f aca="false">Test1_Hand!$B$4+H526*D526</f>
        <v>18.8595136329121</v>
      </c>
      <c r="J526" s="24" t="n">
        <f aca="false">Test1_Hand!$B$6*H526*D526+Test1_Hand!$B$7*MAX(0,I526-Test1_Hand!$B$5)+Test1_Hand!$B$14</f>
        <v>28876.1090632964</v>
      </c>
    </row>
    <row r="527" customFormat="false" ht="15" hidden="false" customHeight="false" outlineLevel="0" collapsed="false">
      <c r="A527" s="2" t="n">
        <v>515</v>
      </c>
      <c r="B527" s="22" t="n">
        <v>0.693940008567559</v>
      </c>
      <c r="C527" s="22" t="n">
        <v>0.0172556261267084</v>
      </c>
      <c r="D527" s="23" t="n">
        <f aca="false">BETAINV(C527,Test1_Hand!$B$21,Test1_Hand!$B$22,Test1_Hand!$B$9,Test1_Hand!$B$11)</f>
        <v>1.37034001549627</v>
      </c>
      <c r="E527" s="2" t="n">
        <f aca="false">IF(B527&lt;Test1_Hand!$B$12,1,0)</f>
        <v>0</v>
      </c>
      <c r="F527" s="23" t="n">
        <f aca="false">Test1_Hand!$B$4+E527*D527</f>
        <v>16</v>
      </c>
      <c r="G527" s="24" t="n">
        <f aca="false">Test1_Hand!$B$6*E527*D527+Test1_Hand!$B$7*MAX(0,F527-Test1_Hand!$B$5)</f>
        <v>0</v>
      </c>
      <c r="H527" s="2" t="n">
        <f aca="false">IF(B527&lt;Test1_Hand!$B$13,1,0)</f>
        <v>0</v>
      </c>
      <c r="I527" s="23" t="n">
        <f aca="false">Test1_Hand!$B$4+H527*D527</f>
        <v>16</v>
      </c>
      <c r="J527" s="24" t="n">
        <f aca="false">Test1_Hand!$B$6*H527*D527+Test1_Hand!$B$7*MAX(0,I527-Test1_Hand!$B$5)+Test1_Hand!$B$14</f>
        <v>6000</v>
      </c>
    </row>
    <row r="528" customFormat="false" ht="15" hidden="false" customHeight="false" outlineLevel="0" collapsed="false">
      <c r="A528" s="2" t="n">
        <v>516</v>
      </c>
      <c r="B528" s="22" t="n">
        <v>0.487409925543198</v>
      </c>
      <c r="C528" s="22" t="n">
        <v>0.173816171626174</v>
      </c>
      <c r="D528" s="23" t="n">
        <f aca="false">BETAINV(C528,Test1_Hand!$B$21,Test1_Hand!$B$22,Test1_Hand!$B$9,Test1_Hand!$B$11)</f>
        <v>2.22456859736231</v>
      </c>
      <c r="E528" s="2" t="n">
        <f aca="false">IF(B528&lt;Test1_Hand!$B$12,1,0)</f>
        <v>1</v>
      </c>
      <c r="F528" s="23" t="n">
        <f aca="false">Test1_Hand!$B$4+E528*D528</f>
        <v>18.2245685973623</v>
      </c>
      <c r="G528" s="24" t="n">
        <f aca="false">Test1_Hand!$B$6*E528*D528+Test1_Hand!$B$7*MAX(0,F528-Test1_Hand!$B$5)</f>
        <v>17796.5487788985</v>
      </c>
      <c r="H528" s="2" t="n">
        <f aca="false">IF(B528&lt;Test1_Hand!$B$13,1,0)</f>
        <v>0</v>
      </c>
      <c r="I528" s="23" t="n">
        <f aca="false">Test1_Hand!$B$4+H528*D528</f>
        <v>16</v>
      </c>
      <c r="J528" s="24" t="n">
        <f aca="false">Test1_Hand!$B$6*H528*D528+Test1_Hand!$B$7*MAX(0,I528-Test1_Hand!$B$5)+Test1_Hand!$B$14</f>
        <v>6000</v>
      </c>
    </row>
    <row r="529" customFormat="false" ht="15" hidden="false" customHeight="false" outlineLevel="0" collapsed="false">
      <c r="A529" s="2" t="n">
        <v>517</v>
      </c>
      <c r="B529" s="22" t="n">
        <v>0.188819365371506</v>
      </c>
      <c r="C529" s="22" t="n">
        <v>0.301499199197905</v>
      </c>
      <c r="D529" s="23" t="n">
        <f aca="false">BETAINV(C529,Test1_Hand!$B$21,Test1_Hand!$B$22,Test1_Hand!$B$9,Test1_Hand!$B$11)</f>
        <v>2.69558143716499</v>
      </c>
      <c r="E529" s="2" t="n">
        <f aca="false">IF(B529&lt;Test1_Hand!$B$12,1,0)</f>
        <v>1</v>
      </c>
      <c r="F529" s="23" t="n">
        <f aca="false">Test1_Hand!$B$4+E529*D529</f>
        <v>18.695581437165</v>
      </c>
      <c r="G529" s="24" t="n">
        <f aca="false">Test1_Hand!$B$6*E529*D529+Test1_Hand!$B$7*MAX(0,F529-Test1_Hand!$B$5)</f>
        <v>21564.6514973199</v>
      </c>
      <c r="H529" s="2" t="n">
        <f aca="false">IF(B529&lt;Test1_Hand!$B$13,1,0)</f>
        <v>1</v>
      </c>
      <c r="I529" s="23" t="n">
        <f aca="false">Test1_Hand!$B$4+H529*D529</f>
        <v>18.695581437165</v>
      </c>
      <c r="J529" s="24" t="n">
        <f aca="false">Test1_Hand!$B$6*H529*D529+Test1_Hand!$B$7*MAX(0,I529-Test1_Hand!$B$5)+Test1_Hand!$B$14</f>
        <v>27564.6514973199</v>
      </c>
    </row>
    <row r="530" customFormat="false" ht="15" hidden="false" customHeight="false" outlineLevel="0" collapsed="false">
      <c r="A530" s="2" t="n">
        <v>518</v>
      </c>
      <c r="B530" s="22" t="n">
        <v>0.215157594886482</v>
      </c>
      <c r="C530" s="22" t="n">
        <v>0.112826635882656</v>
      </c>
      <c r="D530" s="23" t="n">
        <f aca="false">BETAINV(C530,Test1_Hand!$B$21,Test1_Hand!$B$22,Test1_Hand!$B$9,Test1_Hand!$B$11)</f>
        <v>1.96486023590974</v>
      </c>
      <c r="E530" s="2" t="n">
        <f aca="false">IF(B530&lt;Test1_Hand!$B$12,1,0)</f>
        <v>1</v>
      </c>
      <c r="F530" s="23" t="n">
        <f aca="false">Test1_Hand!$B$4+E530*D530</f>
        <v>17.9648602359097</v>
      </c>
      <c r="G530" s="24" t="n">
        <f aca="false">Test1_Hand!$B$6*E530*D530+Test1_Hand!$B$7*MAX(0,F530-Test1_Hand!$B$5)</f>
        <v>15718.8818872779</v>
      </c>
      <c r="H530" s="2" t="n">
        <f aca="false">IF(B530&lt;Test1_Hand!$B$13,1,0)</f>
        <v>0</v>
      </c>
      <c r="I530" s="23" t="n">
        <f aca="false">Test1_Hand!$B$4+H530*D530</f>
        <v>16</v>
      </c>
      <c r="J530" s="24" t="n">
        <f aca="false">Test1_Hand!$B$6*H530*D530+Test1_Hand!$B$7*MAX(0,I530-Test1_Hand!$B$5)+Test1_Hand!$B$14</f>
        <v>6000</v>
      </c>
    </row>
    <row r="531" customFormat="false" ht="15" hidden="false" customHeight="false" outlineLevel="0" collapsed="false">
      <c r="A531" s="2" t="n">
        <v>519</v>
      </c>
      <c r="B531" s="22" t="n">
        <v>0.284335769983841</v>
      </c>
      <c r="C531" s="22" t="n">
        <v>0.764542394614103</v>
      </c>
      <c r="D531" s="23" t="n">
        <f aca="false">BETAINV(C531,Test1_Hand!$B$21,Test1_Hand!$B$22,Test1_Hand!$B$9,Test1_Hand!$B$11)</f>
        <v>4.44478805762559</v>
      </c>
      <c r="E531" s="2" t="n">
        <f aca="false">IF(B531&lt;Test1_Hand!$B$12,1,0)</f>
        <v>1</v>
      </c>
      <c r="F531" s="23" t="n">
        <f aca="false">Test1_Hand!$B$4+E531*D531</f>
        <v>20.4447880576256</v>
      </c>
      <c r="G531" s="24" t="n">
        <f aca="false">Test1_Hand!$B$6*E531*D531+Test1_Hand!$B$7*MAX(0,F531-Test1_Hand!$B$5)</f>
        <v>37782.2447491327</v>
      </c>
      <c r="H531" s="2" t="n">
        <f aca="false">IF(B531&lt;Test1_Hand!$B$13,1,0)</f>
        <v>0</v>
      </c>
      <c r="I531" s="23" t="n">
        <f aca="false">Test1_Hand!$B$4+H531*D531</f>
        <v>16</v>
      </c>
      <c r="J531" s="24" t="n">
        <f aca="false">Test1_Hand!$B$6*H531*D531+Test1_Hand!$B$7*MAX(0,I531-Test1_Hand!$B$5)+Test1_Hand!$B$14</f>
        <v>6000</v>
      </c>
    </row>
    <row r="532" customFormat="false" ht="15" hidden="false" customHeight="false" outlineLevel="0" collapsed="false">
      <c r="A532" s="2" t="n">
        <v>520</v>
      </c>
      <c r="B532" s="22" t="n">
        <v>0.583330528786049</v>
      </c>
      <c r="C532" s="22" t="n">
        <v>0.773143619143887</v>
      </c>
      <c r="D532" s="23" t="n">
        <f aca="false">BETAINV(C532,Test1_Hand!$B$21,Test1_Hand!$B$22,Test1_Hand!$B$9,Test1_Hand!$B$11)</f>
        <v>4.48724551033388</v>
      </c>
      <c r="E532" s="2" t="n">
        <f aca="false">IF(B532&lt;Test1_Hand!$B$12,1,0)</f>
        <v>0</v>
      </c>
      <c r="F532" s="23" t="n">
        <f aca="false">Test1_Hand!$B$4+E532*D532</f>
        <v>16</v>
      </c>
      <c r="G532" s="24" t="n">
        <f aca="false">Test1_Hand!$B$6*E532*D532+Test1_Hand!$B$7*MAX(0,F532-Test1_Hand!$B$5)</f>
        <v>0</v>
      </c>
      <c r="H532" s="2" t="n">
        <f aca="false">IF(B532&lt;Test1_Hand!$B$13,1,0)</f>
        <v>0</v>
      </c>
      <c r="I532" s="23" t="n">
        <f aca="false">Test1_Hand!$B$4+H532*D532</f>
        <v>16</v>
      </c>
      <c r="J532" s="24" t="n">
        <f aca="false">Test1_Hand!$B$6*H532*D532+Test1_Hand!$B$7*MAX(0,I532-Test1_Hand!$B$5)+Test1_Hand!$B$14</f>
        <v>6000</v>
      </c>
    </row>
    <row r="533" customFormat="false" ht="15" hidden="false" customHeight="false" outlineLevel="0" collapsed="false">
      <c r="A533" s="2" t="n">
        <v>521</v>
      </c>
      <c r="B533" s="22" t="n">
        <v>0.837833000465691</v>
      </c>
      <c r="C533" s="22" t="n">
        <v>0.715781137866832</v>
      </c>
      <c r="D533" s="23" t="n">
        <f aca="false">BETAINV(C533,Test1_Hand!$B$21,Test1_Hand!$B$22,Test1_Hand!$B$9,Test1_Hand!$B$11)</f>
        <v>4.21838095203384</v>
      </c>
      <c r="E533" s="2" t="n">
        <f aca="false">IF(B533&lt;Test1_Hand!$B$12,1,0)</f>
        <v>0</v>
      </c>
      <c r="F533" s="23" t="n">
        <f aca="false">Test1_Hand!$B$4+E533*D533</f>
        <v>16</v>
      </c>
      <c r="G533" s="24" t="n">
        <f aca="false">Test1_Hand!$B$6*E533*D533+Test1_Hand!$B$7*MAX(0,F533-Test1_Hand!$B$5)</f>
        <v>0</v>
      </c>
      <c r="H533" s="2" t="n">
        <f aca="false">IF(B533&lt;Test1_Hand!$B$13,1,0)</f>
        <v>0</v>
      </c>
      <c r="I533" s="23" t="n">
        <f aca="false">Test1_Hand!$B$4+H533*D533</f>
        <v>16</v>
      </c>
      <c r="J533" s="24" t="n">
        <f aca="false">Test1_Hand!$B$6*H533*D533+Test1_Hand!$B$7*MAX(0,I533-Test1_Hand!$B$5)+Test1_Hand!$B$14</f>
        <v>6000</v>
      </c>
    </row>
    <row r="534" customFormat="false" ht="15" hidden="false" customHeight="false" outlineLevel="0" collapsed="false">
      <c r="A534" s="2" t="n">
        <v>522</v>
      </c>
      <c r="B534" s="22" t="n">
        <v>0.204425995556767</v>
      </c>
      <c r="C534" s="22" t="n">
        <v>0.382266642019676</v>
      </c>
      <c r="D534" s="23" t="n">
        <f aca="false">BETAINV(C534,Test1_Hand!$B$21,Test1_Hand!$B$22,Test1_Hand!$B$9,Test1_Hand!$B$11)</f>
        <v>2.97484939819413</v>
      </c>
      <c r="E534" s="2" t="n">
        <f aca="false">IF(B534&lt;Test1_Hand!$B$12,1,0)</f>
        <v>1</v>
      </c>
      <c r="F534" s="23" t="n">
        <f aca="false">Test1_Hand!$B$4+E534*D534</f>
        <v>18.9748493981941</v>
      </c>
      <c r="G534" s="24" t="n">
        <f aca="false">Test1_Hand!$B$6*E534*D534+Test1_Hand!$B$7*MAX(0,F534-Test1_Hand!$B$5)</f>
        <v>23798.795185553</v>
      </c>
      <c r="H534" s="2" t="n">
        <f aca="false">IF(B534&lt;Test1_Hand!$B$13,1,0)</f>
        <v>0</v>
      </c>
      <c r="I534" s="23" t="n">
        <f aca="false">Test1_Hand!$B$4+H534*D534</f>
        <v>16</v>
      </c>
      <c r="J534" s="24" t="n">
        <f aca="false">Test1_Hand!$B$6*H534*D534+Test1_Hand!$B$7*MAX(0,I534-Test1_Hand!$B$5)+Test1_Hand!$B$14</f>
        <v>6000</v>
      </c>
    </row>
    <row r="535" customFormat="false" ht="15" hidden="false" customHeight="false" outlineLevel="0" collapsed="false">
      <c r="A535" s="2" t="n">
        <v>523</v>
      </c>
      <c r="B535" s="22" t="n">
        <v>0.298242250081707</v>
      </c>
      <c r="C535" s="22" t="n">
        <v>0.750709557813557</v>
      </c>
      <c r="D535" s="23" t="n">
        <f aca="false">BETAINV(C535,Test1_Hand!$B$21,Test1_Hand!$B$22,Test1_Hand!$B$9,Test1_Hand!$B$11)</f>
        <v>4.37823228446214</v>
      </c>
      <c r="E535" s="2" t="n">
        <f aca="false">IF(B535&lt;Test1_Hand!$B$12,1,0)</f>
        <v>1</v>
      </c>
      <c r="F535" s="23" t="n">
        <f aca="false">Test1_Hand!$B$4+E535*D535</f>
        <v>20.3782322844621</v>
      </c>
      <c r="G535" s="24" t="n">
        <f aca="false">Test1_Hand!$B$6*E535*D535+Test1_Hand!$B$7*MAX(0,F535-Test1_Hand!$B$5)</f>
        <v>36917.0196980079</v>
      </c>
      <c r="H535" s="2" t="n">
        <f aca="false">IF(B535&lt;Test1_Hand!$B$13,1,0)</f>
        <v>0</v>
      </c>
      <c r="I535" s="23" t="n">
        <f aca="false">Test1_Hand!$B$4+H535*D535</f>
        <v>16</v>
      </c>
      <c r="J535" s="24" t="n">
        <f aca="false">Test1_Hand!$B$6*H535*D535+Test1_Hand!$B$7*MAX(0,I535-Test1_Hand!$B$5)+Test1_Hand!$B$14</f>
        <v>6000</v>
      </c>
    </row>
    <row r="536" customFormat="false" ht="15" hidden="false" customHeight="false" outlineLevel="0" collapsed="false">
      <c r="A536" s="2" t="n">
        <v>524</v>
      </c>
      <c r="B536" s="22" t="n">
        <v>0.617080018457043</v>
      </c>
      <c r="C536" s="22" t="n">
        <v>0.630202215181704</v>
      </c>
      <c r="D536" s="23" t="n">
        <f aca="false">BETAINV(C536,Test1_Hand!$B$21,Test1_Hand!$B$22,Test1_Hand!$B$9,Test1_Hand!$B$11)</f>
        <v>3.86341975054614</v>
      </c>
      <c r="E536" s="2" t="n">
        <f aca="false">IF(B536&lt;Test1_Hand!$B$12,1,0)</f>
        <v>0</v>
      </c>
      <c r="F536" s="23" t="n">
        <f aca="false">Test1_Hand!$B$4+E536*D536</f>
        <v>16</v>
      </c>
      <c r="G536" s="24" t="n">
        <f aca="false">Test1_Hand!$B$6*E536*D536+Test1_Hand!$B$7*MAX(0,F536-Test1_Hand!$B$5)</f>
        <v>0</v>
      </c>
      <c r="H536" s="2" t="n">
        <f aca="false">IF(B536&lt;Test1_Hand!$B$13,1,0)</f>
        <v>0</v>
      </c>
      <c r="I536" s="23" t="n">
        <f aca="false">Test1_Hand!$B$4+H536*D536</f>
        <v>16</v>
      </c>
      <c r="J536" s="24" t="n">
        <f aca="false">Test1_Hand!$B$6*H536*D536+Test1_Hand!$B$7*MAX(0,I536-Test1_Hand!$B$5)+Test1_Hand!$B$14</f>
        <v>6000</v>
      </c>
    </row>
    <row r="537" customFormat="false" ht="15" hidden="false" customHeight="false" outlineLevel="0" collapsed="false">
      <c r="A537" s="2" t="n">
        <v>525</v>
      </c>
      <c r="B537" s="22" t="n">
        <v>0.868929334191786</v>
      </c>
      <c r="C537" s="22" t="n">
        <v>0.237689724434801</v>
      </c>
      <c r="D537" s="23" t="n">
        <f aca="false">BETAINV(C537,Test1_Hand!$B$21,Test1_Hand!$B$22,Test1_Hand!$B$9,Test1_Hand!$B$11)</f>
        <v>2.46761701508262</v>
      </c>
      <c r="E537" s="2" t="n">
        <f aca="false">IF(B537&lt;Test1_Hand!$B$12,1,0)</f>
        <v>0</v>
      </c>
      <c r="F537" s="23" t="n">
        <f aca="false">Test1_Hand!$B$4+E537*D537</f>
        <v>16</v>
      </c>
      <c r="G537" s="24" t="n">
        <f aca="false">Test1_Hand!$B$6*E537*D537+Test1_Hand!$B$7*MAX(0,F537-Test1_Hand!$B$5)</f>
        <v>0</v>
      </c>
      <c r="H537" s="2" t="n">
        <f aca="false">IF(B537&lt;Test1_Hand!$B$13,1,0)</f>
        <v>0</v>
      </c>
      <c r="I537" s="23" t="n">
        <f aca="false">Test1_Hand!$B$4+H537*D537</f>
        <v>16</v>
      </c>
      <c r="J537" s="24" t="n">
        <f aca="false">Test1_Hand!$B$6*H537*D537+Test1_Hand!$B$7*MAX(0,I537-Test1_Hand!$B$5)+Test1_Hand!$B$14</f>
        <v>6000</v>
      </c>
    </row>
    <row r="538" customFormat="false" ht="15" hidden="false" customHeight="false" outlineLevel="0" collapsed="false">
      <c r="A538" s="2" t="n">
        <v>526</v>
      </c>
      <c r="B538" s="22" t="n">
        <v>0.270731977368984</v>
      </c>
      <c r="C538" s="22" t="n">
        <v>0.655594873745212</v>
      </c>
      <c r="D538" s="23" t="n">
        <f aca="false">BETAINV(C538,Test1_Hand!$B$21,Test1_Hand!$B$22,Test1_Hand!$B$9,Test1_Hand!$B$11)</f>
        <v>3.96437558474041</v>
      </c>
      <c r="E538" s="2" t="n">
        <f aca="false">IF(B538&lt;Test1_Hand!$B$12,1,0)</f>
        <v>1</v>
      </c>
      <c r="F538" s="23" t="n">
        <f aca="false">Test1_Hand!$B$4+E538*D538</f>
        <v>19.9643755847404</v>
      </c>
      <c r="G538" s="24" t="n">
        <f aca="false">Test1_Hand!$B$6*E538*D538+Test1_Hand!$B$7*MAX(0,F538-Test1_Hand!$B$5)</f>
        <v>31715.0046779233</v>
      </c>
      <c r="H538" s="2" t="n">
        <f aca="false">IF(B538&lt;Test1_Hand!$B$13,1,0)</f>
        <v>0</v>
      </c>
      <c r="I538" s="23" t="n">
        <f aca="false">Test1_Hand!$B$4+H538*D538</f>
        <v>16</v>
      </c>
      <c r="J538" s="24" t="n">
        <f aca="false">Test1_Hand!$B$6*H538*D538+Test1_Hand!$B$7*MAX(0,I538-Test1_Hand!$B$5)+Test1_Hand!$B$14</f>
        <v>6000</v>
      </c>
    </row>
    <row r="539" customFormat="false" ht="15" hidden="false" customHeight="false" outlineLevel="0" collapsed="false">
      <c r="A539" s="2" t="n">
        <v>527</v>
      </c>
      <c r="B539" s="22" t="n">
        <v>0.849256469927829</v>
      </c>
      <c r="C539" s="22" t="n">
        <v>0.0111063718511052</v>
      </c>
      <c r="D539" s="23" t="n">
        <f aca="false">BETAINV(C539,Test1_Hand!$B$21,Test1_Hand!$B$22,Test1_Hand!$B$9,Test1_Hand!$B$11)</f>
        <v>1.29864167124822</v>
      </c>
      <c r="E539" s="2" t="n">
        <f aca="false">IF(B539&lt;Test1_Hand!$B$12,1,0)</f>
        <v>0</v>
      </c>
      <c r="F539" s="23" t="n">
        <f aca="false">Test1_Hand!$B$4+E539*D539</f>
        <v>16</v>
      </c>
      <c r="G539" s="24" t="n">
        <f aca="false">Test1_Hand!$B$6*E539*D539+Test1_Hand!$B$7*MAX(0,F539-Test1_Hand!$B$5)</f>
        <v>0</v>
      </c>
      <c r="H539" s="2" t="n">
        <f aca="false">IF(B539&lt;Test1_Hand!$B$13,1,0)</f>
        <v>0</v>
      </c>
      <c r="I539" s="23" t="n">
        <f aca="false">Test1_Hand!$B$4+H539*D539</f>
        <v>16</v>
      </c>
      <c r="J539" s="24" t="n">
        <f aca="false">Test1_Hand!$B$6*H539*D539+Test1_Hand!$B$7*MAX(0,I539-Test1_Hand!$B$5)+Test1_Hand!$B$14</f>
        <v>6000</v>
      </c>
    </row>
    <row r="540" customFormat="false" ht="15" hidden="false" customHeight="false" outlineLevel="0" collapsed="false">
      <c r="A540" s="2" t="n">
        <v>528</v>
      </c>
      <c r="B540" s="22" t="n">
        <v>0.912144853496386</v>
      </c>
      <c r="C540" s="22" t="n">
        <v>0.267537737164837</v>
      </c>
      <c r="D540" s="23" t="n">
        <f aca="false">BETAINV(C540,Test1_Hand!$B$21,Test1_Hand!$B$22,Test1_Hand!$B$9,Test1_Hand!$B$11)</f>
        <v>2.57552619404833</v>
      </c>
      <c r="E540" s="2" t="n">
        <f aca="false">IF(B540&lt;Test1_Hand!$B$12,1,0)</f>
        <v>0</v>
      </c>
      <c r="F540" s="23" t="n">
        <f aca="false">Test1_Hand!$B$4+E540*D540</f>
        <v>16</v>
      </c>
      <c r="G540" s="24" t="n">
        <f aca="false">Test1_Hand!$B$6*E540*D540+Test1_Hand!$B$7*MAX(0,F540-Test1_Hand!$B$5)</f>
        <v>0</v>
      </c>
      <c r="H540" s="2" t="n">
        <f aca="false">IF(B540&lt;Test1_Hand!$B$13,1,0)</f>
        <v>0</v>
      </c>
      <c r="I540" s="23" t="n">
        <f aca="false">Test1_Hand!$B$4+H540*D540</f>
        <v>16</v>
      </c>
      <c r="J540" s="24" t="n">
        <f aca="false">Test1_Hand!$B$6*H540*D540+Test1_Hand!$B$7*MAX(0,I540-Test1_Hand!$B$5)+Test1_Hand!$B$14</f>
        <v>6000</v>
      </c>
    </row>
    <row r="541" customFormat="false" ht="15" hidden="false" customHeight="false" outlineLevel="0" collapsed="false">
      <c r="A541" s="2" t="n">
        <v>529</v>
      </c>
      <c r="B541" s="22" t="n">
        <v>0.324283114180214</v>
      </c>
      <c r="C541" s="22" t="n">
        <v>0.64162986233587</v>
      </c>
      <c r="D541" s="23" t="n">
        <f aca="false">BETAINV(C541,Test1_Hand!$B$21,Test1_Hand!$B$22,Test1_Hand!$B$9,Test1_Hand!$B$11)</f>
        <v>3.90846754742101</v>
      </c>
      <c r="E541" s="2" t="n">
        <f aca="false">IF(B541&lt;Test1_Hand!$B$12,1,0)</f>
        <v>1</v>
      </c>
      <c r="F541" s="23" t="n">
        <f aca="false">Test1_Hand!$B$4+E541*D541</f>
        <v>19.908467547421</v>
      </c>
      <c r="G541" s="24" t="n">
        <f aca="false">Test1_Hand!$B$6*E541*D541+Test1_Hand!$B$7*MAX(0,F541-Test1_Hand!$B$5)</f>
        <v>31267.7403793681</v>
      </c>
      <c r="H541" s="2" t="n">
        <f aca="false">IF(B541&lt;Test1_Hand!$B$13,1,0)</f>
        <v>0</v>
      </c>
      <c r="I541" s="23" t="n">
        <f aca="false">Test1_Hand!$B$4+H541*D541</f>
        <v>16</v>
      </c>
      <c r="J541" s="24" t="n">
        <f aca="false">Test1_Hand!$B$6*H541*D541+Test1_Hand!$B$7*MAX(0,I541-Test1_Hand!$B$5)+Test1_Hand!$B$14</f>
        <v>6000</v>
      </c>
    </row>
    <row r="542" customFormat="false" ht="15" hidden="false" customHeight="false" outlineLevel="0" collapsed="false">
      <c r="A542" s="2" t="n">
        <v>530</v>
      </c>
      <c r="B542" s="22" t="n">
        <v>0.915876751419459</v>
      </c>
      <c r="C542" s="22" t="n">
        <v>0.06596498047477</v>
      </c>
      <c r="D542" s="23" t="n">
        <f aca="false">BETAINV(C542,Test1_Hand!$B$21,Test1_Hand!$B$22,Test1_Hand!$B$9,Test1_Hand!$B$11)</f>
        <v>1.72668618553852</v>
      </c>
      <c r="E542" s="2" t="n">
        <f aca="false">IF(B542&lt;Test1_Hand!$B$12,1,0)</f>
        <v>0</v>
      </c>
      <c r="F542" s="23" t="n">
        <f aca="false">Test1_Hand!$B$4+E542*D542</f>
        <v>16</v>
      </c>
      <c r="G542" s="24" t="n">
        <f aca="false">Test1_Hand!$B$6*E542*D542+Test1_Hand!$B$7*MAX(0,F542-Test1_Hand!$B$5)</f>
        <v>0</v>
      </c>
      <c r="H542" s="2" t="n">
        <f aca="false">IF(B542&lt;Test1_Hand!$B$13,1,0)</f>
        <v>0</v>
      </c>
      <c r="I542" s="23" t="n">
        <f aca="false">Test1_Hand!$B$4+H542*D542</f>
        <v>16</v>
      </c>
      <c r="J542" s="24" t="n">
        <f aca="false">Test1_Hand!$B$6*H542*D542+Test1_Hand!$B$7*MAX(0,I542-Test1_Hand!$B$5)+Test1_Hand!$B$14</f>
        <v>6000</v>
      </c>
    </row>
    <row r="543" customFormat="false" ht="15" hidden="false" customHeight="false" outlineLevel="0" collapsed="false">
      <c r="A543" s="2" t="n">
        <v>531</v>
      </c>
      <c r="B543" s="22" t="n">
        <v>0.468237944152106</v>
      </c>
      <c r="C543" s="22" t="n">
        <v>0.810952792915151</v>
      </c>
      <c r="D543" s="23" t="n">
        <f aca="false">BETAINV(C543,Test1_Hand!$B$21,Test1_Hand!$B$22,Test1_Hand!$B$9,Test1_Hand!$B$11)</f>
        <v>4.68543458519979</v>
      </c>
      <c r="E543" s="2" t="n">
        <f aca="false">IF(B543&lt;Test1_Hand!$B$12,1,0)</f>
        <v>1</v>
      </c>
      <c r="F543" s="23" t="n">
        <f aca="false">Test1_Hand!$B$4+E543*D543</f>
        <v>20.6854345851998</v>
      </c>
      <c r="G543" s="24" t="n">
        <f aca="false">Test1_Hand!$B$6*E543*D543+Test1_Hand!$B$7*MAX(0,F543-Test1_Hand!$B$5)</f>
        <v>40910.6496075973</v>
      </c>
      <c r="H543" s="2" t="n">
        <f aca="false">IF(B543&lt;Test1_Hand!$B$13,1,0)</f>
        <v>0</v>
      </c>
      <c r="I543" s="23" t="n">
        <f aca="false">Test1_Hand!$B$4+H543*D543</f>
        <v>16</v>
      </c>
      <c r="J543" s="24" t="n">
        <f aca="false">Test1_Hand!$B$6*H543*D543+Test1_Hand!$B$7*MAX(0,I543-Test1_Hand!$B$5)+Test1_Hand!$B$14</f>
        <v>6000</v>
      </c>
    </row>
    <row r="544" customFormat="false" ht="15" hidden="false" customHeight="false" outlineLevel="0" collapsed="false">
      <c r="A544" s="2" t="n">
        <v>532</v>
      </c>
      <c r="B544" s="22" t="n">
        <v>0.496196827257628</v>
      </c>
      <c r="C544" s="22" t="n">
        <v>0.601385553248205</v>
      </c>
      <c r="D544" s="23" t="n">
        <f aca="false">BETAINV(C544,Test1_Hand!$B$21,Test1_Hand!$B$22,Test1_Hand!$B$9,Test1_Hand!$B$11)</f>
        <v>3.75232593741713</v>
      </c>
      <c r="E544" s="2" t="n">
        <f aca="false">IF(B544&lt;Test1_Hand!$B$12,1,0)</f>
        <v>1</v>
      </c>
      <c r="F544" s="23" t="n">
        <f aca="false">Test1_Hand!$B$4+E544*D544</f>
        <v>19.7523259374171</v>
      </c>
      <c r="G544" s="24" t="n">
        <f aca="false">Test1_Hand!$B$6*E544*D544+Test1_Hand!$B$7*MAX(0,F544-Test1_Hand!$B$5)</f>
        <v>30018.607499337</v>
      </c>
      <c r="H544" s="2" t="n">
        <f aca="false">IF(B544&lt;Test1_Hand!$B$13,1,0)</f>
        <v>0</v>
      </c>
      <c r="I544" s="23" t="n">
        <f aca="false">Test1_Hand!$B$4+H544*D544</f>
        <v>16</v>
      </c>
      <c r="J544" s="24" t="n">
        <f aca="false">Test1_Hand!$B$6*H544*D544+Test1_Hand!$B$7*MAX(0,I544-Test1_Hand!$B$5)+Test1_Hand!$B$14</f>
        <v>6000</v>
      </c>
    </row>
    <row r="545" customFormat="false" ht="15" hidden="false" customHeight="false" outlineLevel="0" collapsed="false">
      <c r="A545" s="2" t="n">
        <v>533</v>
      </c>
      <c r="B545" s="22" t="n">
        <v>0.714941702275893</v>
      </c>
      <c r="C545" s="22" t="n">
        <v>0.62798542375698</v>
      </c>
      <c r="D545" s="23" t="n">
        <f aca="false">BETAINV(C545,Test1_Hand!$B$21,Test1_Hand!$B$22,Test1_Hand!$B$9,Test1_Hand!$B$11)</f>
        <v>3.85475012636626</v>
      </c>
      <c r="E545" s="2" t="n">
        <f aca="false">IF(B545&lt;Test1_Hand!$B$12,1,0)</f>
        <v>0</v>
      </c>
      <c r="F545" s="23" t="n">
        <f aca="false">Test1_Hand!$B$4+E545*D545</f>
        <v>16</v>
      </c>
      <c r="G545" s="24" t="n">
        <f aca="false">Test1_Hand!$B$6*E545*D545+Test1_Hand!$B$7*MAX(0,F545-Test1_Hand!$B$5)</f>
        <v>0</v>
      </c>
      <c r="H545" s="2" t="n">
        <f aca="false">IF(B545&lt;Test1_Hand!$B$13,1,0)</f>
        <v>0</v>
      </c>
      <c r="I545" s="23" t="n">
        <f aca="false">Test1_Hand!$B$4+H545*D545</f>
        <v>16</v>
      </c>
      <c r="J545" s="24" t="n">
        <f aca="false">Test1_Hand!$B$6*H545*D545+Test1_Hand!$B$7*MAX(0,I545-Test1_Hand!$B$5)+Test1_Hand!$B$14</f>
        <v>6000</v>
      </c>
    </row>
    <row r="546" customFormat="false" ht="15" hidden="false" customHeight="false" outlineLevel="0" collapsed="false">
      <c r="A546" s="2" t="n">
        <v>534</v>
      </c>
      <c r="B546" s="22" t="n">
        <v>0.0143228360310692</v>
      </c>
      <c r="C546" s="22" t="n">
        <v>0.889147783490635</v>
      </c>
      <c r="D546" s="23" t="n">
        <f aca="false">BETAINV(C546,Test1_Hand!$B$21,Test1_Hand!$B$22,Test1_Hand!$B$9,Test1_Hand!$B$11)</f>
        <v>5.1871489427769</v>
      </c>
      <c r="E546" s="2" t="n">
        <f aca="false">IF(B546&lt;Test1_Hand!$B$12,1,0)</f>
        <v>1</v>
      </c>
      <c r="F546" s="23" t="n">
        <f aca="false">Test1_Hand!$B$4+E546*D546</f>
        <v>21.1871489427769</v>
      </c>
      <c r="G546" s="24" t="n">
        <f aca="false">Test1_Hand!$B$6*E546*D546+Test1_Hand!$B$7*MAX(0,F546-Test1_Hand!$B$5)</f>
        <v>47432.9362560997</v>
      </c>
      <c r="H546" s="2" t="n">
        <f aca="false">IF(B546&lt;Test1_Hand!$B$13,1,0)</f>
        <v>1</v>
      </c>
      <c r="I546" s="23" t="n">
        <f aca="false">Test1_Hand!$B$4+H546*D546</f>
        <v>21.1871489427769</v>
      </c>
      <c r="J546" s="24" t="n">
        <f aca="false">Test1_Hand!$B$6*H546*D546+Test1_Hand!$B$7*MAX(0,I546-Test1_Hand!$B$5)+Test1_Hand!$B$14</f>
        <v>53432.9362560997</v>
      </c>
    </row>
    <row r="547" customFormat="false" ht="15" hidden="false" customHeight="false" outlineLevel="0" collapsed="false">
      <c r="A547" s="2" t="n">
        <v>535</v>
      </c>
      <c r="B547" s="22" t="n">
        <v>0.244947053007188</v>
      </c>
      <c r="C547" s="22" t="n">
        <v>0.428068606003861</v>
      </c>
      <c r="D547" s="23" t="n">
        <f aca="false">BETAINV(C547,Test1_Hand!$B$21,Test1_Hand!$B$22,Test1_Hand!$B$9,Test1_Hand!$B$11)</f>
        <v>3.13225591099363</v>
      </c>
      <c r="E547" s="2" t="n">
        <f aca="false">IF(B547&lt;Test1_Hand!$B$12,1,0)</f>
        <v>1</v>
      </c>
      <c r="F547" s="23" t="n">
        <f aca="false">Test1_Hand!$B$4+E547*D547</f>
        <v>19.1322559109936</v>
      </c>
      <c r="G547" s="24" t="n">
        <f aca="false">Test1_Hand!$B$6*E547*D547+Test1_Hand!$B$7*MAX(0,F547-Test1_Hand!$B$5)</f>
        <v>25058.047287949</v>
      </c>
      <c r="H547" s="2" t="n">
        <f aca="false">IF(B547&lt;Test1_Hand!$B$13,1,0)</f>
        <v>0</v>
      </c>
      <c r="I547" s="23" t="n">
        <f aca="false">Test1_Hand!$B$4+H547*D547</f>
        <v>16</v>
      </c>
      <c r="J547" s="24" t="n">
        <f aca="false">Test1_Hand!$B$6*H547*D547+Test1_Hand!$B$7*MAX(0,I547-Test1_Hand!$B$5)+Test1_Hand!$B$14</f>
        <v>6000</v>
      </c>
    </row>
    <row r="548" customFormat="false" ht="15" hidden="false" customHeight="false" outlineLevel="0" collapsed="false">
      <c r="A548" s="2" t="n">
        <v>536</v>
      </c>
      <c r="B548" s="22" t="n">
        <v>0.844190489003224</v>
      </c>
      <c r="C548" s="22" t="n">
        <v>0.350200616806628</v>
      </c>
      <c r="D548" s="23" t="n">
        <f aca="false">BETAINV(C548,Test1_Hand!$B$21,Test1_Hand!$B$22,Test1_Hand!$B$9,Test1_Hand!$B$11)</f>
        <v>2.86458760825891</v>
      </c>
      <c r="E548" s="2" t="n">
        <f aca="false">IF(B548&lt;Test1_Hand!$B$12,1,0)</f>
        <v>0</v>
      </c>
      <c r="F548" s="23" t="n">
        <f aca="false">Test1_Hand!$B$4+E548*D548</f>
        <v>16</v>
      </c>
      <c r="G548" s="24" t="n">
        <f aca="false">Test1_Hand!$B$6*E548*D548+Test1_Hand!$B$7*MAX(0,F548-Test1_Hand!$B$5)</f>
        <v>0</v>
      </c>
      <c r="H548" s="2" t="n">
        <f aca="false">IF(B548&lt;Test1_Hand!$B$13,1,0)</f>
        <v>0</v>
      </c>
      <c r="I548" s="23" t="n">
        <f aca="false">Test1_Hand!$B$4+H548*D548</f>
        <v>16</v>
      </c>
      <c r="J548" s="24" t="n">
        <f aca="false">Test1_Hand!$B$6*H548*D548+Test1_Hand!$B$7*MAX(0,I548-Test1_Hand!$B$5)+Test1_Hand!$B$14</f>
        <v>6000</v>
      </c>
    </row>
    <row r="549" customFormat="false" ht="15" hidden="false" customHeight="false" outlineLevel="0" collapsed="false">
      <c r="A549" s="2" t="n">
        <v>537</v>
      </c>
      <c r="B549" s="22" t="n">
        <v>0.437155036405667</v>
      </c>
      <c r="C549" s="22" t="n">
        <v>0.6065037429879</v>
      </c>
      <c r="D549" s="23" t="n">
        <f aca="false">BETAINV(C549,Test1_Hand!$B$21,Test1_Hand!$B$22,Test1_Hand!$B$9,Test1_Hand!$B$11)</f>
        <v>3.77181503746773</v>
      </c>
      <c r="E549" s="2" t="n">
        <f aca="false">IF(B549&lt;Test1_Hand!$B$12,1,0)</f>
        <v>1</v>
      </c>
      <c r="F549" s="23" t="n">
        <f aca="false">Test1_Hand!$B$4+E549*D549</f>
        <v>19.7718150374677</v>
      </c>
      <c r="G549" s="24" t="n">
        <f aca="false">Test1_Hand!$B$6*E549*D549+Test1_Hand!$B$7*MAX(0,F549-Test1_Hand!$B$5)</f>
        <v>30174.5202997419</v>
      </c>
      <c r="H549" s="2" t="n">
        <f aca="false">IF(B549&lt;Test1_Hand!$B$13,1,0)</f>
        <v>0</v>
      </c>
      <c r="I549" s="23" t="n">
        <f aca="false">Test1_Hand!$B$4+H549*D549</f>
        <v>16</v>
      </c>
      <c r="J549" s="24" t="n">
        <f aca="false">Test1_Hand!$B$6*H549*D549+Test1_Hand!$B$7*MAX(0,I549-Test1_Hand!$B$5)+Test1_Hand!$B$14</f>
        <v>6000</v>
      </c>
    </row>
    <row r="550" customFormat="false" ht="15" hidden="false" customHeight="false" outlineLevel="0" collapsed="false">
      <c r="A550" s="2" t="n">
        <v>538</v>
      </c>
      <c r="B550" s="22" t="n">
        <v>0.350349472540139</v>
      </c>
      <c r="C550" s="22" t="n">
        <v>0.278179718540721</v>
      </c>
      <c r="D550" s="23" t="n">
        <f aca="false">BETAINV(C550,Test1_Hand!$B$21,Test1_Hand!$B$22,Test1_Hand!$B$9,Test1_Hand!$B$11)</f>
        <v>2.61341060591442</v>
      </c>
      <c r="E550" s="2" t="n">
        <f aca="false">IF(B550&lt;Test1_Hand!$B$12,1,0)</f>
        <v>1</v>
      </c>
      <c r="F550" s="23" t="n">
        <f aca="false">Test1_Hand!$B$4+E550*D550</f>
        <v>18.6134106059144</v>
      </c>
      <c r="G550" s="24" t="n">
        <f aca="false">Test1_Hand!$B$6*E550*D550+Test1_Hand!$B$7*MAX(0,F550-Test1_Hand!$B$5)</f>
        <v>20907.2848473154</v>
      </c>
      <c r="H550" s="2" t="n">
        <f aca="false">IF(B550&lt;Test1_Hand!$B$13,1,0)</f>
        <v>0</v>
      </c>
      <c r="I550" s="23" t="n">
        <f aca="false">Test1_Hand!$B$4+H550*D550</f>
        <v>16</v>
      </c>
      <c r="J550" s="24" t="n">
        <f aca="false">Test1_Hand!$B$6*H550*D550+Test1_Hand!$B$7*MAX(0,I550-Test1_Hand!$B$5)+Test1_Hand!$B$14</f>
        <v>6000</v>
      </c>
    </row>
    <row r="551" customFormat="false" ht="15" hidden="false" customHeight="false" outlineLevel="0" collapsed="false">
      <c r="A551" s="2" t="n">
        <v>539</v>
      </c>
      <c r="B551" s="22" t="n">
        <v>0.521367660253655</v>
      </c>
      <c r="C551" s="22" t="n">
        <v>0.178840147798954</v>
      </c>
      <c r="D551" s="23" t="n">
        <f aca="false">BETAINV(C551,Test1_Hand!$B$21,Test1_Hand!$B$22,Test1_Hand!$B$9,Test1_Hand!$B$11)</f>
        <v>2.24449710441831</v>
      </c>
      <c r="E551" s="2" t="n">
        <f aca="false">IF(B551&lt;Test1_Hand!$B$12,1,0)</f>
        <v>0</v>
      </c>
      <c r="F551" s="23" t="n">
        <f aca="false">Test1_Hand!$B$4+E551*D551</f>
        <v>16</v>
      </c>
      <c r="G551" s="24" t="n">
        <f aca="false">Test1_Hand!$B$6*E551*D551+Test1_Hand!$B$7*MAX(0,F551-Test1_Hand!$B$5)</f>
        <v>0</v>
      </c>
      <c r="H551" s="2" t="n">
        <f aca="false">IF(B551&lt;Test1_Hand!$B$13,1,0)</f>
        <v>0</v>
      </c>
      <c r="I551" s="23" t="n">
        <f aca="false">Test1_Hand!$B$4+H551*D551</f>
        <v>16</v>
      </c>
      <c r="J551" s="24" t="n">
        <f aca="false">Test1_Hand!$B$6*H551*D551+Test1_Hand!$B$7*MAX(0,I551-Test1_Hand!$B$5)+Test1_Hand!$B$14</f>
        <v>6000</v>
      </c>
    </row>
    <row r="552" customFormat="false" ht="15" hidden="false" customHeight="false" outlineLevel="0" collapsed="false">
      <c r="A552" s="2" t="n">
        <v>540</v>
      </c>
      <c r="B552" s="22" t="n">
        <v>0.395492590814587</v>
      </c>
      <c r="C552" s="22" t="n">
        <v>0.21292089199081</v>
      </c>
      <c r="D552" s="23" t="n">
        <f aca="false">BETAINV(C552,Test1_Hand!$B$21,Test1_Hand!$B$22,Test1_Hand!$B$9,Test1_Hand!$B$11)</f>
        <v>2.37571887266498</v>
      </c>
      <c r="E552" s="2" t="n">
        <f aca="false">IF(B552&lt;Test1_Hand!$B$12,1,0)</f>
        <v>1</v>
      </c>
      <c r="F552" s="23" t="n">
        <f aca="false">Test1_Hand!$B$4+E552*D552</f>
        <v>18.375718872665</v>
      </c>
      <c r="G552" s="24" t="n">
        <f aca="false">Test1_Hand!$B$6*E552*D552+Test1_Hand!$B$7*MAX(0,F552-Test1_Hand!$B$5)</f>
        <v>19005.7509813199</v>
      </c>
      <c r="H552" s="2" t="n">
        <f aca="false">IF(B552&lt;Test1_Hand!$B$13,1,0)</f>
        <v>0</v>
      </c>
      <c r="I552" s="23" t="n">
        <f aca="false">Test1_Hand!$B$4+H552*D552</f>
        <v>16</v>
      </c>
      <c r="J552" s="24" t="n">
        <f aca="false">Test1_Hand!$B$6*H552*D552+Test1_Hand!$B$7*MAX(0,I552-Test1_Hand!$B$5)+Test1_Hand!$B$14</f>
        <v>6000</v>
      </c>
    </row>
    <row r="553" customFormat="false" ht="15" hidden="false" customHeight="false" outlineLevel="0" collapsed="false">
      <c r="A553" s="2" t="n">
        <v>541</v>
      </c>
      <c r="B553" s="22" t="n">
        <v>0.123535070648953</v>
      </c>
      <c r="C553" s="22" t="n">
        <v>0.970633130374214</v>
      </c>
      <c r="D553" s="23" t="n">
        <f aca="false">BETAINV(C553,Test1_Hand!$B$21,Test1_Hand!$B$22,Test1_Hand!$B$9,Test1_Hand!$B$11)</f>
        <v>6.08724654890343</v>
      </c>
      <c r="E553" s="2" t="n">
        <f aca="false">IF(B553&lt;Test1_Hand!$B$12,1,0)</f>
        <v>1</v>
      </c>
      <c r="F553" s="23" t="n">
        <f aca="false">Test1_Hand!$B$4+E553*D553</f>
        <v>22.0872465489034</v>
      </c>
      <c r="G553" s="24" t="n">
        <f aca="false">Test1_Hand!$B$6*E553*D553+Test1_Hand!$B$7*MAX(0,F553-Test1_Hand!$B$5)</f>
        <v>59134.2051357446</v>
      </c>
      <c r="H553" s="2" t="n">
        <f aca="false">IF(B553&lt;Test1_Hand!$B$13,1,0)</f>
        <v>1</v>
      </c>
      <c r="I553" s="23" t="n">
        <f aca="false">Test1_Hand!$B$4+H553*D553</f>
        <v>22.0872465489034</v>
      </c>
      <c r="J553" s="24" t="n">
        <f aca="false">Test1_Hand!$B$6*H553*D553+Test1_Hand!$B$7*MAX(0,I553-Test1_Hand!$B$5)+Test1_Hand!$B$14</f>
        <v>65134.2051357446</v>
      </c>
    </row>
    <row r="554" customFormat="false" ht="15" hidden="false" customHeight="false" outlineLevel="0" collapsed="false">
      <c r="A554" s="2" t="n">
        <v>542</v>
      </c>
      <c r="B554" s="22" t="n">
        <v>0.823583670320985</v>
      </c>
      <c r="C554" s="22" t="n">
        <v>0.958541642277875</v>
      </c>
      <c r="D554" s="23" t="n">
        <f aca="false">BETAINV(C554,Test1_Hand!$B$21,Test1_Hand!$B$22,Test1_Hand!$B$9,Test1_Hand!$B$11)</f>
        <v>5.89040754802272</v>
      </c>
      <c r="E554" s="2" t="n">
        <f aca="false">IF(B554&lt;Test1_Hand!$B$12,1,0)</f>
        <v>0</v>
      </c>
      <c r="F554" s="23" t="n">
        <f aca="false">Test1_Hand!$B$4+E554*D554</f>
        <v>16</v>
      </c>
      <c r="G554" s="24" t="n">
        <f aca="false">Test1_Hand!$B$6*E554*D554+Test1_Hand!$B$7*MAX(0,F554-Test1_Hand!$B$5)</f>
        <v>0</v>
      </c>
      <c r="H554" s="2" t="n">
        <f aca="false">IF(B554&lt;Test1_Hand!$B$13,1,0)</f>
        <v>0</v>
      </c>
      <c r="I554" s="23" t="n">
        <f aca="false">Test1_Hand!$B$4+H554*D554</f>
        <v>16</v>
      </c>
      <c r="J554" s="24" t="n">
        <f aca="false">Test1_Hand!$B$6*H554*D554+Test1_Hand!$B$7*MAX(0,I554-Test1_Hand!$B$5)+Test1_Hand!$B$14</f>
        <v>6000</v>
      </c>
    </row>
    <row r="555" customFormat="false" ht="15" hidden="false" customHeight="false" outlineLevel="0" collapsed="false">
      <c r="A555" s="2" t="n">
        <v>543</v>
      </c>
      <c r="B555" s="22" t="n">
        <v>0.417350291965906</v>
      </c>
      <c r="C555" s="22" t="n">
        <v>0.26050247015723</v>
      </c>
      <c r="D555" s="23" t="n">
        <f aca="false">BETAINV(C555,Test1_Hand!$B$21,Test1_Hand!$B$22,Test1_Hand!$B$9,Test1_Hand!$B$11)</f>
        <v>2.55032570493423</v>
      </c>
      <c r="E555" s="2" t="n">
        <f aca="false">IF(B555&lt;Test1_Hand!$B$12,1,0)</f>
        <v>1</v>
      </c>
      <c r="F555" s="23" t="n">
        <f aca="false">Test1_Hand!$B$4+E555*D555</f>
        <v>18.5503257049342</v>
      </c>
      <c r="G555" s="24" t="n">
        <f aca="false">Test1_Hand!$B$6*E555*D555+Test1_Hand!$B$7*MAX(0,F555-Test1_Hand!$B$5)</f>
        <v>20402.6056394738</v>
      </c>
      <c r="H555" s="2" t="n">
        <f aca="false">IF(B555&lt;Test1_Hand!$B$13,1,0)</f>
        <v>0</v>
      </c>
      <c r="I555" s="23" t="n">
        <f aca="false">Test1_Hand!$B$4+H555*D555</f>
        <v>16</v>
      </c>
      <c r="J555" s="24" t="n">
        <f aca="false">Test1_Hand!$B$6*H555*D555+Test1_Hand!$B$7*MAX(0,I555-Test1_Hand!$B$5)+Test1_Hand!$B$14</f>
        <v>6000</v>
      </c>
    </row>
    <row r="556" customFormat="false" ht="15" hidden="false" customHeight="false" outlineLevel="0" collapsed="false">
      <c r="A556" s="2" t="n">
        <v>544</v>
      </c>
      <c r="B556" s="22" t="n">
        <v>0.899962755484385</v>
      </c>
      <c r="C556" s="22" t="n">
        <v>0.255356807427047</v>
      </c>
      <c r="D556" s="23" t="n">
        <f aca="false">BETAINV(C556,Test1_Hand!$B$21,Test1_Hand!$B$22,Test1_Hand!$B$9,Test1_Hand!$B$11)</f>
        <v>2.53180834413386</v>
      </c>
      <c r="E556" s="2" t="n">
        <f aca="false">IF(B556&lt;Test1_Hand!$B$12,1,0)</f>
        <v>0</v>
      </c>
      <c r="F556" s="23" t="n">
        <f aca="false">Test1_Hand!$B$4+E556*D556</f>
        <v>16</v>
      </c>
      <c r="G556" s="24" t="n">
        <f aca="false">Test1_Hand!$B$6*E556*D556+Test1_Hand!$B$7*MAX(0,F556-Test1_Hand!$B$5)</f>
        <v>0</v>
      </c>
      <c r="H556" s="2" t="n">
        <f aca="false">IF(B556&lt;Test1_Hand!$B$13,1,0)</f>
        <v>0</v>
      </c>
      <c r="I556" s="23" t="n">
        <f aca="false">Test1_Hand!$B$4+H556*D556</f>
        <v>16</v>
      </c>
      <c r="J556" s="24" t="n">
        <f aca="false">Test1_Hand!$B$6*H556*D556+Test1_Hand!$B$7*MAX(0,I556-Test1_Hand!$B$5)+Test1_Hand!$B$14</f>
        <v>6000</v>
      </c>
    </row>
    <row r="557" customFormat="false" ht="15" hidden="false" customHeight="false" outlineLevel="0" collapsed="false">
      <c r="A557" s="2" t="n">
        <v>545</v>
      </c>
      <c r="B557" s="22" t="n">
        <v>0.429131921894097</v>
      </c>
      <c r="C557" s="22" t="n">
        <v>0.621028860932103</v>
      </c>
      <c r="D557" s="23" t="n">
        <f aca="false">BETAINV(C557,Test1_Hand!$B$21,Test1_Hand!$B$22,Test1_Hand!$B$9,Test1_Hand!$B$11)</f>
        <v>3.82768302731191</v>
      </c>
      <c r="E557" s="2" t="n">
        <f aca="false">IF(B557&lt;Test1_Hand!$B$12,1,0)</f>
        <v>1</v>
      </c>
      <c r="F557" s="23" t="n">
        <f aca="false">Test1_Hand!$B$4+E557*D557</f>
        <v>19.8276830273119</v>
      </c>
      <c r="G557" s="24" t="n">
        <f aca="false">Test1_Hand!$B$6*E557*D557+Test1_Hand!$B$7*MAX(0,F557-Test1_Hand!$B$5)</f>
        <v>30621.4642184953</v>
      </c>
      <c r="H557" s="2" t="n">
        <f aca="false">IF(B557&lt;Test1_Hand!$B$13,1,0)</f>
        <v>0</v>
      </c>
      <c r="I557" s="23" t="n">
        <f aca="false">Test1_Hand!$B$4+H557*D557</f>
        <v>16</v>
      </c>
      <c r="J557" s="24" t="n">
        <f aca="false">Test1_Hand!$B$6*H557*D557+Test1_Hand!$B$7*MAX(0,I557-Test1_Hand!$B$5)+Test1_Hand!$B$14</f>
        <v>6000</v>
      </c>
    </row>
    <row r="558" customFormat="false" ht="15" hidden="false" customHeight="false" outlineLevel="0" collapsed="false">
      <c r="A558" s="2" t="n">
        <v>546</v>
      </c>
      <c r="B558" s="22" t="n">
        <v>0.212060752791456</v>
      </c>
      <c r="C558" s="22" t="n">
        <v>0.485655525349199</v>
      </c>
      <c r="D558" s="23" t="n">
        <f aca="false">BETAINV(C558,Test1_Hand!$B$21,Test1_Hand!$B$22,Test1_Hand!$B$9,Test1_Hand!$B$11)</f>
        <v>3.33214140159918</v>
      </c>
      <c r="E558" s="2" t="n">
        <f aca="false">IF(B558&lt;Test1_Hand!$B$12,1,0)</f>
        <v>1</v>
      </c>
      <c r="F558" s="23" t="n">
        <f aca="false">Test1_Hand!$B$4+E558*D558</f>
        <v>19.3321414015992</v>
      </c>
      <c r="G558" s="24" t="n">
        <f aca="false">Test1_Hand!$B$6*E558*D558+Test1_Hand!$B$7*MAX(0,F558-Test1_Hand!$B$5)</f>
        <v>26657.1312127934</v>
      </c>
      <c r="H558" s="2" t="n">
        <f aca="false">IF(B558&lt;Test1_Hand!$B$13,1,0)</f>
        <v>0</v>
      </c>
      <c r="I558" s="23" t="n">
        <f aca="false">Test1_Hand!$B$4+H558*D558</f>
        <v>16</v>
      </c>
      <c r="J558" s="24" t="n">
        <f aca="false">Test1_Hand!$B$6*H558*D558+Test1_Hand!$B$7*MAX(0,I558-Test1_Hand!$B$5)+Test1_Hand!$B$14</f>
        <v>6000</v>
      </c>
    </row>
    <row r="559" customFormat="false" ht="15" hidden="false" customHeight="false" outlineLevel="0" collapsed="false">
      <c r="A559" s="2" t="n">
        <v>547</v>
      </c>
      <c r="B559" s="22" t="n">
        <v>0.790999538483704</v>
      </c>
      <c r="C559" s="22" t="n">
        <v>0.599822784022625</v>
      </c>
      <c r="D559" s="23" t="n">
        <f aca="false">BETAINV(C559,Test1_Hand!$B$21,Test1_Hand!$B$22,Test1_Hand!$B$9,Test1_Hand!$B$11)</f>
        <v>3.74639474363469</v>
      </c>
      <c r="E559" s="2" t="n">
        <f aca="false">IF(B559&lt;Test1_Hand!$B$12,1,0)</f>
        <v>0</v>
      </c>
      <c r="F559" s="23" t="n">
        <f aca="false">Test1_Hand!$B$4+E559*D559</f>
        <v>16</v>
      </c>
      <c r="G559" s="24" t="n">
        <f aca="false">Test1_Hand!$B$6*E559*D559+Test1_Hand!$B$7*MAX(0,F559-Test1_Hand!$B$5)</f>
        <v>0</v>
      </c>
      <c r="H559" s="2" t="n">
        <f aca="false">IF(B559&lt;Test1_Hand!$B$13,1,0)</f>
        <v>0</v>
      </c>
      <c r="I559" s="23" t="n">
        <f aca="false">Test1_Hand!$B$4+H559*D559</f>
        <v>16</v>
      </c>
      <c r="J559" s="24" t="n">
        <f aca="false">Test1_Hand!$B$6*H559*D559+Test1_Hand!$B$7*MAX(0,I559-Test1_Hand!$B$5)+Test1_Hand!$B$14</f>
        <v>6000</v>
      </c>
    </row>
    <row r="560" customFormat="false" ht="15" hidden="false" customHeight="false" outlineLevel="0" collapsed="false">
      <c r="A560" s="2" t="n">
        <v>548</v>
      </c>
      <c r="B560" s="22" t="n">
        <v>0.333445399201215</v>
      </c>
      <c r="C560" s="22" t="n">
        <v>0.143099813263892</v>
      </c>
      <c r="D560" s="23" t="n">
        <f aca="false">BETAINV(C560,Test1_Hand!$B$21,Test1_Hand!$B$22,Test1_Hand!$B$9,Test1_Hand!$B$11)</f>
        <v>2.09849317053685</v>
      </c>
      <c r="E560" s="2" t="n">
        <f aca="false">IF(B560&lt;Test1_Hand!$B$12,1,0)</f>
        <v>1</v>
      </c>
      <c r="F560" s="23" t="n">
        <f aca="false">Test1_Hand!$B$4+E560*D560</f>
        <v>18.0984931705368</v>
      </c>
      <c r="G560" s="24" t="n">
        <f aca="false">Test1_Hand!$B$6*E560*D560+Test1_Hand!$B$7*MAX(0,F560-Test1_Hand!$B$5)</f>
        <v>16787.9453642948</v>
      </c>
      <c r="H560" s="2" t="n">
        <f aca="false">IF(B560&lt;Test1_Hand!$B$13,1,0)</f>
        <v>0</v>
      </c>
      <c r="I560" s="23" t="n">
        <f aca="false">Test1_Hand!$B$4+H560*D560</f>
        <v>16</v>
      </c>
      <c r="J560" s="24" t="n">
        <f aca="false">Test1_Hand!$B$6*H560*D560+Test1_Hand!$B$7*MAX(0,I560-Test1_Hand!$B$5)+Test1_Hand!$B$14</f>
        <v>6000</v>
      </c>
    </row>
    <row r="561" customFormat="false" ht="15" hidden="false" customHeight="false" outlineLevel="0" collapsed="false">
      <c r="A561" s="2" t="n">
        <v>549</v>
      </c>
      <c r="B561" s="22" t="n">
        <v>0.447409368138951</v>
      </c>
      <c r="C561" s="22" t="n">
        <v>0.465718920683496</v>
      </c>
      <c r="D561" s="23" t="n">
        <f aca="false">BETAINV(C561,Test1_Hand!$B$21,Test1_Hand!$B$22,Test1_Hand!$B$9,Test1_Hand!$B$11)</f>
        <v>3.26253013379487</v>
      </c>
      <c r="E561" s="2" t="n">
        <f aca="false">IF(B561&lt;Test1_Hand!$B$12,1,0)</f>
        <v>1</v>
      </c>
      <c r="F561" s="23" t="n">
        <f aca="false">Test1_Hand!$B$4+E561*D561</f>
        <v>19.2625301337949</v>
      </c>
      <c r="G561" s="24" t="n">
        <f aca="false">Test1_Hand!$B$6*E561*D561+Test1_Hand!$B$7*MAX(0,F561-Test1_Hand!$B$5)</f>
        <v>26100.2410703589</v>
      </c>
      <c r="H561" s="2" t="n">
        <f aca="false">IF(B561&lt;Test1_Hand!$B$13,1,0)</f>
        <v>0</v>
      </c>
      <c r="I561" s="23" t="n">
        <f aca="false">Test1_Hand!$B$4+H561*D561</f>
        <v>16</v>
      </c>
      <c r="J561" s="24" t="n">
        <f aca="false">Test1_Hand!$B$6*H561*D561+Test1_Hand!$B$7*MAX(0,I561-Test1_Hand!$B$5)+Test1_Hand!$B$14</f>
        <v>6000</v>
      </c>
    </row>
    <row r="562" customFormat="false" ht="15" hidden="false" customHeight="false" outlineLevel="0" collapsed="false">
      <c r="A562" s="2" t="n">
        <v>550</v>
      </c>
      <c r="B562" s="22" t="n">
        <v>0.27732500623165</v>
      </c>
      <c r="C562" s="22" t="n">
        <v>0.389080108379665</v>
      </c>
      <c r="D562" s="23" t="n">
        <f aca="false">BETAINV(C562,Test1_Hand!$B$21,Test1_Hand!$B$22,Test1_Hand!$B$9,Test1_Hand!$B$11)</f>
        <v>2.99824349459634</v>
      </c>
      <c r="E562" s="2" t="n">
        <f aca="false">IF(B562&lt;Test1_Hand!$B$12,1,0)</f>
        <v>1</v>
      </c>
      <c r="F562" s="23" t="n">
        <f aca="false">Test1_Hand!$B$4+E562*D562</f>
        <v>18.9982434945963</v>
      </c>
      <c r="G562" s="24" t="n">
        <f aca="false">Test1_Hand!$B$6*E562*D562+Test1_Hand!$B$7*MAX(0,F562-Test1_Hand!$B$5)</f>
        <v>23985.9479567707</v>
      </c>
      <c r="H562" s="2" t="n">
        <f aca="false">IF(B562&lt;Test1_Hand!$B$13,1,0)</f>
        <v>0</v>
      </c>
      <c r="I562" s="23" t="n">
        <f aca="false">Test1_Hand!$B$4+H562*D562</f>
        <v>16</v>
      </c>
      <c r="J562" s="24" t="n">
        <f aca="false">Test1_Hand!$B$6*H562*D562+Test1_Hand!$B$7*MAX(0,I562-Test1_Hand!$B$5)+Test1_Hand!$B$14</f>
        <v>6000</v>
      </c>
    </row>
    <row r="563" customFormat="false" ht="15" hidden="false" customHeight="false" outlineLevel="0" collapsed="false">
      <c r="A563" s="2" t="n">
        <v>551</v>
      </c>
      <c r="B563" s="22" t="n">
        <v>0.379663020429631</v>
      </c>
      <c r="C563" s="22" t="n">
        <v>0.109832263689009</v>
      </c>
      <c r="D563" s="23" t="n">
        <f aca="false">BETAINV(C563,Test1_Hand!$B$21,Test1_Hand!$B$22,Test1_Hand!$B$9,Test1_Hand!$B$11)</f>
        <v>1.95097684514404</v>
      </c>
      <c r="E563" s="2" t="n">
        <f aca="false">IF(B563&lt;Test1_Hand!$B$12,1,0)</f>
        <v>1</v>
      </c>
      <c r="F563" s="23" t="n">
        <f aca="false">Test1_Hand!$B$4+E563*D563</f>
        <v>17.950976845144</v>
      </c>
      <c r="G563" s="24" t="n">
        <f aca="false">Test1_Hand!$B$6*E563*D563+Test1_Hand!$B$7*MAX(0,F563-Test1_Hand!$B$5)</f>
        <v>15607.8147611523</v>
      </c>
      <c r="H563" s="2" t="n">
        <f aca="false">IF(B563&lt;Test1_Hand!$B$13,1,0)</f>
        <v>0</v>
      </c>
      <c r="I563" s="23" t="n">
        <f aca="false">Test1_Hand!$B$4+H563*D563</f>
        <v>16</v>
      </c>
      <c r="J563" s="24" t="n">
        <f aca="false">Test1_Hand!$B$6*H563*D563+Test1_Hand!$B$7*MAX(0,I563-Test1_Hand!$B$5)+Test1_Hand!$B$14</f>
        <v>6000</v>
      </c>
    </row>
    <row r="564" customFormat="false" ht="15" hidden="false" customHeight="false" outlineLevel="0" collapsed="false">
      <c r="A564" s="2" t="n">
        <v>552</v>
      </c>
      <c r="B564" s="22" t="n">
        <v>0.904807639669995</v>
      </c>
      <c r="C564" s="22" t="n">
        <v>0.796401647639159</v>
      </c>
      <c r="D564" s="23" t="n">
        <f aca="false">BETAINV(C564,Test1_Hand!$B$21,Test1_Hand!$B$22,Test1_Hand!$B$9,Test1_Hand!$B$11)</f>
        <v>4.60672167474833</v>
      </c>
      <c r="E564" s="2" t="n">
        <f aca="false">IF(B564&lt;Test1_Hand!$B$12,1,0)</f>
        <v>0</v>
      </c>
      <c r="F564" s="23" t="n">
        <f aca="false">Test1_Hand!$B$4+E564*D564</f>
        <v>16</v>
      </c>
      <c r="G564" s="24" t="n">
        <f aca="false">Test1_Hand!$B$6*E564*D564+Test1_Hand!$B$7*MAX(0,F564-Test1_Hand!$B$5)</f>
        <v>0</v>
      </c>
      <c r="H564" s="2" t="n">
        <f aca="false">IF(B564&lt;Test1_Hand!$B$13,1,0)</f>
        <v>0</v>
      </c>
      <c r="I564" s="23" t="n">
        <f aca="false">Test1_Hand!$B$4+H564*D564</f>
        <v>16</v>
      </c>
      <c r="J564" s="24" t="n">
        <f aca="false">Test1_Hand!$B$6*H564*D564+Test1_Hand!$B$7*MAX(0,I564-Test1_Hand!$B$5)+Test1_Hand!$B$14</f>
        <v>6000</v>
      </c>
    </row>
    <row r="565" customFormat="false" ht="15" hidden="false" customHeight="false" outlineLevel="0" collapsed="false">
      <c r="A565" s="2" t="n">
        <v>553</v>
      </c>
      <c r="B565" s="22" t="n">
        <v>0.60547098323798</v>
      </c>
      <c r="C565" s="22" t="n">
        <v>0.255967103110348</v>
      </c>
      <c r="D565" s="23" t="n">
        <f aca="false">BETAINV(C565,Test1_Hand!$B$21,Test1_Hand!$B$22,Test1_Hand!$B$9,Test1_Hand!$B$11)</f>
        <v>2.53400851481843</v>
      </c>
      <c r="E565" s="2" t="n">
        <f aca="false">IF(B565&lt;Test1_Hand!$B$12,1,0)</f>
        <v>0</v>
      </c>
      <c r="F565" s="23" t="n">
        <f aca="false">Test1_Hand!$B$4+E565*D565</f>
        <v>16</v>
      </c>
      <c r="G565" s="24" t="n">
        <f aca="false">Test1_Hand!$B$6*E565*D565+Test1_Hand!$B$7*MAX(0,F565-Test1_Hand!$B$5)</f>
        <v>0</v>
      </c>
      <c r="H565" s="2" t="n">
        <f aca="false">IF(B565&lt;Test1_Hand!$B$13,1,0)</f>
        <v>0</v>
      </c>
      <c r="I565" s="23" t="n">
        <f aca="false">Test1_Hand!$B$4+H565*D565</f>
        <v>16</v>
      </c>
      <c r="J565" s="24" t="n">
        <f aca="false">Test1_Hand!$B$6*H565*D565+Test1_Hand!$B$7*MAX(0,I565-Test1_Hand!$B$5)+Test1_Hand!$B$14</f>
        <v>6000</v>
      </c>
    </row>
    <row r="566" customFormat="false" ht="15" hidden="false" customHeight="false" outlineLevel="0" collapsed="false">
      <c r="A566" s="2" t="n">
        <v>554</v>
      </c>
      <c r="B566" s="22" t="n">
        <v>0.555185324897112</v>
      </c>
      <c r="C566" s="22" t="n">
        <v>0.366342280052831</v>
      </c>
      <c r="D566" s="23" t="n">
        <f aca="false">BETAINV(C566,Test1_Hand!$B$21,Test1_Hand!$B$22,Test1_Hand!$B$9,Test1_Hand!$B$11)</f>
        <v>2.92014215620084</v>
      </c>
      <c r="E566" s="2" t="n">
        <f aca="false">IF(B566&lt;Test1_Hand!$B$12,1,0)</f>
        <v>0</v>
      </c>
      <c r="F566" s="23" t="n">
        <f aca="false">Test1_Hand!$B$4+E566*D566</f>
        <v>16</v>
      </c>
      <c r="G566" s="24" t="n">
        <f aca="false">Test1_Hand!$B$6*E566*D566+Test1_Hand!$B$7*MAX(0,F566-Test1_Hand!$B$5)</f>
        <v>0</v>
      </c>
      <c r="H566" s="2" t="n">
        <f aca="false">IF(B566&lt;Test1_Hand!$B$13,1,0)</f>
        <v>0</v>
      </c>
      <c r="I566" s="23" t="n">
        <f aca="false">Test1_Hand!$B$4+H566*D566</f>
        <v>16</v>
      </c>
      <c r="J566" s="24" t="n">
        <f aca="false">Test1_Hand!$B$6*H566*D566+Test1_Hand!$B$7*MAX(0,I566-Test1_Hand!$B$5)+Test1_Hand!$B$14</f>
        <v>6000</v>
      </c>
    </row>
    <row r="567" customFormat="false" ht="15" hidden="false" customHeight="false" outlineLevel="0" collapsed="false">
      <c r="A567" s="2" t="n">
        <v>555</v>
      </c>
      <c r="B567" s="22" t="n">
        <v>0.211805301686222</v>
      </c>
      <c r="C567" s="22" t="n">
        <v>0.280279815948985</v>
      </c>
      <c r="D567" s="23" t="n">
        <f aca="false">BETAINV(C567,Test1_Hand!$B$21,Test1_Hand!$B$22,Test1_Hand!$B$9,Test1_Hand!$B$11)</f>
        <v>2.6208557444485</v>
      </c>
      <c r="E567" s="2" t="n">
        <f aca="false">IF(B567&lt;Test1_Hand!$B$12,1,0)</f>
        <v>1</v>
      </c>
      <c r="F567" s="23" t="n">
        <f aca="false">Test1_Hand!$B$4+E567*D567</f>
        <v>18.6208557444485</v>
      </c>
      <c r="G567" s="24" t="n">
        <f aca="false">Test1_Hand!$B$6*E567*D567+Test1_Hand!$B$7*MAX(0,F567-Test1_Hand!$B$5)</f>
        <v>20966.845955588</v>
      </c>
      <c r="H567" s="2" t="n">
        <f aca="false">IF(B567&lt;Test1_Hand!$B$13,1,0)</f>
        <v>0</v>
      </c>
      <c r="I567" s="23" t="n">
        <f aca="false">Test1_Hand!$B$4+H567*D567</f>
        <v>16</v>
      </c>
      <c r="J567" s="24" t="n">
        <f aca="false">Test1_Hand!$B$6*H567*D567+Test1_Hand!$B$7*MAX(0,I567-Test1_Hand!$B$5)+Test1_Hand!$B$14</f>
        <v>6000</v>
      </c>
    </row>
    <row r="568" customFormat="false" ht="15" hidden="false" customHeight="false" outlineLevel="0" collapsed="false">
      <c r="A568" s="2" t="n">
        <v>556</v>
      </c>
      <c r="B568" s="22" t="n">
        <v>0.577818574000597</v>
      </c>
      <c r="C568" s="22" t="n">
        <v>0.299545897062527</v>
      </c>
      <c r="D568" s="23" t="n">
        <f aca="false">BETAINV(C568,Test1_Hand!$B$21,Test1_Hand!$B$22,Test1_Hand!$B$9,Test1_Hand!$B$11)</f>
        <v>2.68873743701274</v>
      </c>
      <c r="E568" s="2" t="n">
        <f aca="false">IF(B568&lt;Test1_Hand!$B$12,1,0)</f>
        <v>0</v>
      </c>
      <c r="F568" s="23" t="n">
        <f aca="false">Test1_Hand!$B$4+E568*D568</f>
        <v>16</v>
      </c>
      <c r="G568" s="24" t="n">
        <f aca="false">Test1_Hand!$B$6*E568*D568+Test1_Hand!$B$7*MAX(0,F568-Test1_Hand!$B$5)</f>
        <v>0</v>
      </c>
      <c r="H568" s="2" t="n">
        <f aca="false">IF(B568&lt;Test1_Hand!$B$13,1,0)</f>
        <v>0</v>
      </c>
      <c r="I568" s="23" t="n">
        <f aca="false">Test1_Hand!$B$4+H568*D568</f>
        <v>16</v>
      </c>
      <c r="J568" s="24" t="n">
        <f aca="false">Test1_Hand!$B$6*H568*D568+Test1_Hand!$B$7*MAX(0,I568-Test1_Hand!$B$5)+Test1_Hand!$B$14</f>
        <v>6000</v>
      </c>
    </row>
    <row r="569" customFormat="false" ht="15" hidden="false" customHeight="false" outlineLevel="0" collapsed="false">
      <c r="A569" s="2" t="n">
        <v>557</v>
      </c>
      <c r="B569" s="22" t="n">
        <v>0.63923146716155</v>
      </c>
      <c r="C569" s="22" t="n">
        <v>0.859412644143829</v>
      </c>
      <c r="D569" s="23" t="n">
        <f aca="false">BETAINV(C569,Test1_Hand!$B$21,Test1_Hand!$B$22,Test1_Hand!$B$9,Test1_Hand!$B$11)</f>
        <v>4.97675113283084</v>
      </c>
      <c r="E569" s="2" t="n">
        <f aca="false">IF(B569&lt;Test1_Hand!$B$12,1,0)</f>
        <v>0</v>
      </c>
      <c r="F569" s="23" t="n">
        <f aca="false">Test1_Hand!$B$4+E569*D569</f>
        <v>16</v>
      </c>
      <c r="G569" s="24" t="n">
        <f aca="false">Test1_Hand!$B$6*E569*D569+Test1_Hand!$B$7*MAX(0,F569-Test1_Hand!$B$5)</f>
        <v>0</v>
      </c>
      <c r="H569" s="2" t="n">
        <f aca="false">IF(B569&lt;Test1_Hand!$B$13,1,0)</f>
        <v>0</v>
      </c>
      <c r="I569" s="23" t="n">
        <f aca="false">Test1_Hand!$B$4+H569*D569</f>
        <v>16</v>
      </c>
      <c r="J569" s="24" t="n">
        <f aca="false">Test1_Hand!$B$6*H569*D569+Test1_Hand!$B$7*MAX(0,I569-Test1_Hand!$B$5)+Test1_Hand!$B$14</f>
        <v>6000</v>
      </c>
    </row>
    <row r="570" customFormat="false" ht="15" hidden="false" customHeight="false" outlineLevel="0" collapsed="false">
      <c r="A570" s="2" t="n">
        <v>558</v>
      </c>
      <c r="B570" s="22" t="n">
        <v>0.739160734340677</v>
      </c>
      <c r="C570" s="22" t="n">
        <v>0.884929898603172</v>
      </c>
      <c r="D570" s="23" t="n">
        <f aca="false">BETAINV(C570,Test1_Hand!$B$21,Test1_Hand!$B$22,Test1_Hand!$B$9,Test1_Hand!$B$11)</f>
        <v>5.15532511885235</v>
      </c>
      <c r="E570" s="2" t="n">
        <f aca="false">IF(B570&lt;Test1_Hand!$B$12,1,0)</f>
        <v>0</v>
      </c>
      <c r="F570" s="23" t="n">
        <f aca="false">Test1_Hand!$B$4+E570*D570</f>
        <v>16</v>
      </c>
      <c r="G570" s="24" t="n">
        <f aca="false">Test1_Hand!$B$6*E570*D570+Test1_Hand!$B$7*MAX(0,F570-Test1_Hand!$B$5)</f>
        <v>0</v>
      </c>
      <c r="H570" s="2" t="n">
        <f aca="false">IF(B570&lt;Test1_Hand!$B$13,1,0)</f>
        <v>0</v>
      </c>
      <c r="I570" s="23" t="n">
        <f aca="false">Test1_Hand!$B$4+H570*D570</f>
        <v>16</v>
      </c>
      <c r="J570" s="24" t="n">
        <f aca="false">Test1_Hand!$B$6*H570*D570+Test1_Hand!$B$7*MAX(0,I570-Test1_Hand!$B$5)+Test1_Hand!$B$14</f>
        <v>6000</v>
      </c>
    </row>
    <row r="571" customFormat="false" ht="15" hidden="false" customHeight="false" outlineLevel="0" collapsed="false">
      <c r="A571" s="2" t="n">
        <v>559</v>
      </c>
      <c r="B571" s="22" t="n">
        <v>0.88272621991692</v>
      </c>
      <c r="C571" s="22" t="n">
        <v>0.752639599432417</v>
      </c>
      <c r="D571" s="23" t="n">
        <f aca="false">BETAINV(C571,Test1_Hand!$B$21,Test1_Hand!$B$22,Test1_Hand!$B$9,Test1_Hand!$B$11)</f>
        <v>4.38739749233579</v>
      </c>
      <c r="E571" s="2" t="n">
        <f aca="false">IF(B571&lt;Test1_Hand!$B$12,1,0)</f>
        <v>0</v>
      </c>
      <c r="F571" s="23" t="n">
        <f aca="false">Test1_Hand!$B$4+E571*D571</f>
        <v>16</v>
      </c>
      <c r="G571" s="24" t="n">
        <f aca="false">Test1_Hand!$B$6*E571*D571+Test1_Hand!$B$7*MAX(0,F571-Test1_Hand!$B$5)</f>
        <v>0</v>
      </c>
      <c r="H571" s="2" t="n">
        <f aca="false">IF(B571&lt;Test1_Hand!$B$13,1,0)</f>
        <v>0</v>
      </c>
      <c r="I571" s="23" t="n">
        <f aca="false">Test1_Hand!$B$4+H571*D571</f>
        <v>16</v>
      </c>
      <c r="J571" s="24" t="n">
        <f aca="false">Test1_Hand!$B$6*H571*D571+Test1_Hand!$B$7*MAX(0,I571-Test1_Hand!$B$5)+Test1_Hand!$B$14</f>
        <v>6000</v>
      </c>
    </row>
    <row r="572" customFormat="false" ht="15" hidden="false" customHeight="false" outlineLevel="0" collapsed="false">
      <c r="A572" s="2" t="n">
        <v>560</v>
      </c>
      <c r="B572" s="22" t="n">
        <v>0.486307053656753</v>
      </c>
      <c r="C572" s="22" t="n">
        <v>0.218179321897218</v>
      </c>
      <c r="D572" s="23" t="n">
        <f aca="false">BETAINV(C572,Test1_Hand!$B$21,Test1_Hand!$B$22,Test1_Hand!$B$9,Test1_Hand!$B$11)</f>
        <v>2.39544011601232</v>
      </c>
      <c r="E572" s="2" t="n">
        <f aca="false">IF(B572&lt;Test1_Hand!$B$12,1,0)</f>
        <v>1</v>
      </c>
      <c r="F572" s="23" t="n">
        <f aca="false">Test1_Hand!$B$4+E572*D572</f>
        <v>18.3954401160123</v>
      </c>
      <c r="G572" s="24" t="n">
        <f aca="false">Test1_Hand!$B$6*E572*D572+Test1_Hand!$B$7*MAX(0,F572-Test1_Hand!$B$5)</f>
        <v>19163.5209280986</v>
      </c>
      <c r="H572" s="2" t="n">
        <f aca="false">IF(B572&lt;Test1_Hand!$B$13,1,0)</f>
        <v>0</v>
      </c>
      <c r="I572" s="23" t="n">
        <f aca="false">Test1_Hand!$B$4+H572*D572</f>
        <v>16</v>
      </c>
      <c r="J572" s="24" t="n">
        <f aca="false">Test1_Hand!$B$6*H572*D572+Test1_Hand!$B$7*MAX(0,I572-Test1_Hand!$B$5)+Test1_Hand!$B$14</f>
        <v>6000</v>
      </c>
    </row>
    <row r="573" customFormat="false" ht="15" hidden="false" customHeight="false" outlineLevel="0" collapsed="false">
      <c r="A573" s="2" t="n">
        <v>561</v>
      </c>
      <c r="B573" s="22" t="n">
        <v>0.0546814201675789</v>
      </c>
      <c r="C573" s="22" t="n">
        <v>0.384271329256601</v>
      </c>
      <c r="D573" s="23" t="n">
        <f aca="false">BETAINV(C573,Test1_Hand!$B$21,Test1_Hand!$B$22,Test1_Hand!$B$9,Test1_Hand!$B$11)</f>
        <v>2.98173285337023</v>
      </c>
      <c r="E573" s="2" t="n">
        <f aca="false">IF(B573&lt;Test1_Hand!$B$12,1,0)</f>
        <v>1</v>
      </c>
      <c r="F573" s="23" t="n">
        <f aca="false">Test1_Hand!$B$4+E573*D573</f>
        <v>18.9817328533702</v>
      </c>
      <c r="G573" s="24" t="n">
        <f aca="false">Test1_Hand!$B$6*E573*D573+Test1_Hand!$B$7*MAX(0,F573-Test1_Hand!$B$5)</f>
        <v>23853.8628269618</v>
      </c>
      <c r="H573" s="2" t="n">
        <f aca="false">IF(B573&lt;Test1_Hand!$B$13,1,0)</f>
        <v>1</v>
      </c>
      <c r="I573" s="23" t="n">
        <f aca="false">Test1_Hand!$B$4+H573*D573</f>
        <v>18.9817328533702</v>
      </c>
      <c r="J573" s="24" t="n">
        <f aca="false">Test1_Hand!$B$6*H573*D573+Test1_Hand!$B$7*MAX(0,I573-Test1_Hand!$B$5)+Test1_Hand!$B$14</f>
        <v>29853.8628269618</v>
      </c>
    </row>
    <row r="574" customFormat="false" ht="15" hidden="false" customHeight="false" outlineLevel="0" collapsed="false">
      <c r="A574" s="2" t="n">
        <v>562</v>
      </c>
      <c r="B574" s="22" t="n">
        <v>0.117319145153719</v>
      </c>
      <c r="C574" s="22" t="n">
        <v>0.116785256222032</v>
      </c>
      <c r="D574" s="23" t="n">
        <f aca="false">BETAINV(C574,Test1_Hand!$B$21,Test1_Hand!$B$22,Test1_Hand!$B$9,Test1_Hand!$B$11)</f>
        <v>1.98300700906823</v>
      </c>
      <c r="E574" s="2" t="n">
        <f aca="false">IF(B574&lt;Test1_Hand!$B$12,1,0)</f>
        <v>1</v>
      </c>
      <c r="F574" s="23" t="n">
        <f aca="false">Test1_Hand!$B$4+E574*D574</f>
        <v>17.9830070090682</v>
      </c>
      <c r="G574" s="24" t="n">
        <f aca="false">Test1_Hand!$B$6*E574*D574+Test1_Hand!$B$7*MAX(0,F574-Test1_Hand!$B$5)</f>
        <v>15864.0560725458</v>
      </c>
      <c r="H574" s="2" t="n">
        <f aca="false">IF(B574&lt;Test1_Hand!$B$13,1,0)</f>
        <v>1</v>
      </c>
      <c r="I574" s="23" t="n">
        <f aca="false">Test1_Hand!$B$4+H574*D574</f>
        <v>17.9830070090682</v>
      </c>
      <c r="J574" s="24" t="n">
        <f aca="false">Test1_Hand!$B$6*H574*D574+Test1_Hand!$B$7*MAX(0,I574-Test1_Hand!$B$5)+Test1_Hand!$B$14</f>
        <v>21864.0560725458</v>
      </c>
    </row>
    <row r="575" customFormat="false" ht="15" hidden="false" customHeight="false" outlineLevel="0" collapsed="false">
      <c r="A575" s="2" t="n">
        <v>563</v>
      </c>
      <c r="B575" s="22" t="n">
        <v>0.297774184043769</v>
      </c>
      <c r="C575" s="22" t="n">
        <v>0.341504884665319</v>
      </c>
      <c r="D575" s="23" t="n">
        <f aca="false">BETAINV(C575,Test1_Hand!$B$21,Test1_Hand!$B$22,Test1_Hand!$B$9,Test1_Hand!$B$11)</f>
        <v>2.83459181867234</v>
      </c>
      <c r="E575" s="2" t="n">
        <f aca="false">IF(B575&lt;Test1_Hand!$B$12,1,0)</f>
        <v>1</v>
      </c>
      <c r="F575" s="23" t="n">
        <f aca="false">Test1_Hand!$B$4+E575*D575</f>
        <v>18.8345918186723</v>
      </c>
      <c r="G575" s="24" t="n">
        <f aca="false">Test1_Hand!$B$6*E575*D575+Test1_Hand!$B$7*MAX(0,F575-Test1_Hand!$B$5)</f>
        <v>22676.7345493787</v>
      </c>
      <c r="H575" s="2" t="n">
        <f aca="false">IF(B575&lt;Test1_Hand!$B$13,1,0)</f>
        <v>0</v>
      </c>
      <c r="I575" s="23" t="n">
        <f aca="false">Test1_Hand!$B$4+H575*D575</f>
        <v>16</v>
      </c>
      <c r="J575" s="24" t="n">
        <f aca="false">Test1_Hand!$B$6*H575*D575+Test1_Hand!$B$7*MAX(0,I575-Test1_Hand!$B$5)+Test1_Hand!$B$14</f>
        <v>6000</v>
      </c>
    </row>
    <row r="576" customFormat="false" ht="15" hidden="false" customHeight="false" outlineLevel="0" collapsed="false">
      <c r="A576" s="2" t="n">
        <v>564</v>
      </c>
      <c r="B576" s="22" t="n">
        <v>0.9766428215659</v>
      </c>
      <c r="C576" s="22" t="n">
        <v>0.140765724978632</v>
      </c>
      <c r="D576" s="23" t="n">
        <f aca="false">BETAINV(C576,Test1_Hand!$B$21,Test1_Hand!$B$22,Test1_Hand!$B$9,Test1_Hand!$B$11)</f>
        <v>2.08856758641247</v>
      </c>
      <c r="E576" s="2" t="n">
        <f aca="false">IF(B576&lt;Test1_Hand!$B$12,1,0)</f>
        <v>0</v>
      </c>
      <c r="F576" s="23" t="n">
        <f aca="false">Test1_Hand!$B$4+E576*D576</f>
        <v>16</v>
      </c>
      <c r="G576" s="24" t="n">
        <f aca="false">Test1_Hand!$B$6*E576*D576+Test1_Hand!$B$7*MAX(0,F576-Test1_Hand!$B$5)</f>
        <v>0</v>
      </c>
      <c r="H576" s="2" t="n">
        <f aca="false">IF(B576&lt;Test1_Hand!$B$13,1,0)</f>
        <v>0</v>
      </c>
      <c r="I576" s="23" t="n">
        <f aca="false">Test1_Hand!$B$4+H576*D576</f>
        <v>16</v>
      </c>
      <c r="J576" s="24" t="n">
        <f aca="false">Test1_Hand!$B$6*H576*D576+Test1_Hand!$B$7*MAX(0,I576-Test1_Hand!$B$5)+Test1_Hand!$B$14</f>
        <v>6000</v>
      </c>
    </row>
    <row r="577" customFormat="false" ht="15" hidden="false" customHeight="false" outlineLevel="0" collapsed="false">
      <c r="A577" s="2" t="n">
        <v>565</v>
      </c>
      <c r="B577" s="22" t="n">
        <v>0.622153174786529</v>
      </c>
      <c r="C577" s="22" t="n">
        <v>0.0306156159355385</v>
      </c>
      <c r="D577" s="23" t="n">
        <f aca="false">BETAINV(C577,Test1_Hand!$B$21,Test1_Hand!$B$22,Test1_Hand!$B$9,Test1_Hand!$B$11)</f>
        <v>1.49192133223494</v>
      </c>
      <c r="E577" s="2" t="n">
        <f aca="false">IF(B577&lt;Test1_Hand!$B$12,1,0)</f>
        <v>0</v>
      </c>
      <c r="F577" s="23" t="n">
        <f aca="false">Test1_Hand!$B$4+E577*D577</f>
        <v>16</v>
      </c>
      <c r="G577" s="24" t="n">
        <f aca="false">Test1_Hand!$B$6*E577*D577+Test1_Hand!$B$7*MAX(0,F577-Test1_Hand!$B$5)</f>
        <v>0</v>
      </c>
      <c r="H577" s="2" t="n">
        <f aca="false">IF(B577&lt;Test1_Hand!$B$13,1,0)</f>
        <v>0</v>
      </c>
      <c r="I577" s="23" t="n">
        <f aca="false">Test1_Hand!$B$4+H577*D577</f>
        <v>16</v>
      </c>
      <c r="J577" s="24" t="n">
        <f aca="false">Test1_Hand!$B$6*H577*D577+Test1_Hand!$B$7*MAX(0,I577-Test1_Hand!$B$5)+Test1_Hand!$B$14</f>
        <v>6000</v>
      </c>
    </row>
    <row r="578" customFormat="false" ht="15" hidden="false" customHeight="false" outlineLevel="0" collapsed="false">
      <c r="A578" s="2" t="n">
        <v>566</v>
      </c>
      <c r="B578" s="22" t="n">
        <v>0.843917774993267</v>
      </c>
      <c r="C578" s="22" t="n">
        <v>0.109263881821636</v>
      </c>
      <c r="D578" s="23" t="n">
        <f aca="false">BETAINV(C578,Test1_Hand!$B$21,Test1_Hand!$B$22,Test1_Hand!$B$9,Test1_Hand!$B$11)</f>
        <v>1.94832570421114</v>
      </c>
      <c r="E578" s="2" t="n">
        <f aca="false">IF(B578&lt;Test1_Hand!$B$12,1,0)</f>
        <v>0</v>
      </c>
      <c r="F578" s="23" t="n">
        <f aca="false">Test1_Hand!$B$4+E578*D578</f>
        <v>16</v>
      </c>
      <c r="G578" s="24" t="n">
        <f aca="false">Test1_Hand!$B$6*E578*D578+Test1_Hand!$B$7*MAX(0,F578-Test1_Hand!$B$5)</f>
        <v>0</v>
      </c>
      <c r="H578" s="2" t="n">
        <f aca="false">IF(B578&lt;Test1_Hand!$B$13,1,0)</f>
        <v>0</v>
      </c>
      <c r="I578" s="23" t="n">
        <f aca="false">Test1_Hand!$B$4+H578*D578</f>
        <v>16</v>
      </c>
      <c r="J578" s="24" t="n">
        <f aca="false">Test1_Hand!$B$6*H578*D578+Test1_Hand!$B$7*MAX(0,I578-Test1_Hand!$B$5)+Test1_Hand!$B$14</f>
        <v>6000</v>
      </c>
    </row>
    <row r="579" customFormat="false" ht="15" hidden="false" customHeight="false" outlineLevel="0" collapsed="false">
      <c r="A579" s="2" t="n">
        <v>567</v>
      </c>
      <c r="B579" s="22" t="n">
        <v>0.388770632910301</v>
      </c>
      <c r="C579" s="22" t="n">
        <v>0.491698091669227</v>
      </c>
      <c r="D579" s="23" t="n">
        <f aca="false">BETAINV(C579,Test1_Hand!$B$21,Test1_Hand!$B$22,Test1_Hand!$B$9,Test1_Hand!$B$11)</f>
        <v>3.35335176951729</v>
      </c>
      <c r="E579" s="2" t="n">
        <f aca="false">IF(B579&lt;Test1_Hand!$B$12,1,0)</f>
        <v>1</v>
      </c>
      <c r="F579" s="23" t="n">
        <f aca="false">Test1_Hand!$B$4+E579*D579</f>
        <v>19.3533517695173</v>
      </c>
      <c r="G579" s="24" t="n">
        <f aca="false">Test1_Hand!$B$6*E579*D579+Test1_Hand!$B$7*MAX(0,F579-Test1_Hand!$B$5)</f>
        <v>26826.8141561383</v>
      </c>
      <c r="H579" s="2" t="n">
        <f aca="false">IF(B579&lt;Test1_Hand!$B$13,1,0)</f>
        <v>0</v>
      </c>
      <c r="I579" s="23" t="n">
        <f aca="false">Test1_Hand!$B$4+H579*D579</f>
        <v>16</v>
      </c>
      <c r="J579" s="24" t="n">
        <f aca="false">Test1_Hand!$B$6*H579*D579+Test1_Hand!$B$7*MAX(0,I579-Test1_Hand!$B$5)+Test1_Hand!$B$14</f>
        <v>6000</v>
      </c>
    </row>
    <row r="580" customFormat="false" ht="15" hidden="false" customHeight="false" outlineLevel="0" collapsed="false">
      <c r="A580" s="2" t="n">
        <v>568</v>
      </c>
      <c r="B580" s="22" t="n">
        <v>0.791703610589964</v>
      </c>
      <c r="C580" s="22" t="n">
        <v>0.478744680999422</v>
      </c>
      <c r="D580" s="23" t="n">
        <f aca="false">BETAINV(C580,Test1_Hand!$B$21,Test1_Hand!$B$22,Test1_Hand!$B$9,Test1_Hand!$B$11)</f>
        <v>3.3079501649128</v>
      </c>
      <c r="E580" s="2" t="n">
        <f aca="false">IF(B580&lt;Test1_Hand!$B$12,1,0)</f>
        <v>0</v>
      </c>
      <c r="F580" s="23" t="n">
        <f aca="false">Test1_Hand!$B$4+E580*D580</f>
        <v>16</v>
      </c>
      <c r="G580" s="24" t="n">
        <f aca="false">Test1_Hand!$B$6*E580*D580+Test1_Hand!$B$7*MAX(0,F580-Test1_Hand!$B$5)</f>
        <v>0</v>
      </c>
      <c r="H580" s="2" t="n">
        <f aca="false">IF(B580&lt;Test1_Hand!$B$13,1,0)</f>
        <v>0</v>
      </c>
      <c r="I580" s="23" t="n">
        <f aca="false">Test1_Hand!$B$4+H580*D580</f>
        <v>16</v>
      </c>
      <c r="J580" s="24" t="n">
        <f aca="false">Test1_Hand!$B$6*H580*D580+Test1_Hand!$B$7*MAX(0,I580-Test1_Hand!$B$5)+Test1_Hand!$B$14</f>
        <v>6000</v>
      </c>
    </row>
    <row r="581" customFormat="false" ht="15" hidden="false" customHeight="false" outlineLevel="0" collapsed="false">
      <c r="A581" s="2" t="n">
        <v>569</v>
      </c>
      <c r="B581" s="22" t="n">
        <v>0.275625749846151</v>
      </c>
      <c r="C581" s="22" t="n">
        <v>0.79699704804261</v>
      </c>
      <c r="D581" s="23" t="n">
        <f aca="false">BETAINV(C581,Test1_Hand!$B$21,Test1_Hand!$B$22,Test1_Hand!$B$9,Test1_Hand!$B$11)</f>
        <v>4.60987830194642</v>
      </c>
      <c r="E581" s="2" t="n">
        <f aca="false">IF(B581&lt;Test1_Hand!$B$12,1,0)</f>
        <v>1</v>
      </c>
      <c r="F581" s="23" t="n">
        <f aca="false">Test1_Hand!$B$4+E581*D581</f>
        <v>20.6098783019464</v>
      </c>
      <c r="G581" s="24" t="n">
        <f aca="false">Test1_Hand!$B$6*E581*D581+Test1_Hand!$B$7*MAX(0,F581-Test1_Hand!$B$5)</f>
        <v>39928.4179253035</v>
      </c>
      <c r="H581" s="2" t="n">
        <f aca="false">IF(B581&lt;Test1_Hand!$B$13,1,0)</f>
        <v>0</v>
      </c>
      <c r="I581" s="23" t="n">
        <f aca="false">Test1_Hand!$B$4+H581*D581</f>
        <v>16</v>
      </c>
      <c r="J581" s="24" t="n">
        <f aca="false">Test1_Hand!$B$6*H581*D581+Test1_Hand!$B$7*MAX(0,I581-Test1_Hand!$B$5)+Test1_Hand!$B$14</f>
        <v>6000</v>
      </c>
    </row>
    <row r="582" customFormat="false" ht="15" hidden="false" customHeight="false" outlineLevel="0" collapsed="false">
      <c r="A582" s="2" t="n">
        <v>570</v>
      </c>
      <c r="B582" s="22" t="n">
        <v>0.200521528768068</v>
      </c>
      <c r="C582" s="22" t="n">
        <v>0.965402178369808</v>
      </c>
      <c r="D582" s="23" t="n">
        <f aca="false">BETAINV(C582,Test1_Hand!$B$21,Test1_Hand!$B$22,Test1_Hand!$B$9,Test1_Hand!$B$11)</f>
        <v>5.9963695976148</v>
      </c>
      <c r="E582" s="2" t="n">
        <f aca="false">IF(B582&lt;Test1_Hand!$B$12,1,0)</f>
        <v>1</v>
      </c>
      <c r="F582" s="23" t="n">
        <f aca="false">Test1_Hand!$B$4+E582*D582</f>
        <v>21.9963695976148</v>
      </c>
      <c r="G582" s="24" t="n">
        <f aca="false">Test1_Hand!$B$6*E582*D582+Test1_Hand!$B$7*MAX(0,F582-Test1_Hand!$B$5)</f>
        <v>57952.8047689924</v>
      </c>
      <c r="H582" s="2" t="n">
        <f aca="false">IF(B582&lt;Test1_Hand!$B$13,1,0)</f>
        <v>0</v>
      </c>
      <c r="I582" s="23" t="n">
        <f aca="false">Test1_Hand!$B$4+H582*D582</f>
        <v>16</v>
      </c>
      <c r="J582" s="24" t="n">
        <f aca="false">Test1_Hand!$B$6*H582*D582+Test1_Hand!$B$7*MAX(0,I582-Test1_Hand!$B$5)+Test1_Hand!$B$14</f>
        <v>6000</v>
      </c>
    </row>
    <row r="583" customFormat="false" ht="15" hidden="false" customHeight="false" outlineLevel="0" collapsed="false">
      <c r="A583" s="2" t="n">
        <v>571</v>
      </c>
      <c r="B583" s="22" t="n">
        <v>0.648087570433051</v>
      </c>
      <c r="C583" s="22" t="n">
        <v>0.0246330022632777</v>
      </c>
      <c r="D583" s="23" t="n">
        <f aca="false">BETAINV(C583,Test1_Hand!$B$21,Test1_Hand!$B$22,Test1_Hand!$B$9,Test1_Hand!$B$11)</f>
        <v>1.44144764684012</v>
      </c>
      <c r="E583" s="2" t="n">
        <f aca="false">IF(B583&lt;Test1_Hand!$B$12,1,0)</f>
        <v>0</v>
      </c>
      <c r="F583" s="23" t="n">
        <f aca="false">Test1_Hand!$B$4+E583*D583</f>
        <v>16</v>
      </c>
      <c r="G583" s="24" t="n">
        <f aca="false">Test1_Hand!$B$6*E583*D583+Test1_Hand!$B$7*MAX(0,F583-Test1_Hand!$B$5)</f>
        <v>0</v>
      </c>
      <c r="H583" s="2" t="n">
        <f aca="false">IF(B583&lt;Test1_Hand!$B$13,1,0)</f>
        <v>0</v>
      </c>
      <c r="I583" s="23" t="n">
        <f aca="false">Test1_Hand!$B$4+H583*D583</f>
        <v>16</v>
      </c>
      <c r="J583" s="24" t="n">
        <f aca="false">Test1_Hand!$B$6*H583*D583+Test1_Hand!$B$7*MAX(0,I583-Test1_Hand!$B$5)+Test1_Hand!$B$14</f>
        <v>6000</v>
      </c>
    </row>
    <row r="584" customFormat="false" ht="15" hidden="false" customHeight="false" outlineLevel="0" collapsed="false">
      <c r="A584" s="2" t="n">
        <v>572</v>
      </c>
      <c r="B584" s="22" t="n">
        <v>0.958559494940588</v>
      </c>
      <c r="C584" s="22" t="n">
        <v>0.863160973767974</v>
      </c>
      <c r="D584" s="23" t="n">
        <f aca="false">BETAINV(C584,Test1_Hand!$B$21,Test1_Hand!$B$22,Test1_Hand!$B$9,Test1_Hand!$B$11)</f>
        <v>5.00165453102888</v>
      </c>
      <c r="E584" s="2" t="n">
        <f aca="false">IF(B584&lt;Test1_Hand!$B$12,1,0)</f>
        <v>0</v>
      </c>
      <c r="F584" s="23" t="n">
        <f aca="false">Test1_Hand!$B$4+E584*D584</f>
        <v>16</v>
      </c>
      <c r="G584" s="24" t="n">
        <f aca="false">Test1_Hand!$B$6*E584*D584+Test1_Hand!$B$7*MAX(0,F584-Test1_Hand!$B$5)</f>
        <v>0</v>
      </c>
      <c r="H584" s="2" t="n">
        <f aca="false">IF(B584&lt;Test1_Hand!$B$13,1,0)</f>
        <v>0</v>
      </c>
      <c r="I584" s="23" t="n">
        <f aca="false">Test1_Hand!$B$4+H584*D584</f>
        <v>16</v>
      </c>
      <c r="J584" s="24" t="n">
        <f aca="false">Test1_Hand!$B$6*H584*D584+Test1_Hand!$B$7*MAX(0,I584-Test1_Hand!$B$5)+Test1_Hand!$B$14</f>
        <v>6000</v>
      </c>
    </row>
    <row r="585" customFormat="false" ht="15" hidden="false" customHeight="false" outlineLevel="0" collapsed="false">
      <c r="A585" s="2" t="n">
        <v>573</v>
      </c>
      <c r="B585" s="22" t="n">
        <v>0.202692757728772</v>
      </c>
      <c r="C585" s="22" t="n">
        <v>0.980817516243497</v>
      </c>
      <c r="D585" s="23" t="n">
        <f aca="false">BETAINV(C585,Test1_Hand!$B$21,Test1_Hand!$B$22,Test1_Hand!$B$9,Test1_Hand!$B$11)</f>
        <v>6.30269091114353</v>
      </c>
      <c r="E585" s="2" t="n">
        <f aca="false">IF(B585&lt;Test1_Hand!$B$12,1,0)</f>
        <v>1</v>
      </c>
      <c r="F585" s="23" t="n">
        <f aca="false">Test1_Hand!$B$4+E585*D585</f>
        <v>22.3026909111435</v>
      </c>
      <c r="G585" s="24" t="n">
        <f aca="false">Test1_Hand!$B$6*E585*D585+Test1_Hand!$B$7*MAX(0,F585-Test1_Hand!$B$5)</f>
        <v>61934.9818448658</v>
      </c>
      <c r="H585" s="2" t="n">
        <f aca="false">IF(B585&lt;Test1_Hand!$B$13,1,0)</f>
        <v>0</v>
      </c>
      <c r="I585" s="23" t="n">
        <f aca="false">Test1_Hand!$B$4+H585*D585</f>
        <v>16</v>
      </c>
      <c r="J585" s="24" t="n">
        <f aca="false">Test1_Hand!$B$6*H585*D585+Test1_Hand!$B$7*MAX(0,I585-Test1_Hand!$B$5)+Test1_Hand!$B$14</f>
        <v>6000</v>
      </c>
    </row>
    <row r="586" customFormat="false" ht="15" hidden="false" customHeight="false" outlineLevel="0" collapsed="false">
      <c r="A586" s="2" t="n">
        <v>574</v>
      </c>
      <c r="B586" s="22" t="n">
        <v>0.420312163379656</v>
      </c>
      <c r="C586" s="22" t="n">
        <v>0.97778334647907</v>
      </c>
      <c r="D586" s="23" t="n">
        <f aca="false">BETAINV(C586,Test1_Hand!$B$21,Test1_Hand!$B$22,Test1_Hand!$B$9,Test1_Hand!$B$11)</f>
        <v>6.23158380739805</v>
      </c>
      <c r="E586" s="2" t="n">
        <f aca="false">IF(B586&lt;Test1_Hand!$B$12,1,0)</f>
        <v>1</v>
      </c>
      <c r="F586" s="23" t="n">
        <f aca="false">Test1_Hand!$B$4+E586*D586</f>
        <v>22.231583807398</v>
      </c>
      <c r="G586" s="24" t="n">
        <f aca="false">Test1_Hand!$B$6*E586*D586+Test1_Hand!$B$7*MAX(0,F586-Test1_Hand!$B$5)</f>
        <v>61010.5894961746</v>
      </c>
      <c r="H586" s="2" t="n">
        <f aca="false">IF(B586&lt;Test1_Hand!$B$13,1,0)</f>
        <v>0</v>
      </c>
      <c r="I586" s="23" t="n">
        <f aca="false">Test1_Hand!$B$4+H586*D586</f>
        <v>16</v>
      </c>
      <c r="J586" s="24" t="n">
        <f aca="false">Test1_Hand!$B$6*H586*D586+Test1_Hand!$B$7*MAX(0,I586-Test1_Hand!$B$5)+Test1_Hand!$B$14</f>
        <v>6000</v>
      </c>
    </row>
    <row r="587" customFormat="false" ht="15" hidden="false" customHeight="false" outlineLevel="0" collapsed="false">
      <c r="A587" s="2" t="n">
        <v>575</v>
      </c>
      <c r="B587" s="22" t="n">
        <v>0.51562409335239</v>
      </c>
      <c r="C587" s="22" t="n">
        <v>0.406394345414145</v>
      </c>
      <c r="D587" s="23" t="n">
        <f aca="false">BETAINV(C587,Test1_Hand!$B$21,Test1_Hand!$B$22,Test1_Hand!$B$9,Test1_Hand!$B$11)</f>
        <v>3.0577020720468</v>
      </c>
      <c r="E587" s="2" t="n">
        <f aca="false">IF(B587&lt;Test1_Hand!$B$12,1,0)</f>
        <v>0</v>
      </c>
      <c r="F587" s="23" t="n">
        <f aca="false">Test1_Hand!$B$4+E587*D587</f>
        <v>16</v>
      </c>
      <c r="G587" s="24" t="n">
        <f aca="false">Test1_Hand!$B$6*E587*D587+Test1_Hand!$B$7*MAX(0,F587-Test1_Hand!$B$5)</f>
        <v>0</v>
      </c>
      <c r="H587" s="2" t="n">
        <f aca="false">IF(B587&lt;Test1_Hand!$B$13,1,0)</f>
        <v>0</v>
      </c>
      <c r="I587" s="23" t="n">
        <f aca="false">Test1_Hand!$B$4+H587*D587</f>
        <v>16</v>
      </c>
      <c r="J587" s="24" t="n">
        <f aca="false">Test1_Hand!$B$6*H587*D587+Test1_Hand!$B$7*MAX(0,I587-Test1_Hand!$B$5)+Test1_Hand!$B$14</f>
        <v>6000</v>
      </c>
    </row>
    <row r="588" customFormat="false" ht="15" hidden="false" customHeight="false" outlineLevel="0" collapsed="false">
      <c r="A588" s="2" t="n">
        <v>576</v>
      </c>
      <c r="B588" s="22" t="n">
        <v>0.370697561823869</v>
      </c>
      <c r="C588" s="22" t="n">
        <v>0.743062387076228</v>
      </c>
      <c r="D588" s="23" t="n">
        <f aca="false">BETAINV(C588,Test1_Hand!$B$21,Test1_Hand!$B$22,Test1_Hand!$B$9,Test1_Hand!$B$11)</f>
        <v>4.34228336816194</v>
      </c>
      <c r="E588" s="2" t="n">
        <f aca="false">IF(B588&lt;Test1_Hand!$B$12,1,0)</f>
        <v>1</v>
      </c>
      <c r="F588" s="23" t="n">
        <f aca="false">Test1_Hand!$B$4+E588*D588</f>
        <v>20.3422833681619</v>
      </c>
      <c r="G588" s="24" t="n">
        <f aca="false">Test1_Hand!$B$6*E588*D588+Test1_Hand!$B$7*MAX(0,F588-Test1_Hand!$B$5)</f>
        <v>36449.6837861052</v>
      </c>
      <c r="H588" s="2" t="n">
        <f aca="false">IF(B588&lt;Test1_Hand!$B$13,1,0)</f>
        <v>0</v>
      </c>
      <c r="I588" s="23" t="n">
        <f aca="false">Test1_Hand!$B$4+H588*D588</f>
        <v>16</v>
      </c>
      <c r="J588" s="24" t="n">
        <f aca="false">Test1_Hand!$B$6*H588*D588+Test1_Hand!$B$7*MAX(0,I588-Test1_Hand!$B$5)+Test1_Hand!$B$14</f>
        <v>6000</v>
      </c>
    </row>
    <row r="589" customFormat="false" ht="15" hidden="false" customHeight="false" outlineLevel="0" collapsed="false">
      <c r="A589" s="2" t="n">
        <v>577</v>
      </c>
      <c r="B589" s="22" t="n">
        <v>0.769631458253518</v>
      </c>
      <c r="C589" s="22" t="n">
        <v>0.818821605465809</v>
      </c>
      <c r="D589" s="23" t="n">
        <f aca="false">BETAINV(C589,Test1_Hand!$B$21,Test1_Hand!$B$22,Test1_Hand!$B$9,Test1_Hand!$B$11)</f>
        <v>4.72945798733143</v>
      </c>
      <c r="E589" s="2" t="n">
        <f aca="false">IF(B589&lt;Test1_Hand!$B$12,1,0)</f>
        <v>0</v>
      </c>
      <c r="F589" s="23" t="n">
        <f aca="false">Test1_Hand!$B$4+E589*D589</f>
        <v>16</v>
      </c>
      <c r="G589" s="24" t="n">
        <f aca="false">Test1_Hand!$B$6*E589*D589+Test1_Hand!$B$7*MAX(0,F589-Test1_Hand!$B$5)</f>
        <v>0</v>
      </c>
      <c r="H589" s="2" t="n">
        <f aca="false">IF(B589&lt;Test1_Hand!$B$13,1,0)</f>
        <v>0</v>
      </c>
      <c r="I589" s="23" t="n">
        <f aca="false">Test1_Hand!$B$4+H589*D589</f>
        <v>16</v>
      </c>
      <c r="J589" s="24" t="n">
        <f aca="false">Test1_Hand!$B$6*H589*D589+Test1_Hand!$B$7*MAX(0,I589-Test1_Hand!$B$5)+Test1_Hand!$B$14</f>
        <v>6000</v>
      </c>
    </row>
    <row r="590" customFormat="false" ht="15" hidden="false" customHeight="false" outlineLevel="0" collapsed="false">
      <c r="A590" s="2" t="n">
        <v>578</v>
      </c>
      <c r="B590" s="22" t="n">
        <v>0.770852470891129</v>
      </c>
      <c r="C590" s="22" t="n">
        <v>0.147074599533715</v>
      </c>
      <c r="D590" s="23" t="n">
        <f aca="false">BETAINV(C590,Test1_Hand!$B$21,Test1_Hand!$B$22,Test1_Hand!$B$9,Test1_Hand!$B$11)</f>
        <v>2.11527114785903</v>
      </c>
      <c r="E590" s="2" t="n">
        <f aca="false">IF(B590&lt;Test1_Hand!$B$12,1,0)</f>
        <v>0</v>
      </c>
      <c r="F590" s="23" t="n">
        <f aca="false">Test1_Hand!$B$4+E590*D590</f>
        <v>16</v>
      </c>
      <c r="G590" s="24" t="n">
        <f aca="false">Test1_Hand!$B$6*E590*D590+Test1_Hand!$B$7*MAX(0,F590-Test1_Hand!$B$5)</f>
        <v>0</v>
      </c>
      <c r="H590" s="2" t="n">
        <f aca="false">IF(B590&lt;Test1_Hand!$B$13,1,0)</f>
        <v>0</v>
      </c>
      <c r="I590" s="23" t="n">
        <f aca="false">Test1_Hand!$B$4+H590*D590</f>
        <v>16</v>
      </c>
      <c r="J590" s="24" t="n">
        <f aca="false">Test1_Hand!$B$6*H590*D590+Test1_Hand!$B$7*MAX(0,I590-Test1_Hand!$B$5)+Test1_Hand!$B$14</f>
        <v>6000</v>
      </c>
    </row>
    <row r="591" customFormat="false" ht="15" hidden="false" customHeight="false" outlineLevel="0" collapsed="false">
      <c r="A591" s="2" t="n">
        <v>579</v>
      </c>
      <c r="B591" s="22" t="n">
        <v>0.0518468794108843</v>
      </c>
      <c r="C591" s="22" t="n">
        <v>0.301240295933019</v>
      </c>
      <c r="D591" s="23" t="n">
        <f aca="false">BETAINV(C591,Test1_Hand!$B$21,Test1_Hand!$B$22,Test1_Hand!$B$9,Test1_Hand!$B$11)</f>
        <v>2.69467465719839</v>
      </c>
      <c r="E591" s="2" t="n">
        <f aca="false">IF(B591&lt;Test1_Hand!$B$12,1,0)</f>
        <v>1</v>
      </c>
      <c r="F591" s="23" t="n">
        <f aca="false">Test1_Hand!$B$4+E591*D591</f>
        <v>18.6946746571984</v>
      </c>
      <c r="G591" s="24" t="n">
        <f aca="false">Test1_Hand!$B$6*E591*D591+Test1_Hand!$B$7*MAX(0,F591-Test1_Hand!$B$5)</f>
        <v>21557.3972575871</v>
      </c>
      <c r="H591" s="2" t="n">
        <f aca="false">IF(B591&lt;Test1_Hand!$B$13,1,0)</f>
        <v>1</v>
      </c>
      <c r="I591" s="23" t="n">
        <f aca="false">Test1_Hand!$B$4+H591*D591</f>
        <v>18.6946746571984</v>
      </c>
      <c r="J591" s="24" t="n">
        <f aca="false">Test1_Hand!$B$6*H591*D591+Test1_Hand!$B$7*MAX(0,I591-Test1_Hand!$B$5)+Test1_Hand!$B$14</f>
        <v>27557.3972575871</v>
      </c>
    </row>
    <row r="592" customFormat="false" ht="15" hidden="false" customHeight="false" outlineLevel="0" collapsed="false">
      <c r="A592" s="2" t="n">
        <v>580</v>
      </c>
      <c r="B592" s="22" t="n">
        <v>0.330651541331451</v>
      </c>
      <c r="C592" s="22" t="n">
        <v>0.387843364906395</v>
      </c>
      <c r="D592" s="23" t="n">
        <f aca="false">BETAINV(C592,Test1_Hand!$B$21,Test1_Hand!$B$22,Test1_Hand!$B$9,Test1_Hand!$B$11)</f>
        <v>2.99399730415724</v>
      </c>
      <c r="E592" s="2" t="n">
        <f aca="false">IF(B592&lt;Test1_Hand!$B$12,1,0)</f>
        <v>1</v>
      </c>
      <c r="F592" s="23" t="n">
        <f aca="false">Test1_Hand!$B$4+E592*D592</f>
        <v>18.9939973041572</v>
      </c>
      <c r="G592" s="24" t="n">
        <f aca="false">Test1_Hand!$B$6*E592*D592+Test1_Hand!$B$7*MAX(0,F592-Test1_Hand!$B$5)</f>
        <v>23951.9784332579</v>
      </c>
      <c r="H592" s="2" t="n">
        <f aca="false">IF(B592&lt;Test1_Hand!$B$13,1,0)</f>
        <v>0</v>
      </c>
      <c r="I592" s="23" t="n">
        <f aca="false">Test1_Hand!$B$4+H592*D592</f>
        <v>16</v>
      </c>
      <c r="J592" s="24" t="n">
        <f aca="false">Test1_Hand!$B$6*H592*D592+Test1_Hand!$B$7*MAX(0,I592-Test1_Hand!$B$5)+Test1_Hand!$B$14</f>
        <v>6000</v>
      </c>
    </row>
    <row r="593" customFormat="false" ht="15" hidden="false" customHeight="false" outlineLevel="0" collapsed="false">
      <c r="A593" s="2" t="n">
        <v>581</v>
      </c>
      <c r="B593" s="22" t="n">
        <v>0.569366900898833</v>
      </c>
      <c r="C593" s="22" t="n">
        <v>0.273695571142723</v>
      </c>
      <c r="D593" s="23" t="n">
        <f aca="false">BETAINV(C593,Test1_Hand!$B$21,Test1_Hand!$B$22,Test1_Hand!$B$9,Test1_Hand!$B$11)</f>
        <v>2.59748030344714</v>
      </c>
      <c r="E593" s="2" t="n">
        <f aca="false">IF(B593&lt;Test1_Hand!$B$12,1,0)</f>
        <v>0</v>
      </c>
      <c r="F593" s="23" t="n">
        <f aca="false">Test1_Hand!$B$4+E593*D593</f>
        <v>16</v>
      </c>
      <c r="G593" s="24" t="n">
        <f aca="false">Test1_Hand!$B$6*E593*D593+Test1_Hand!$B$7*MAX(0,F593-Test1_Hand!$B$5)</f>
        <v>0</v>
      </c>
      <c r="H593" s="2" t="n">
        <f aca="false">IF(B593&lt;Test1_Hand!$B$13,1,0)</f>
        <v>0</v>
      </c>
      <c r="I593" s="23" t="n">
        <f aca="false">Test1_Hand!$B$4+H593*D593</f>
        <v>16</v>
      </c>
      <c r="J593" s="24" t="n">
        <f aca="false">Test1_Hand!$B$6*H593*D593+Test1_Hand!$B$7*MAX(0,I593-Test1_Hand!$B$5)+Test1_Hand!$B$14</f>
        <v>6000</v>
      </c>
    </row>
    <row r="594" customFormat="false" ht="15" hidden="false" customHeight="false" outlineLevel="0" collapsed="false">
      <c r="A594" s="2" t="n">
        <v>582</v>
      </c>
      <c r="B594" s="22" t="n">
        <v>0.975717046771649</v>
      </c>
      <c r="C594" s="22" t="n">
        <v>0.377623672767119</v>
      </c>
      <c r="D594" s="23" t="n">
        <f aca="false">BETAINV(C594,Test1_Hand!$B$21,Test1_Hand!$B$22,Test1_Hand!$B$9,Test1_Hand!$B$11)</f>
        <v>2.95890485714563</v>
      </c>
      <c r="E594" s="2" t="n">
        <f aca="false">IF(B594&lt;Test1_Hand!$B$12,1,0)</f>
        <v>0</v>
      </c>
      <c r="F594" s="23" t="n">
        <f aca="false">Test1_Hand!$B$4+E594*D594</f>
        <v>16</v>
      </c>
      <c r="G594" s="24" t="n">
        <f aca="false">Test1_Hand!$B$6*E594*D594+Test1_Hand!$B$7*MAX(0,F594-Test1_Hand!$B$5)</f>
        <v>0</v>
      </c>
      <c r="H594" s="2" t="n">
        <f aca="false">IF(B594&lt;Test1_Hand!$B$13,1,0)</f>
        <v>0</v>
      </c>
      <c r="I594" s="23" t="n">
        <f aca="false">Test1_Hand!$B$4+H594*D594</f>
        <v>16</v>
      </c>
      <c r="J594" s="24" t="n">
        <f aca="false">Test1_Hand!$B$6*H594*D594+Test1_Hand!$B$7*MAX(0,I594-Test1_Hand!$B$5)+Test1_Hand!$B$14</f>
        <v>6000</v>
      </c>
    </row>
    <row r="595" customFormat="false" ht="15" hidden="false" customHeight="false" outlineLevel="0" collapsed="false">
      <c r="A595" s="2" t="n">
        <v>583</v>
      </c>
      <c r="B595" s="22" t="n">
        <v>0.216128348305824</v>
      </c>
      <c r="C595" s="22" t="n">
        <v>0.399625545426535</v>
      </c>
      <c r="D595" s="23" t="n">
        <f aca="false">BETAINV(C595,Test1_Hand!$B$21,Test1_Hand!$B$22,Test1_Hand!$B$9,Test1_Hand!$B$11)</f>
        <v>3.03445241038599</v>
      </c>
      <c r="E595" s="2" t="n">
        <f aca="false">IF(B595&lt;Test1_Hand!$B$12,1,0)</f>
        <v>1</v>
      </c>
      <c r="F595" s="23" t="n">
        <f aca="false">Test1_Hand!$B$4+E595*D595</f>
        <v>19.034452410386</v>
      </c>
      <c r="G595" s="24" t="n">
        <f aca="false">Test1_Hand!$B$6*E595*D595+Test1_Hand!$B$7*MAX(0,F595-Test1_Hand!$B$5)</f>
        <v>24275.6192830879</v>
      </c>
      <c r="H595" s="2" t="n">
        <f aca="false">IF(B595&lt;Test1_Hand!$B$13,1,0)</f>
        <v>0</v>
      </c>
      <c r="I595" s="23" t="n">
        <f aca="false">Test1_Hand!$B$4+H595*D595</f>
        <v>16</v>
      </c>
      <c r="J595" s="24" t="n">
        <f aca="false">Test1_Hand!$B$6*H595*D595+Test1_Hand!$B$7*MAX(0,I595-Test1_Hand!$B$5)+Test1_Hand!$B$14</f>
        <v>6000</v>
      </c>
    </row>
    <row r="596" customFormat="false" ht="15" hidden="false" customHeight="false" outlineLevel="0" collapsed="false">
      <c r="A596" s="2" t="n">
        <v>584</v>
      </c>
      <c r="B596" s="22" t="n">
        <v>0.448003461840297</v>
      </c>
      <c r="C596" s="22" t="n">
        <v>0.548950948362971</v>
      </c>
      <c r="D596" s="23" t="n">
        <f aca="false">BETAINV(C596,Test1_Hand!$B$21,Test1_Hand!$B$22,Test1_Hand!$B$9,Test1_Hand!$B$11)</f>
        <v>3.55772859184525</v>
      </c>
      <c r="E596" s="2" t="n">
        <f aca="false">IF(B596&lt;Test1_Hand!$B$12,1,0)</f>
        <v>1</v>
      </c>
      <c r="F596" s="23" t="n">
        <f aca="false">Test1_Hand!$B$4+E596*D596</f>
        <v>19.5577285918452</v>
      </c>
      <c r="G596" s="24" t="n">
        <f aca="false">Test1_Hand!$B$6*E596*D596+Test1_Hand!$B$7*MAX(0,F596-Test1_Hand!$B$5)</f>
        <v>28461.828734762</v>
      </c>
      <c r="H596" s="2" t="n">
        <f aca="false">IF(B596&lt;Test1_Hand!$B$13,1,0)</f>
        <v>0</v>
      </c>
      <c r="I596" s="23" t="n">
        <f aca="false">Test1_Hand!$B$4+H596*D596</f>
        <v>16</v>
      </c>
      <c r="J596" s="24" t="n">
        <f aca="false">Test1_Hand!$B$6*H596*D596+Test1_Hand!$B$7*MAX(0,I596-Test1_Hand!$B$5)+Test1_Hand!$B$14</f>
        <v>6000</v>
      </c>
    </row>
    <row r="597" customFormat="false" ht="15" hidden="false" customHeight="false" outlineLevel="0" collapsed="false">
      <c r="A597" s="2" t="n">
        <v>585</v>
      </c>
      <c r="B597" s="22" t="n">
        <v>0.187732239399683</v>
      </c>
      <c r="C597" s="22" t="n">
        <v>0.446924002052877</v>
      </c>
      <c r="D597" s="23" t="n">
        <f aca="false">BETAINV(C597,Test1_Hand!$B$21,Test1_Hand!$B$22,Test1_Hand!$B$9,Test1_Hand!$B$11)</f>
        <v>3.19733908791003</v>
      </c>
      <c r="E597" s="2" t="n">
        <f aca="false">IF(B597&lt;Test1_Hand!$B$12,1,0)</f>
        <v>1</v>
      </c>
      <c r="F597" s="23" t="n">
        <f aca="false">Test1_Hand!$B$4+E597*D597</f>
        <v>19.19733908791</v>
      </c>
      <c r="G597" s="24" t="n">
        <f aca="false">Test1_Hand!$B$6*E597*D597+Test1_Hand!$B$7*MAX(0,F597-Test1_Hand!$B$5)</f>
        <v>25578.7127032802</v>
      </c>
      <c r="H597" s="2" t="n">
        <f aca="false">IF(B597&lt;Test1_Hand!$B$13,1,0)</f>
        <v>1</v>
      </c>
      <c r="I597" s="23" t="n">
        <f aca="false">Test1_Hand!$B$4+H597*D597</f>
        <v>19.19733908791</v>
      </c>
      <c r="J597" s="24" t="n">
        <f aca="false">Test1_Hand!$B$6*H597*D597+Test1_Hand!$B$7*MAX(0,I597-Test1_Hand!$B$5)+Test1_Hand!$B$14</f>
        <v>31578.7127032802</v>
      </c>
    </row>
    <row r="598" customFormat="false" ht="15" hidden="false" customHeight="false" outlineLevel="0" collapsed="false">
      <c r="A598" s="2" t="n">
        <v>586</v>
      </c>
      <c r="B598" s="22" t="n">
        <v>0.940092211795637</v>
      </c>
      <c r="C598" s="22" t="n">
        <v>0.131572802773326</v>
      </c>
      <c r="D598" s="23" t="n">
        <f aca="false">BETAINV(C598,Test1_Hand!$B$21,Test1_Hand!$B$22,Test1_Hand!$B$9,Test1_Hand!$B$11)</f>
        <v>2.04891273067172</v>
      </c>
      <c r="E598" s="2" t="n">
        <f aca="false">IF(B598&lt;Test1_Hand!$B$12,1,0)</f>
        <v>0</v>
      </c>
      <c r="F598" s="23" t="n">
        <f aca="false">Test1_Hand!$B$4+E598*D598</f>
        <v>16</v>
      </c>
      <c r="G598" s="24" t="n">
        <f aca="false">Test1_Hand!$B$6*E598*D598+Test1_Hand!$B$7*MAX(0,F598-Test1_Hand!$B$5)</f>
        <v>0</v>
      </c>
      <c r="H598" s="2" t="n">
        <f aca="false">IF(B598&lt;Test1_Hand!$B$13,1,0)</f>
        <v>0</v>
      </c>
      <c r="I598" s="23" t="n">
        <f aca="false">Test1_Hand!$B$4+H598*D598</f>
        <v>16</v>
      </c>
      <c r="J598" s="24" t="n">
        <f aca="false">Test1_Hand!$B$6*H598*D598+Test1_Hand!$B$7*MAX(0,I598-Test1_Hand!$B$5)+Test1_Hand!$B$14</f>
        <v>6000</v>
      </c>
    </row>
    <row r="599" customFormat="false" ht="15" hidden="false" customHeight="false" outlineLevel="0" collapsed="false">
      <c r="A599" s="2" t="n">
        <v>587</v>
      </c>
      <c r="B599" s="22" t="n">
        <v>0.800624675650336</v>
      </c>
      <c r="C599" s="22" t="n">
        <v>0.243419412077172</v>
      </c>
      <c r="D599" s="23" t="n">
        <f aca="false">BETAINV(C599,Test1_Hand!$B$21,Test1_Hand!$B$22,Test1_Hand!$B$9,Test1_Hand!$B$11)</f>
        <v>2.48854594524557</v>
      </c>
      <c r="E599" s="2" t="n">
        <f aca="false">IF(B599&lt;Test1_Hand!$B$12,1,0)</f>
        <v>0</v>
      </c>
      <c r="F599" s="23" t="n">
        <f aca="false">Test1_Hand!$B$4+E599*D599</f>
        <v>16</v>
      </c>
      <c r="G599" s="24" t="n">
        <f aca="false">Test1_Hand!$B$6*E599*D599+Test1_Hand!$B$7*MAX(0,F599-Test1_Hand!$B$5)</f>
        <v>0</v>
      </c>
      <c r="H599" s="2" t="n">
        <f aca="false">IF(B599&lt;Test1_Hand!$B$13,1,0)</f>
        <v>0</v>
      </c>
      <c r="I599" s="23" t="n">
        <f aca="false">Test1_Hand!$B$4+H599*D599</f>
        <v>16</v>
      </c>
      <c r="J599" s="24" t="n">
        <f aca="false">Test1_Hand!$B$6*H599*D599+Test1_Hand!$B$7*MAX(0,I599-Test1_Hand!$B$5)+Test1_Hand!$B$14</f>
        <v>6000</v>
      </c>
    </row>
    <row r="600" customFormat="false" ht="15" hidden="false" customHeight="false" outlineLevel="0" collapsed="false">
      <c r="A600" s="2" t="n">
        <v>588</v>
      </c>
      <c r="B600" s="22" t="n">
        <v>0.328813728492946</v>
      </c>
      <c r="C600" s="22" t="n">
        <v>0.890280911740421</v>
      </c>
      <c r="D600" s="23" t="n">
        <f aca="false">BETAINV(C600,Test1_Hand!$B$21,Test1_Hand!$B$22,Test1_Hand!$B$9,Test1_Hand!$B$11)</f>
        <v>5.19582754985516</v>
      </c>
      <c r="E600" s="2" t="n">
        <f aca="false">IF(B600&lt;Test1_Hand!$B$12,1,0)</f>
        <v>1</v>
      </c>
      <c r="F600" s="23" t="n">
        <f aca="false">Test1_Hand!$B$4+E600*D600</f>
        <v>21.1958275498552</v>
      </c>
      <c r="G600" s="24" t="n">
        <f aca="false">Test1_Hand!$B$6*E600*D600+Test1_Hand!$B$7*MAX(0,F600-Test1_Hand!$B$5)</f>
        <v>47545.7581481171</v>
      </c>
      <c r="H600" s="2" t="n">
        <f aca="false">IF(B600&lt;Test1_Hand!$B$13,1,0)</f>
        <v>0</v>
      </c>
      <c r="I600" s="23" t="n">
        <f aca="false">Test1_Hand!$B$4+H600*D600</f>
        <v>16</v>
      </c>
      <c r="J600" s="24" t="n">
        <f aca="false">Test1_Hand!$B$6*H600*D600+Test1_Hand!$B$7*MAX(0,I600-Test1_Hand!$B$5)+Test1_Hand!$B$14</f>
        <v>6000</v>
      </c>
    </row>
    <row r="601" customFormat="false" ht="15" hidden="false" customHeight="false" outlineLevel="0" collapsed="false">
      <c r="A601" s="2" t="n">
        <v>589</v>
      </c>
      <c r="B601" s="22" t="n">
        <v>0.461963016874675</v>
      </c>
      <c r="C601" s="22" t="n">
        <v>0.927022832328499</v>
      </c>
      <c r="D601" s="23" t="n">
        <f aca="false">BETAINV(C601,Test1_Hand!$B$21,Test1_Hand!$B$22,Test1_Hand!$B$9,Test1_Hand!$B$11)</f>
        <v>5.51544055526662</v>
      </c>
      <c r="E601" s="2" t="n">
        <f aca="false">IF(B601&lt;Test1_Hand!$B$12,1,0)</f>
        <v>1</v>
      </c>
      <c r="F601" s="23" t="n">
        <f aca="false">Test1_Hand!$B$4+E601*D601</f>
        <v>21.5154405552666</v>
      </c>
      <c r="G601" s="24" t="n">
        <f aca="false">Test1_Hand!$B$6*E601*D601+Test1_Hand!$B$7*MAX(0,F601-Test1_Hand!$B$5)</f>
        <v>51700.7272184661</v>
      </c>
      <c r="H601" s="2" t="n">
        <f aca="false">IF(B601&lt;Test1_Hand!$B$13,1,0)</f>
        <v>0</v>
      </c>
      <c r="I601" s="23" t="n">
        <f aca="false">Test1_Hand!$B$4+H601*D601</f>
        <v>16</v>
      </c>
      <c r="J601" s="24" t="n">
        <f aca="false">Test1_Hand!$B$6*H601*D601+Test1_Hand!$B$7*MAX(0,I601-Test1_Hand!$B$5)+Test1_Hand!$B$14</f>
        <v>6000</v>
      </c>
    </row>
    <row r="602" customFormat="false" ht="15" hidden="false" customHeight="false" outlineLevel="0" collapsed="false">
      <c r="A602" s="2" t="n">
        <v>590</v>
      </c>
      <c r="B602" s="22" t="n">
        <v>0.0137099460687996</v>
      </c>
      <c r="C602" s="22" t="n">
        <v>0.552594217415338</v>
      </c>
      <c r="D602" s="23" t="n">
        <f aca="false">BETAINV(C602,Test1_Hand!$B$21,Test1_Hand!$B$22,Test1_Hand!$B$9,Test1_Hand!$B$11)</f>
        <v>3.5709857554951</v>
      </c>
      <c r="E602" s="2" t="n">
        <f aca="false">IF(B602&lt;Test1_Hand!$B$12,1,0)</f>
        <v>1</v>
      </c>
      <c r="F602" s="23" t="n">
        <f aca="false">Test1_Hand!$B$4+E602*D602</f>
        <v>19.5709857554951</v>
      </c>
      <c r="G602" s="24" t="n">
        <f aca="false">Test1_Hand!$B$6*E602*D602+Test1_Hand!$B$7*MAX(0,F602-Test1_Hand!$B$5)</f>
        <v>28567.8860439608</v>
      </c>
      <c r="H602" s="2" t="n">
        <f aca="false">IF(B602&lt;Test1_Hand!$B$13,1,0)</f>
        <v>1</v>
      </c>
      <c r="I602" s="23" t="n">
        <f aca="false">Test1_Hand!$B$4+H602*D602</f>
        <v>19.5709857554951</v>
      </c>
      <c r="J602" s="24" t="n">
        <f aca="false">Test1_Hand!$B$6*H602*D602+Test1_Hand!$B$7*MAX(0,I602-Test1_Hand!$B$5)+Test1_Hand!$B$14</f>
        <v>34567.8860439608</v>
      </c>
    </row>
    <row r="603" customFormat="false" ht="15" hidden="false" customHeight="false" outlineLevel="0" collapsed="false">
      <c r="A603" s="2" t="n">
        <v>591</v>
      </c>
      <c r="B603" s="22" t="n">
        <v>0.0744720268207119</v>
      </c>
      <c r="C603" s="22" t="n">
        <v>0.505162727437549</v>
      </c>
      <c r="D603" s="23" t="n">
        <f aca="false">BETAINV(C603,Test1_Hand!$B$21,Test1_Hand!$B$22,Test1_Hand!$B$9,Test1_Hand!$B$11)</f>
        <v>3.40082979013495</v>
      </c>
      <c r="E603" s="2" t="n">
        <f aca="false">IF(B603&lt;Test1_Hand!$B$12,1,0)</f>
        <v>1</v>
      </c>
      <c r="F603" s="23" t="n">
        <f aca="false">Test1_Hand!$B$4+E603*D603</f>
        <v>19.400829790135</v>
      </c>
      <c r="G603" s="24" t="n">
        <f aca="false">Test1_Hand!$B$6*E603*D603+Test1_Hand!$B$7*MAX(0,F603-Test1_Hand!$B$5)</f>
        <v>27206.6383210796</v>
      </c>
      <c r="H603" s="2" t="n">
        <f aca="false">IF(B603&lt;Test1_Hand!$B$13,1,0)</f>
        <v>1</v>
      </c>
      <c r="I603" s="23" t="n">
        <f aca="false">Test1_Hand!$B$4+H603*D603</f>
        <v>19.400829790135</v>
      </c>
      <c r="J603" s="24" t="n">
        <f aca="false">Test1_Hand!$B$6*H603*D603+Test1_Hand!$B$7*MAX(0,I603-Test1_Hand!$B$5)+Test1_Hand!$B$14</f>
        <v>33206.6383210796</v>
      </c>
    </row>
    <row r="604" customFormat="false" ht="15" hidden="false" customHeight="false" outlineLevel="0" collapsed="false">
      <c r="A604" s="2" t="n">
        <v>592</v>
      </c>
      <c r="B604" s="22" t="n">
        <v>0.756945572549885</v>
      </c>
      <c r="C604" s="22" t="n">
        <v>0.142843725074178</v>
      </c>
      <c r="D604" s="23" t="n">
        <f aca="false">BETAINV(C604,Test1_Hand!$B$21,Test1_Hand!$B$22,Test1_Hand!$B$9,Test1_Hand!$B$11)</f>
        <v>2.09740686012105</v>
      </c>
      <c r="E604" s="2" t="n">
        <f aca="false">IF(B604&lt;Test1_Hand!$B$12,1,0)</f>
        <v>0</v>
      </c>
      <c r="F604" s="23" t="n">
        <f aca="false">Test1_Hand!$B$4+E604*D604</f>
        <v>16</v>
      </c>
      <c r="G604" s="24" t="n">
        <f aca="false">Test1_Hand!$B$6*E604*D604+Test1_Hand!$B$7*MAX(0,F604-Test1_Hand!$B$5)</f>
        <v>0</v>
      </c>
      <c r="H604" s="2" t="n">
        <f aca="false">IF(B604&lt;Test1_Hand!$B$13,1,0)</f>
        <v>0</v>
      </c>
      <c r="I604" s="23" t="n">
        <f aca="false">Test1_Hand!$B$4+H604*D604</f>
        <v>16</v>
      </c>
      <c r="J604" s="24" t="n">
        <f aca="false">Test1_Hand!$B$6*H604*D604+Test1_Hand!$B$7*MAX(0,I604-Test1_Hand!$B$5)+Test1_Hand!$B$14</f>
        <v>6000</v>
      </c>
    </row>
    <row r="605" customFormat="false" ht="15" hidden="false" customHeight="false" outlineLevel="0" collapsed="false">
      <c r="A605" s="2" t="n">
        <v>593</v>
      </c>
      <c r="B605" s="22" t="n">
        <v>0.220996080513861</v>
      </c>
      <c r="C605" s="22" t="n">
        <v>0.840565485002542</v>
      </c>
      <c r="D605" s="23" t="n">
        <f aca="false">BETAINV(C605,Test1_Hand!$B$21,Test1_Hand!$B$22,Test1_Hand!$B$9,Test1_Hand!$B$11)</f>
        <v>4.85726373791646</v>
      </c>
      <c r="E605" s="2" t="n">
        <f aca="false">IF(B605&lt;Test1_Hand!$B$12,1,0)</f>
        <v>1</v>
      </c>
      <c r="F605" s="23" t="n">
        <f aca="false">Test1_Hand!$B$4+E605*D605</f>
        <v>20.8572637379165</v>
      </c>
      <c r="G605" s="24" t="n">
        <f aca="false">Test1_Hand!$B$6*E605*D605+Test1_Hand!$B$7*MAX(0,F605-Test1_Hand!$B$5)</f>
        <v>43144.428592914</v>
      </c>
      <c r="H605" s="2" t="n">
        <f aca="false">IF(B605&lt;Test1_Hand!$B$13,1,0)</f>
        <v>0</v>
      </c>
      <c r="I605" s="23" t="n">
        <f aca="false">Test1_Hand!$B$4+H605*D605</f>
        <v>16</v>
      </c>
      <c r="J605" s="24" t="n">
        <f aca="false">Test1_Hand!$B$6*H605*D605+Test1_Hand!$B$7*MAX(0,I605-Test1_Hand!$B$5)+Test1_Hand!$B$14</f>
        <v>6000</v>
      </c>
    </row>
    <row r="606" customFormat="false" ht="15" hidden="false" customHeight="false" outlineLevel="0" collapsed="false">
      <c r="A606" s="2" t="n">
        <v>594</v>
      </c>
      <c r="B606" s="22" t="n">
        <v>0.751502202020236</v>
      </c>
      <c r="C606" s="22" t="n">
        <v>0.570814882299242</v>
      </c>
      <c r="D606" s="23" t="n">
        <f aca="false">BETAINV(C606,Test1_Hand!$B$21,Test1_Hand!$B$22,Test1_Hand!$B$9,Test1_Hand!$B$11)</f>
        <v>3.63783674088278</v>
      </c>
      <c r="E606" s="2" t="n">
        <f aca="false">IF(B606&lt;Test1_Hand!$B$12,1,0)</f>
        <v>0</v>
      </c>
      <c r="F606" s="23" t="n">
        <f aca="false">Test1_Hand!$B$4+E606*D606</f>
        <v>16</v>
      </c>
      <c r="G606" s="24" t="n">
        <f aca="false">Test1_Hand!$B$6*E606*D606+Test1_Hand!$B$7*MAX(0,F606-Test1_Hand!$B$5)</f>
        <v>0</v>
      </c>
      <c r="H606" s="2" t="n">
        <f aca="false">IF(B606&lt;Test1_Hand!$B$13,1,0)</f>
        <v>0</v>
      </c>
      <c r="I606" s="23" t="n">
        <f aca="false">Test1_Hand!$B$4+H606*D606</f>
        <v>16</v>
      </c>
      <c r="J606" s="24" t="n">
        <f aca="false">Test1_Hand!$B$6*H606*D606+Test1_Hand!$B$7*MAX(0,I606-Test1_Hand!$B$5)+Test1_Hand!$B$14</f>
        <v>6000</v>
      </c>
    </row>
    <row r="607" customFormat="false" ht="15" hidden="false" customHeight="false" outlineLevel="0" collapsed="false">
      <c r="A607" s="2" t="n">
        <v>595</v>
      </c>
      <c r="B607" s="22" t="n">
        <v>0.588923180487014</v>
      </c>
      <c r="C607" s="22" t="n">
        <v>0.196240907638569</v>
      </c>
      <c r="D607" s="23" t="n">
        <f aca="false">BETAINV(C607,Test1_Hand!$B$21,Test1_Hand!$B$22,Test1_Hand!$B$9,Test1_Hand!$B$11)</f>
        <v>2.31229105916519</v>
      </c>
      <c r="E607" s="2" t="n">
        <f aca="false">IF(B607&lt;Test1_Hand!$B$12,1,0)</f>
        <v>0</v>
      </c>
      <c r="F607" s="23" t="n">
        <f aca="false">Test1_Hand!$B$4+E607*D607</f>
        <v>16</v>
      </c>
      <c r="G607" s="24" t="n">
        <f aca="false">Test1_Hand!$B$6*E607*D607+Test1_Hand!$B$7*MAX(0,F607-Test1_Hand!$B$5)</f>
        <v>0</v>
      </c>
      <c r="H607" s="2" t="n">
        <f aca="false">IF(B607&lt;Test1_Hand!$B$13,1,0)</f>
        <v>0</v>
      </c>
      <c r="I607" s="23" t="n">
        <f aca="false">Test1_Hand!$B$4+H607*D607</f>
        <v>16</v>
      </c>
      <c r="J607" s="24" t="n">
        <f aca="false">Test1_Hand!$B$6*H607*D607+Test1_Hand!$B$7*MAX(0,I607-Test1_Hand!$B$5)+Test1_Hand!$B$14</f>
        <v>6000</v>
      </c>
    </row>
    <row r="608" customFormat="false" ht="15" hidden="false" customHeight="false" outlineLevel="0" collapsed="false">
      <c r="A608" s="2" t="n">
        <v>596</v>
      </c>
      <c r="B608" s="22" t="n">
        <v>0.516009817033073</v>
      </c>
      <c r="C608" s="22" t="n">
        <v>0.898591296107478</v>
      </c>
      <c r="D608" s="23" t="n">
        <f aca="false">BETAINV(C608,Test1_Hand!$B$21,Test1_Hand!$B$22,Test1_Hand!$B$9,Test1_Hand!$B$11)</f>
        <v>5.26127544905564</v>
      </c>
      <c r="E608" s="2" t="n">
        <f aca="false">IF(B608&lt;Test1_Hand!$B$12,1,0)</f>
        <v>0</v>
      </c>
      <c r="F608" s="23" t="n">
        <f aca="false">Test1_Hand!$B$4+E608*D608</f>
        <v>16</v>
      </c>
      <c r="G608" s="24" t="n">
        <f aca="false">Test1_Hand!$B$6*E608*D608+Test1_Hand!$B$7*MAX(0,F608-Test1_Hand!$B$5)</f>
        <v>0</v>
      </c>
      <c r="H608" s="2" t="n">
        <f aca="false">IF(B608&lt;Test1_Hand!$B$13,1,0)</f>
        <v>0</v>
      </c>
      <c r="I608" s="23" t="n">
        <f aca="false">Test1_Hand!$B$4+H608*D608</f>
        <v>16</v>
      </c>
      <c r="J608" s="24" t="n">
        <f aca="false">Test1_Hand!$B$6*H608*D608+Test1_Hand!$B$7*MAX(0,I608-Test1_Hand!$B$5)+Test1_Hand!$B$14</f>
        <v>6000</v>
      </c>
    </row>
    <row r="609" customFormat="false" ht="15" hidden="false" customHeight="false" outlineLevel="0" collapsed="false">
      <c r="A609" s="2" t="n">
        <v>597</v>
      </c>
      <c r="B609" s="22" t="n">
        <v>0.432633912410492</v>
      </c>
      <c r="C609" s="22" t="n">
        <v>0.0710143144537782</v>
      </c>
      <c r="D609" s="23" t="n">
        <f aca="false">BETAINV(C609,Test1_Hand!$B$21,Test1_Hand!$B$22,Test1_Hand!$B$9,Test1_Hand!$B$11)</f>
        <v>1.75507615738756</v>
      </c>
      <c r="E609" s="2" t="n">
        <f aca="false">IF(B609&lt;Test1_Hand!$B$12,1,0)</f>
        <v>1</v>
      </c>
      <c r="F609" s="23" t="n">
        <f aca="false">Test1_Hand!$B$4+E609*D609</f>
        <v>17.7550761573876</v>
      </c>
      <c r="G609" s="24" t="n">
        <f aca="false">Test1_Hand!$B$6*E609*D609+Test1_Hand!$B$7*MAX(0,F609-Test1_Hand!$B$5)</f>
        <v>14040.6092591005</v>
      </c>
      <c r="H609" s="2" t="n">
        <f aca="false">IF(B609&lt;Test1_Hand!$B$13,1,0)</f>
        <v>0</v>
      </c>
      <c r="I609" s="23" t="n">
        <f aca="false">Test1_Hand!$B$4+H609*D609</f>
        <v>16</v>
      </c>
      <c r="J609" s="24" t="n">
        <f aca="false">Test1_Hand!$B$6*H609*D609+Test1_Hand!$B$7*MAX(0,I609-Test1_Hand!$B$5)+Test1_Hand!$B$14</f>
        <v>6000</v>
      </c>
    </row>
    <row r="610" customFormat="false" ht="15" hidden="false" customHeight="false" outlineLevel="0" collapsed="false">
      <c r="A610" s="2" t="n">
        <v>598</v>
      </c>
      <c r="B610" s="22" t="n">
        <v>0.940707619274124</v>
      </c>
      <c r="C610" s="22" t="n">
        <v>0.781176475714521</v>
      </c>
      <c r="D610" s="23" t="n">
        <f aca="false">BETAINV(C610,Test1_Hand!$B$21,Test1_Hand!$B$22,Test1_Hand!$B$9,Test1_Hand!$B$11)</f>
        <v>4.52770348069066</v>
      </c>
      <c r="E610" s="2" t="n">
        <f aca="false">IF(B610&lt;Test1_Hand!$B$12,1,0)</f>
        <v>0</v>
      </c>
      <c r="F610" s="23" t="n">
        <f aca="false">Test1_Hand!$B$4+E610*D610</f>
        <v>16</v>
      </c>
      <c r="G610" s="24" t="n">
        <f aca="false">Test1_Hand!$B$6*E610*D610+Test1_Hand!$B$7*MAX(0,F610-Test1_Hand!$B$5)</f>
        <v>0</v>
      </c>
      <c r="H610" s="2" t="n">
        <f aca="false">IF(B610&lt;Test1_Hand!$B$13,1,0)</f>
        <v>0</v>
      </c>
      <c r="I610" s="23" t="n">
        <f aca="false">Test1_Hand!$B$4+H610*D610</f>
        <v>16</v>
      </c>
      <c r="J610" s="24" t="n">
        <f aca="false">Test1_Hand!$B$6*H610*D610+Test1_Hand!$B$7*MAX(0,I610-Test1_Hand!$B$5)+Test1_Hand!$B$14</f>
        <v>6000</v>
      </c>
    </row>
    <row r="611" customFormat="false" ht="15" hidden="false" customHeight="false" outlineLevel="0" collapsed="false">
      <c r="A611" s="2" t="n">
        <v>599</v>
      </c>
      <c r="B611" s="22" t="n">
        <v>0.0742336095083261</v>
      </c>
      <c r="C611" s="22" t="n">
        <v>0.418709380161791</v>
      </c>
      <c r="D611" s="23" t="n">
        <f aca="false">BETAINV(C611,Test1_Hand!$B$21,Test1_Hand!$B$22,Test1_Hand!$B$9,Test1_Hand!$B$11)</f>
        <v>3.10003696835308</v>
      </c>
      <c r="E611" s="2" t="n">
        <f aca="false">IF(B611&lt;Test1_Hand!$B$12,1,0)</f>
        <v>1</v>
      </c>
      <c r="F611" s="23" t="n">
        <f aca="false">Test1_Hand!$B$4+E611*D611</f>
        <v>19.1000369683531</v>
      </c>
      <c r="G611" s="24" t="n">
        <f aca="false">Test1_Hand!$B$6*E611*D611+Test1_Hand!$B$7*MAX(0,F611-Test1_Hand!$B$5)</f>
        <v>24800.2957468247</v>
      </c>
      <c r="H611" s="2" t="n">
        <f aca="false">IF(B611&lt;Test1_Hand!$B$13,1,0)</f>
        <v>1</v>
      </c>
      <c r="I611" s="23" t="n">
        <f aca="false">Test1_Hand!$B$4+H611*D611</f>
        <v>19.1000369683531</v>
      </c>
      <c r="J611" s="24" t="n">
        <f aca="false">Test1_Hand!$B$6*H611*D611+Test1_Hand!$B$7*MAX(0,I611-Test1_Hand!$B$5)+Test1_Hand!$B$14</f>
        <v>30800.2957468247</v>
      </c>
    </row>
    <row r="612" customFormat="false" ht="15" hidden="false" customHeight="false" outlineLevel="0" collapsed="false">
      <c r="A612" s="2" t="n">
        <v>600</v>
      </c>
      <c r="B612" s="22" t="n">
        <v>0.152366977507079</v>
      </c>
      <c r="C612" s="22" t="n">
        <v>0.884013418121937</v>
      </c>
      <c r="D612" s="23" t="n">
        <f aca="false">BETAINV(C612,Test1_Hand!$B$21,Test1_Hand!$B$22,Test1_Hand!$B$9,Test1_Hand!$B$11)</f>
        <v>5.14850737011282</v>
      </c>
      <c r="E612" s="2" t="n">
        <f aca="false">IF(B612&lt;Test1_Hand!$B$12,1,0)</f>
        <v>1</v>
      </c>
      <c r="F612" s="23" t="n">
        <f aca="false">Test1_Hand!$B$4+E612*D612</f>
        <v>21.1485073701128</v>
      </c>
      <c r="G612" s="24" t="n">
        <f aca="false">Test1_Hand!$B$6*E612*D612+Test1_Hand!$B$7*MAX(0,F612-Test1_Hand!$B$5)</f>
        <v>46930.5958114667</v>
      </c>
      <c r="H612" s="2" t="n">
        <f aca="false">IF(B612&lt;Test1_Hand!$B$13,1,0)</f>
        <v>1</v>
      </c>
      <c r="I612" s="23" t="n">
        <f aca="false">Test1_Hand!$B$4+H612*D612</f>
        <v>21.1485073701128</v>
      </c>
      <c r="J612" s="24" t="n">
        <f aca="false">Test1_Hand!$B$6*H612*D612+Test1_Hand!$B$7*MAX(0,I612-Test1_Hand!$B$5)+Test1_Hand!$B$14</f>
        <v>52930.5958114667</v>
      </c>
    </row>
    <row r="613" customFormat="false" ht="15" hidden="false" customHeight="false" outlineLevel="0" collapsed="false">
      <c r="A613" s="2" t="n">
        <v>601</v>
      </c>
      <c r="B613" s="22" t="n">
        <v>0.654485751537595</v>
      </c>
      <c r="C613" s="22" t="n">
        <v>0.929718361365785</v>
      </c>
      <c r="D613" s="23" t="n">
        <f aca="false">BETAINV(C613,Test1_Hand!$B$21,Test1_Hand!$B$22,Test1_Hand!$B$9,Test1_Hand!$B$11)</f>
        <v>5.54268411708518</v>
      </c>
      <c r="E613" s="2" t="n">
        <f aca="false">IF(B613&lt;Test1_Hand!$B$12,1,0)</f>
        <v>0</v>
      </c>
      <c r="F613" s="23" t="n">
        <f aca="false">Test1_Hand!$B$4+E613*D613</f>
        <v>16</v>
      </c>
      <c r="G613" s="24" t="n">
        <f aca="false">Test1_Hand!$B$6*E613*D613+Test1_Hand!$B$7*MAX(0,F613-Test1_Hand!$B$5)</f>
        <v>0</v>
      </c>
      <c r="H613" s="2" t="n">
        <f aca="false">IF(B613&lt;Test1_Hand!$B$13,1,0)</f>
        <v>0</v>
      </c>
      <c r="I613" s="23" t="n">
        <f aca="false">Test1_Hand!$B$4+H613*D613</f>
        <v>16</v>
      </c>
      <c r="J613" s="24" t="n">
        <f aca="false">Test1_Hand!$B$6*H613*D613+Test1_Hand!$B$7*MAX(0,I613-Test1_Hand!$B$5)+Test1_Hand!$B$14</f>
        <v>6000</v>
      </c>
    </row>
    <row r="614" customFormat="false" ht="15" hidden="false" customHeight="false" outlineLevel="0" collapsed="false">
      <c r="A614" s="2" t="n">
        <v>602</v>
      </c>
      <c r="B614" s="22" t="n">
        <v>0.469760226828053</v>
      </c>
      <c r="C614" s="22" t="n">
        <v>0.990169515432868</v>
      </c>
      <c r="D614" s="23" t="n">
        <f aca="false">BETAINV(C614,Test1_Hand!$B$21,Test1_Hand!$B$22,Test1_Hand!$B$9,Test1_Hand!$B$11)</f>
        <v>6.58935620462211</v>
      </c>
      <c r="E614" s="2" t="n">
        <f aca="false">IF(B614&lt;Test1_Hand!$B$12,1,0)</f>
        <v>1</v>
      </c>
      <c r="F614" s="23" t="n">
        <f aca="false">Test1_Hand!$B$4+E614*D614</f>
        <v>22.5893562046221</v>
      </c>
      <c r="G614" s="24" t="n">
        <f aca="false">Test1_Hand!$B$6*E614*D614+Test1_Hand!$B$7*MAX(0,F614-Test1_Hand!$B$5)</f>
        <v>65661.6306600875</v>
      </c>
      <c r="H614" s="2" t="n">
        <f aca="false">IF(B614&lt;Test1_Hand!$B$13,1,0)</f>
        <v>0</v>
      </c>
      <c r="I614" s="23" t="n">
        <f aca="false">Test1_Hand!$B$4+H614*D614</f>
        <v>16</v>
      </c>
      <c r="J614" s="24" t="n">
        <f aca="false">Test1_Hand!$B$6*H614*D614+Test1_Hand!$B$7*MAX(0,I614-Test1_Hand!$B$5)+Test1_Hand!$B$14</f>
        <v>6000</v>
      </c>
    </row>
    <row r="615" customFormat="false" ht="15" hidden="false" customHeight="false" outlineLevel="0" collapsed="false">
      <c r="A615" s="2" t="n">
        <v>603</v>
      </c>
      <c r="B615" s="22" t="n">
        <v>0.0761191604446782</v>
      </c>
      <c r="C615" s="22" t="n">
        <v>0.23286714173251</v>
      </c>
      <c r="D615" s="23" t="n">
        <f aca="false">BETAINV(C615,Test1_Hand!$B$21,Test1_Hand!$B$22,Test1_Hand!$B$9,Test1_Hand!$B$11)</f>
        <v>2.4499122272863</v>
      </c>
      <c r="E615" s="2" t="n">
        <f aca="false">IF(B615&lt;Test1_Hand!$B$12,1,0)</f>
        <v>1</v>
      </c>
      <c r="F615" s="23" t="n">
        <f aca="false">Test1_Hand!$B$4+E615*D615</f>
        <v>18.4499122272863</v>
      </c>
      <c r="G615" s="24" t="n">
        <f aca="false">Test1_Hand!$B$6*E615*D615+Test1_Hand!$B$7*MAX(0,F615-Test1_Hand!$B$5)</f>
        <v>19599.2978182904</v>
      </c>
      <c r="H615" s="2" t="n">
        <f aca="false">IF(B615&lt;Test1_Hand!$B$13,1,0)</f>
        <v>1</v>
      </c>
      <c r="I615" s="23" t="n">
        <f aca="false">Test1_Hand!$B$4+H615*D615</f>
        <v>18.4499122272863</v>
      </c>
      <c r="J615" s="24" t="n">
        <f aca="false">Test1_Hand!$B$6*H615*D615+Test1_Hand!$B$7*MAX(0,I615-Test1_Hand!$B$5)+Test1_Hand!$B$14</f>
        <v>25599.2978182904</v>
      </c>
    </row>
    <row r="616" customFormat="false" ht="15" hidden="false" customHeight="false" outlineLevel="0" collapsed="false">
      <c r="A616" s="2" t="n">
        <v>604</v>
      </c>
      <c r="B616" s="22" t="n">
        <v>0.808125966057063</v>
      </c>
      <c r="C616" s="22" t="n">
        <v>0.590789677103464</v>
      </c>
      <c r="D616" s="23" t="n">
        <f aca="false">BETAINV(C616,Test1_Hand!$B$21,Test1_Hand!$B$22,Test1_Hand!$B$9,Test1_Hand!$B$11)</f>
        <v>3.71228438512124</v>
      </c>
      <c r="E616" s="2" t="n">
        <f aca="false">IF(B616&lt;Test1_Hand!$B$12,1,0)</f>
        <v>0</v>
      </c>
      <c r="F616" s="23" t="n">
        <f aca="false">Test1_Hand!$B$4+E616*D616</f>
        <v>16</v>
      </c>
      <c r="G616" s="24" t="n">
        <f aca="false">Test1_Hand!$B$6*E616*D616+Test1_Hand!$B$7*MAX(0,F616-Test1_Hand!$B$5)</f>
        <v>0</v>
      </c>
      <c r="H616" s="2" t="n">
        <f aca="false">IF(B616&lt;Test1_Hand!$B$13,1,0)</f>
        <v>0</v>
      </c>
      <c r="I616" s="23" t="n">
        <f aca="false">Test1_Hand!$B$4+H616*D616</f>
        <v>16</v>
      </c>
      <c r="J616" s="24" t="n">
        <f aca="false">Test1_Hand!$B$6*H616*D616+Test1_Hand!$B$7*MAX(0,I616-Test1_Hand!$B$5)+Test1_Hand!$B$14</f>
        <v>6000</v>
      </c>
    </row>
    <row r="617" customFormat="false" ht="15" hidden="false" customHeight="false" outlineLevel="0" collapsed="false">
      <c r="A617" s="2" t="n">
        <v>605</v>
      </c>
      <c r="B617" s="22" t="n">
        <v>0.920724031480164</v>
      </c>
      <c r="C617" s="22" t="n">
        <v>0.373468787918647</v>
      </c>
      <c r="D617" s="23" t="n">
        <f aca="false">BETAINV(C617,Test1_Hand!$B$21,Test1_Hand!$B$22,Test1_Hand!$B$9,Test1_Hand!$B$11)</f>
        <v>2.94463291881135</v>
      </c>
      <c r="E617" s="2" t="n">
        <f aca="false">IF(B617&lt;Test1_Hand!$B$12,1,0)</f>
        <v>0</v>
      </c>
      <c r="F617" s="23" t="n">
        <f aca="false">Test1_Hand!$B$4+E617*D617</f>
        <v>16</v>
      </c>
      <c r="G617" s="24" t="n">
        <f aca="false">Test1_Hand!$B$6*E617*D617+Test1_Hand!$B$7*MAX(0,F617-Test1_Hand!$B$5)</f>
        <v>0</v>
      </c>
      <c r="H617" s="2" t="n">
        <f aca="false">IF(B617&lt;Test1_Hand!$B$13,1,0)</f>
        <v>0</v>
      </c>
      <c r="I617" s="23" t="n">
        <f aca="false">Test1_Hand!$B$4+H617*D617</f>
        <v>16</v>
      </c>
      <c r="J617" s="24" t="n">
        <f aca="false">Test1_Hand!$B$6*H617*D617+Test1_Hand!$B$7*MAX(0,I617-Test1_Hand!$B$5)+Test1_Hand!$B$14</f>
        <v>6000</v>
      </c>
    </row>
    <row r="618" customFormat="false" ht="15" hidden="false" customHeight="false" outlineLevel="0" collapsed="false">
      <c r="A618" s="2" t="n">
        <v>606</v>
      </c>
      <c r="B618" s="22" t="n">
        <v>0.00230109254137023</v>
      </c>
      <c r="C618" s="22" t="n">
        <v>0.468275928427491</v>
      </c>
      <c r="D618" s="23" t="n">
        <f aca="false">BETAINV(C618,Test1_Hand!$B$21,Test1_Hand!$B$22,Test1_Hand!$B$9,Test1_Hand!$B$11)</f>
        <v>3.27142930868489</v>
      </c>
      <c r="E618" s="2" t="n">
        <f aca="false">IF(B618&lt;Test1_Hand!$B$12,1,0)</f>
        <v>1</v>
      </c>
      <c r="F618" s="23" t="n">
        <f aca="false">Test1_Hand!$B$4+E618*D618</f>
        <v>19.2714293086849</v>
      </c>
      <c r="G618" s="24" t="n">
        <f aca="false">Test1_Hand!$B$6*E618*D618+Test1_Hand!$B$7*MAX(0,F618-Test1_Hand!$B$5)</f>
        <v>26171.4344694791</v>
      </c>
      <c r="H618" s="2" t="n">
        <f aca="false">IF(B618&lt;Test1_Hand!$B$13,1,0)</f>
        <v>1</v>
      </c>
      <c r="I618" s="23" t="n">
        <f aca="false">Test1_Hand!$B$4+H618*D618</f>
        <v>19.2714293086849</v>
      </c>
      <c r="J618" s="24" t="n">
        <f aca="false">Test1_Hand!$B$6*H618*D618+Test1_Hand!$B$7*MAX(0,I618-Test1_Hand!$B$5)+Test1_Hand!$B$14</f>
        <v>32171.4344694791</v>
      </c>
    </row>
    <row r="619" customFormat="false" ht="15" hidden="false" customHeight="false" outlineLevel="0" collapsed="false">
      <c r="A619" s="2" t="n">
        <v>607</v>
      </c>
      <c r="B619" s="22" t="n">
        <v>0.138181542807349</v>
      </c>
      <c r="C619" s="22" t="n">
        <v>0.157569151976614</v>
      </c>
      <c r="D619" s="23" t="n">
        <f aca="false">BETAINV(C619,Test1_Hand!$B$21,Test1_Hand!$B$22,Test1_Hand!$B$9,Test1_Hand!$B$11)</f>
        <v>2.158865270779</v>
      </c>
      <c r="E619" s="2" t="n">
        <f aca="false">IF(B619&lt;Test1_Hand!$B$12,1,0)</f>
        <v>1</v>
      </c>
      <c r="F619" s="23" t="n">
        <f aca="false">Test1_Hand!$B$4+E619*D619</f>
        <v>18.158865270779</v>
      </c>
      <c r="G619" s="24" t="n">
        <f aca="false">Test1_Hand!$B$6*E619*D619+Test1_Hand!$B$7*MAX(0,F619-Test1_Hand!$B$5)</f>
        <v>17270.922166232</v>
      </c>
      <c r="H619" s="2" t="n">
        <f aca="false">IF(B619&lt;Test1_Hand!$B$13,1,0)</f>
        <v>1</v>
      </c>
      <c r="I619" s="23" t="n">
        <f aca="false">Test1_Hand!$B$4+H619*D619</f>
        <v>18.158865270779</v>
      </c>
      <c r="J619" s="24" t="n">
        <f aca="false">Test1_Hand!$B$6*H619*D619+Test1_Hand!$B$7*MAX(0,I619-Test1_Hand!$B$5)+Test1_Hand!$B$14</f>
        <v>23270.922166232</v>
      </c>
    </row>
    <row r="620" customFormat="false" ht="15" hidden="false" customHeight="false" outlineLevel="0" collapsed="false">
      <c r="A620" s="2" t="n">
        <v>608</v>
      </c>
      <c r="B620" s="22" t="n">
        <v>0.214466464284508</v>
      </c>
      <c r="C620" s="22" t="n">
        <v>0.202329972394952</v>
      </c>
      <c r="D620" s="23" t="n">
        <f aca="false">BETAINV(C620,Test1_Hand!$B$21,Test1_Hand!$B$22,Test1_Hand!$B$9,Test1_Hand!$B$11)</f>
        <v>2.33560775332319</v>
      </c>
      <c r="E620" s="2" t="n">
        <f aca="false">IF(B620&lt;Test1_Hand!$B$12,1,0)</f>
        <v>1</v>
      </c>
      <c r="F620" s="23" t="n">
        <f aca="false">Test1_Hand!$B$4+E620*D620</f>
        <v>18.3356077533232</v>
      </c>
      <c r="G620" s="24" t="n">
        <f aca="false">Test1_Hand!$B$6*E620*D620+Test1_Hand!$B$7*MAX(0,F620-Test1_Hand!$B$5)</f>
        <v>18684.8620265855</v>
      </c>
      <c r="H620" s="2" t="n">
        <f aca="false">IF(B620&lt;Test1_Hand!$B$13,1,0)</f>
        <v>0</v>
      </c>
      <c r="I620" s="23" t="n">
        <f aca="false">Test1_Hand!$B$4+H620*D620</f>
        <v>16</v>
      </c>
      <c r="J620" s="24" t="n">
        <f aca="false">Test1_Hand!$B$6*H620*D620+Test1_Hand!$B$7*MAX(0,I620-Test1_Hand!$B$5)+Test1_Hand!$B$14</f>
        <v>6000</v>
      </c>
    </row>
    <row r="621" customFormat="false" ht="15" hidden="false" customHeight="false" outlineLevel="0" collapsed="false">
      <c r="A621" s="2" t="n">
        <v>609</v>
      </c>
      <c r="B621" s="22" t="n">
        <v>0.421679805776166</v>
      </c>
      <c r="C621" s="22" t="n">
        <v>0.564195532471143</v>
      </c>
      <c r="D621" s="23" t="n">
        <f aca="false">BETAINV(C621,Test1_Hand!$B$21,Test1_Hand!$B$22,Test1_Hand!$B$9,Test1_Hand!$B$11)</f>
        <v>3.6134407945232</v>
      </c>
      <c r="E621" s="2" t="n">
        <f aca="false">IF(B621&lt;Test1_Hand!$B$12,1,0)</f>
        <v>1</v>
      </c>
      <c r="F621" s="23" t="n">
        <f aca="false">Test1_Hand!$B$4+E621*D621</f>
        <v>19.6134407945232</v>
      </c>
      <c r="G621" s="24" t="n">
        <f aca="false">Test1_Hand!$B$6*E621*D621+Test1_Hand!$B$7*MAX(0,F621-Test1_Hand!$B$5)</f>
        <v>28907.5263561856</v>
      </c>
      <c r="H621" s="2" t="n">
        <f aca="false">IF(B621&lt;Test1_Hand!$B$13,1,0)</f>
        <v>0</v>
      </c>
      <c r="I621" s="23" t="n">
        <f aca="false">Test1_Hand!$B$4+H621*D621</f>
        <v>16</v>
      </c>
      <c r="J621" s="24" t="n">
        <f aca="false">Test1_Hand!$B$6*H621*D621+Test1_Hand!$B$7*MAX(0,I621-Test1_Hand!$B$5)+Test1_Hand!$B$14</f>
        <v>6000</v>
      </c>
    </row>
    <row r="622" customFormat="false" ht="15" hidden="false" customHeight="false" outlineLevel="0" collapsed="false">
      <c r="A622" s="2" t="n">
        <v>610</v>
      </c>
      <c r="B622" s="22" t="n">
        <v>0.82658410688893</v>
      </c>
      <c r="C622" s="22" t="n">
        <v>0.0283927460620883</v>
      </c>
      <c r="D622" s="23" t="n">
        <f aca="false">BETAINV(C622,Test1_Hand!$B$21,Test1_Hand!$B$22,Test1_Hand!$B$9,Test1_Hand!$B$11)</f>
        <v>1.4737570326838</v>
      </c>
      <c r="E622" s="2" t="n">
        <f aca="false">IF(B622&lt;Test1_Hand!$B$12,1,0)</f>
        <v>0</v>
      </c>
      <c r="F622" s="23" t="n">
        <f aca="false">Test1_Hand!$B$4+E622*D622</f>
        <v>16</v>
      </c>
      <c r="G622" s="24" t="n">
        <f aca="false">Test1_Hand!$B$6*E622*D622+Test1_Hand!$B$7*MAX(0,F622-Test1_Hand!$B$5)</f>
        <v>0</v>
      </c>
      <c r="H622" s="2" t="n">
        <f aca="false">IF(B622&lt;Test1_Hand!$B$13,1,0)</f>
        <v>0</v>
      </c>
      <c r="I622" s="23" t="n">
        <f aca="false">Test1_Hand!$B$4+H622*D622</f>
        <v>16</v>
      </c>
      <c r="J622" s="24" t="n">
        <f aca="false">Test1_Hand!$B$6*H622*D622+Test1_Hand!$B$7*MAX(0,I622-Test1_Hand!$B$5)+Test1_Hand!$B$14</f>
        <v>6000</v>
      </c>
    </row>
    <row r="623" customFormat="false" ht="15" hidden="false" customHeight="false" outlineLevel="0" collapsed="false">
      <c r="A623" s="2" t="n">
        <v>611</v>
      </c>
      <c r="B623" s="22" t="n">
        <v>0.0619034246857689</v>
      </c>
      <c r="C623" s="22" t="n">
        <v>0.344443309038636</v>
      </c>
      <c r="D623" s="23" t="n">
        <f aca="false">BETAINV(C623,Test1_Hand!$B$21,Test1_Hand!$B$22,Test1_Hand!$B$9,Test1_Hand!$B$11)</f>
        <v>2.84473429738973</v>
      </c>
      <c r="E623" s="2" t="n">
        <f aca="false">IF(B623&lt;Test1_Hand!$B$12,1,0)</f>
        <v>1</v>
      </c>
      <c r="F623" s="23" t="n">
        <f aca="false">Test1_Hand!$B$4+E623*D623</f>
        <v>18.8447342973897</v>
      </c>
      <c r="G623" s="24" t="n">
        <f aca="false">Test1_Hand!$B$6*E623*D623+Test1_Hand!$B$7*MAX(0,F623-Test1_Hand!$B$5)</f>
        <v>22757.8743791178</v>
      </c>
      <c r="H623" s="2" t="n">
        <f aca="false">IF(B623&lt;Test1_Hand!$B$13,1,0)</f>
        <v>1</v>
      </c>
      <c r="I623" s="23" t="n">
        <f aca="false">Test1_Hand!$B$4+H623*D623</f>
        <v>18.8447342973897</v>
      </c>
      <c r="J623" s="24" t="n">
        <f aca="false">Test1_Hand!$B$6*H623*D623+Test1_Hand!$B$7*MAX(0,I623-Test1_Hand!$B$5)+Test1_Hand!$B$14</f>
        <v>28757.8743791178</v>
      </c>
    </row>
    <row r="624" customFormat="false" ht="15" hidden="false" customHeight="false" outlineLevel="0" collapsed="false">
      <c r="A624" s="2" t="n">
        <v>612</v>
      </c>
      <c r="B624" s="22" t="n">
        <v>0.420905679425038</v>
      </c>
      <c r="C624" s="22" t="n">
        <v>0.0983176722560982</v>
      </c>
      <c r="D624" s="23" t="n">
        <f aca="false">BETAINV(C624,Test1_Hand!$B$21,Test1_Hand!$B$22,Test1_Hand!$B$9,Test1_Hand!$B$11)</f>
        <v>1.89620418035824</v>
      </c>
      <c r="E624" s="2" t="n">
        <f aca="false">IF(B624&lt;Test1_Hand!$B$12,1,0)</f>
        <v>1</v>
      </c>
      <c r="F624" s="23" t="n">
        <f aca="false">Test1_Hand!$B$4+E624*D624</f>
        <v>17.8962041803582</v>
      </c>
      <c r="G624" s="24" t="n">
        <f aca="false">Test1_Hand!$B$6*E624*D624+Test1_Hand!$B$7*MAX(0,F624-Test1_Hand!$B$5)</f>
        <v>15169.6334428659</v>
      </c>
      <c r="H624" s="2" t="n">
        <f aca="false">IF(B624&lt;Test1_Hand!$B$13,1,0)</f>
        <v>0</v>
      </c>
      <c r="I624" s="23" t="n">
        <f aca="false">Test1_Hand!$B$4+H624*D624</f>
        <v>16</v>
      </c>
      <c r="J624" s="24" t="n">
        <f aca="false">Test1_Hand!$B$6*H624*D624+Test1_Hand!$B$7*MAX(0,I624-Test1_Hand!$B$5)+Test1_Hand!$B$14</f>
        <v>6000</v>
      </c>
    </row>
    <row r="625" customFormat="false" ht="15" hidden="false" customHeight="false" outlineLevel="0" collapsed="false">
      <c r="A625" s="2" t="n">
        <v>613</v>
      </c>
      <c r="B625" s="22" t="n">
        <v>0.768712052682502</v>
      </c>
      <c r="C625" s="22" t="n">
        <v>0.25452236934385</v>
      </c>
      <c r="D625" s="23" t="n">
        <f aca="false">BETAINV(C625,Test1_Hand!$B$21,Test1_Hand!$B$22,Test1_Hand!$B$9,Test1_Hand!$B$11)</f>
        <v>2.52879836614383</v>
      </c>
      <c r="E625" s="2" t="n">
        <f aca="false">IF(B625&lt;Test1_Hand!$B$12,1,0)</f>
        <v>0</v>
      </c>
      <c r="F625" s="23" t="n">
        <f aca="false">Test1_Hand!$B$4+E625*D625</f>
        <v>16</v>
      </c>
      <c r="G625" s="24" t="n">
        <f aca="false">Test1_Hand!$B$6*E625*D625+Test1_Hand!$B$7*MAX(0,F625-Test1_Hand!$B$5)</f>
        <v>0</v>
      </c>
      <c r="H625" s="2" t="n">
        <f aca="false">IF(B625&lt;Test1_Hand!$B$13,1,0)</f>
        <v>0</v>
      </c>
      <c r="I625" s="23" t="n">
        <f aca="false">Test1_Hand!$B$4+H625*D625</f>
        <v>16</v>
      </c>
      <c r="J625" s="24" t="n">
        <f aca="false">Test1_Hand!$B$6*H625*D625+Test1_Hand!$B$7*MAX(0,I625-Test1_Hand!$B$5)+Test1_Hand!$B$14</f>
        <v>6000</v>
      </c>
    </row>
    <row r="626" customFormat="false" ht="15" hidden="false" customHeight="false" outlineLevel="0" collapsed="false">
      <c r="A626" s="2" t="n">
        <v>614</v>
      </c>
      <c r="B626" s="22" t="n">
        <v>0.987729126327851</v>
      </c>
      <c r="C626" s="22" t="n">
        <v>0.652825795201186</v>
      </c>
      <c r="D626" s="23" t="n">
        <f aca="false">BETAINV(C626,Test1_Hand!$B$21,Test1_Hand!$B$22,Test1_Hand!$B$9,Test1_Hand!$B$11)</f>
        <v>3.95321106357486</v>
      </c>
      <c r="E626" s="2" t="n">
        <f aca="false">IF(B626&lt;Test1_Hand!$B$12,1,0)</f>
        <v>0</v>
      </c>
      <c r="F626" s="23" t="n">
        <f aca="false">Test1_Hand!$B$4+E626*D626</f>
        <v>16</v>
      </c>
      <c r="G626" s="24" t="n">
        <f aca="false">Test1_Hand!$B$6*E626*D626+Test1_Hand!$B$7*MAX(0,F626-Test1_Hand!$B$5)</f>
        <v>0</v>
      </c>
      <c r="H626" s="2" t="n">
        <f aca="false">IF(B626&lt;Test1_Hand!$B$13,1,0)</f>
        <v>0</v>
      </c>
      <c r="I626" s="23" t="n">
        <f aca="false">Test1_Hand!$B$4+H626*D626</f>
        <v>16</v>
      </c>
      <c r="J626" s="24" t="n">
        <f aca="false">Test1_Hand!$B$6*H626*D626+Test1_Hand!$B$7*MAX(0,I626-Test1_Hand!$B$5)+Test1_Hand!$B$14</f>
        <v>6000</v>
      </c>
    </row>
    <row r="627" customFormat="false" ht="15" hidden="false" customHeight="false" outlineLevel="0" collapsed="false">
      <c r="A627" s="2" t="n">
        <v>615</v>
      </c>
      <c r="B627" s="22" t="n">
        <v>0.0676314035800855</v>
      </c>
      <c r="C627" s="22" t="n">
        <v>0.907119205796203</v>
      </c>
      <c r="D627" s="23" t="n">
        <f aca="false">BETAINV(C627,Test1_Hand!$B$21,Test1_Hand!$B$22,Test1_Hand!$B$9,Test1_Hand!$B$11)</f>
        <v>5.33208025050871</v>
      </c>
      <c r="E627" s="2" t="n">
        <f aca="false">IF(B627&lt;Test1_Hand!$B$12,1,0)</f>
        <v>1</v>
      </c>
      <c r="F627" s="23" t="n">
        <f aca="false">Test1_Hand!$B$4+E627*D627</f>
        <v>21.3320802505087</v>
      </c>
      <c r="G627" s="24" t="n">
        <f aca="false">Test1_Hand!$B$6*E627*D627+Test1_Hand!$B$7*MAX(0,F627-Test1_Hand!$B$5)</f>
        <v>49317.0432566132</v>
      </c>
      <c r="H627" s="2" t="n">
        <f aca="false">IF(B627&lt;Test1_Hand!$B$13,1,0)</f>
        <v>1</v>
      </c>
      <c r="I627" s="23" t="n">
        <f aca="false">Test1_Hand!$B$4+H627*D627</f>
        <v>21.3320802505087</v>
      </c>
      <c r="J627" s="24" t="n">
        <f aca="false">Test1_Hand!$B$6*H627*D627+Test1_Hand!$B$7*MAX(0,I627-Test1_Hand!$B$5)+Test1_Hand!$B$14</f>
        <v>55317.0432566132</v>
      </c>
    </row>
    <row r="628" customFormat="false" ht="15" hidden="false" customHeight="false" outlineLevel="0" collapsed="false">
      <c r="A628" s="2" t="n">
        <v>616</v>
      </c>
      <c r="B628" s="22" t="n">
        <v>0.451593573070789</v>
      </c>
      <c r="C628" s="22" t="n">
        <v>0.80336234135779</v>
      </c>
      <c r="D628" s="23" t="n">
        <f aca="false">BETAINV(C628,Test1_Hand!$B$21,Test1_Hand!$B$22,Test1_Hand!$B$9,Test1_Hand!$B$11)</f>
        <v>4.6439590872787</v>
      </c>
      <c r="E628" s="2" t="n">
        <f aca="false">IF(B628&lt;Test1_Hand!$B$12,1,0)</f>
        <v>1</v>
      </c>
      <c r="F628" s="23" t="n">
        <f aca="false">Test1_Hand!$B$4+E628*D628</f>
        <v>20.6439590872787</v>
      </c>
      <c r="G628" s="24" t="n">
        <f aca="false">Test1_Hand!$B$6*E628*D628+Test1_Hand!$B$7*MAX(0,F628-Test1_Hand!$B$5)</f>
        <v>40371.468134623</v>
      </c>
      <c r="H628" s="2" t="n">
        <f aca="false">IF(B628&lt;Test1_Hand!$B$13,1,0)</f>
        <v>0</v>
      </c>
      <c r="I628" s="23" t="n">
        <f aca="false">Test1_Hand!$B$4+H628*D628</f>
        <v>16</v>
      </c>
      <c r="J628" s="24" t="n">
        <f aca="false">Test1_Hand!$B$6*H628*D628+Test1_Hand!$B$7*MAX(0,I628-Test1_Hand!$B$5)+Test1_Hand!$B$14</f>
        <v>6000</v>
      </c>
    </row>
    <row r="629" customFormat="false" ht="15" hidden="false" customHeight="false" outlineLevel="0" collapsed="false">
      <c r="A629" s="2" t="n">
        <v>617</v>
      </c>
      <c r="B629" s="22" t="n">
        <v>0.722354722611771</v>
      </c>
      <c r="C629" s="22" t="n">
        <v>0.288452852144775</v>
      </c>
      <c r="D629" s="23" t="n">
        <f aca="false">BETAINV(C629,Test1_Hand!$B$21,Test1_Hand!$B$22,Test1_Hand!$B$9,Test1_Hand!$B$11)</f>
        <v>2.64974085376413</v>
      </c>
      <c r="E629" s="2" t="n">
        <f aca="false">IF(B629&lt;Test1_Hand!$B$12,1,0)</f>
        <v>0</v>
      </c>
      <c r="F629" s="23" t="n">
        <f aca="false">Test1_Hand!$B$4+E629*D629</f>
        <v>16</v>
      </c>
      <c r="G629" s="24" t="n">
        <f aca="false">Test1_Hand!$B$6*E629*D629+Test1_Hand!$B$7*MAX(0,F629-Test1_Hand!$B$5)</f>
        <v>0</v>
      </c>
      <c r="H629" s="2" t="n">
        <f aca="false">IF(B629&lt;Test1_Hand!$B$13,1,0)</f>
        <v>0</v>
      </c>
      <c r="I629" s="23" t="n">
        <f aca="false">Test1_Hand!$B$4+H629*D629</f>
        <v>16</v>
      </c>
      <c r="J629" s="24" t="n">
        <f aca="false">Test1_Hand!$B$6*H629*D629+Test1_Hand!$B$7*MAX(0,I629-Test1_Hand!$B$5)+Test1_Hand!$B$14</f>
        <v>6000</v>
      </c>
    </row>
    <row r="630" customFormat="false" ht="15" hidden="false" customHeight="false" outlineLevel="0" collapsed="false">
      <c r="A630" s="2" t="n">
        <v>618</v>
      </c>
      <c r="B630" s="22" t="n">
        <v>0.493764956474951</v>
      </c>
      <c r="C630" s="22" t="n">
        <v>0.0498083758105744</v>
      </c>
      <c r="D630" s="23" t="n">
        <f aca="false">BETAINV(C630,Test1_Hand!$B$21,Test1_Hand!$B$22,Test1_Hand!$B$9,Test1_Hand!$B$11)</f>
        <v>1.62892465096003</v>
      </c>
      <c r="E630" s="2" t="n">
        <f aca="false">IF(B630&lt;Test1_Hand!$B$12,1,0)</f>
        <v>1</v>
      </c>
      <c r="F630" s="23" t="n">
        <f aca="false">Test1_Hand!$B$4+E630*D630</f>
        <v>17.62892465096</v>
      </c>
      <c r="G630" s="24" t="n">
        <f aca="false">Test1_Hand!$B$6*E630*D630+Test1_Hand!$B$7*MAX(0,F630-Test1_Hand!$B$5)</f>
        <v>13031.3972076802</v>
      </c>
      <c r="H630" s="2" t="n">
        <f aca="false">IF(B630&lt;Test1_Hand!$B$13,1,0)</f>
        <v>0</v>
      </c>
      <c r="I630" s="23" t="n">
        <f aca="false">Test1_Hand!$B$4+H630*D630</f>
        <v>16</v>
      </c>
      <c r="J630" s="24" t="n">
        <f aca="false">Test1_Hand!$B$6*H630*D630+Test1_Hand!$B$7*MAX(0,I630-Test1_Hand!$B$5)+Test1_Hand!$B$14</f>
        <v>6000</v>
      </c>
    </row>
    <row r="631" customFormat="false" ht="15" hidden="false" customHeight="false" outlineLevel="0" collapsed="false">
      <c r="A631" s="2" t="n">
        <v>619</v>
      </c>
      <c r="B631" s="22" t="n">
        <v>0.0397424777105638</v>
      </c>
      <c r="C631" s="22" t="n">
        <v>0.337421292545685</v>
      </c>
      <c r="D631" s="23" t="n">
        <f aca="false">BETAINV(C631,Test1_Hand!$B$21,Test1_Hand!$B$22,Test1_Hand!$B$9,Test1_Hand!$B$11)</f>
        <v>2.82048455723708</v>
      </c>
      <c r="E631" s="2" t="n">
        <f aca="false">IF(B631&lt;Test1_Hand!$B$12,1,0)</f>
        <v>1</v>
      </c>
      <c r="F631" s="23" t="n">
        <f aca="false">Test1_Hand!$B$4+E631*D631</f>
        <v>18.8204845572371</v>
      </c>
      <c r="G631" s="24" t="n">
        <f aca="false">Test1_Hand!$B$6*E631*D631+Test1_Hand!$B$7*MAX(0,F631-Test1_Hand!$B$5)</f>
        <v>22563.8764578967</v>
      </c>
      <c r="H631" s="2" t="n">
        <f aca="false">IF(B631&lt;Test1_Hand!$B$13,1,0)</f>
        <v>1</v>
      </c>
      <c r="I631" s="23" t="n">
        <f aca="false">Test1_Hand!$B$4+H631*D631</f>
        <v>18.8204845572371</v>
      </c>
      <c r="J631" s="24" t="n">
        <f aca="false">Test1_Hand!$B$6*H631*D631+Test1_Hand!$B$7*MAX(0,I631-Test1_Hand!$B$5)+Test1_Hand!$B$14</f>
        <v>28563.8764578967</v>
      </c>
    </row>
    <row r="632" customFormat="false" ht="15" hidden="false" customHeight="false" outlineLevel="0" collapsed="false">
      <c r="A632" s="2" t="n">
        <v>620</v>
      </c>
      <c r="B632" s="22" t="n">
        <v>0.917533164624225</v>
      </c>
      <c r="C632" s="22" t="n">
        <v>0.735109862166263</v>
      </c>
      <c r="D632" s="23" t="n">
        <f aca="false">BETAINV(C632,Test1_Hand!$B$21,Test1_Hand!$B$22,Test1_Hand!$B$9,Test1_Hand!$B$11)</f>
        <v>4.30549130136463</v>
      </c>
      <c r="E632" s="2" t="n">
        <f aca="false">IF(B632&lt;Test1_Hand!$B$12,1,0)</f>
        <v>0</v>
      </c>
      <c r="F632" s="23" t="n">
        <f aca="false">Test1_Hand!$B$4+E632*D632</f>
        <v>16</v>
      </c>
      <c r="G632" s="24" t="n">
        <f aca="false">Test1_Hand!$B$6*E632*D632+Test1_Hand!$B$7*MAX(0,F632-Test1_Hand!$B$5)</f>
        <v>0</v>
      </c>
      <c r="H632" s="2" t="n">
        <f aca="false">IF(B632&lt;Test1_Hand!$B$13,1,0)</f>
        <v>0</v>
      </c>
      <c r="I632" s="23" t="n">
        <f aca="false">Test1_Hand!$B$4+H632*D632</f>
        <v>16</v>
      </c>
      <c r="J632" s="24" t="n">
        <f aca="false">Test1_Hand!$B$6*H632*D632+Test1_Hand!$B$7*MAX(0,I632-Test1_Hand!$B$5)+Test1_Hand!$B$14</f>
        <v>6000</v>
      </c>
    </row>
    <row r="633" customFormat="false" ht="15" hidden="false" customHeight="false" outlineLevel="0" collapsed="false">
      <c r="A633" s="2" t="n">
        <v>621</v>
      </c>
      <c r="B633" s="22" t="n">
        <v>0.764633019649857</v>
      </c>
      <c r="C633" s="22" t="n">
        <v>0.421892178931574</v>
      </c>
      <c r="D633" s="23" t="n">
        <f aca="false">BETAINV(C633,Test1_Hand!$B$21,Test1_Hand!$B$22,Test1_Hand!$B$9,Test1_Hand!$B$11)</f>
        <v>3.11098852797353</v>
      </c>
      <c r="E633" s="2" t="n">
        <f aca="false">IF(B633&lt;Test1_Hand!$B$12,1,0)</f>
        <v>0</v>
      </c>
      <c r="F633" s="23" t="n">
        <f aca="false">Test1_Hand!$B$4+E633*D633</f>
        <v>16</v>
      </c>
      <c r="G633" s="24" t="n">
        <f aca="false">Test1_Hand!$B$6*E633*D633+Test1_Hand!$B$7*MAX(0,F633-Test1_Hand!$B$5)</f>
        <v>0</v>
      </c>
      <c r="H633" s="2" t="n">
        <f aca="false">IF(B633&lt;Test1_Hand!$B$13,1,0)</f>
        <v>0</v>
      </c>
      <c r="I633" s="23" t="n">
        <f aca="false">Test1_Hand!$B$4+H633*D633</f>
        <v>16</v>
      </c>
      <c r="J633" s="24" t="n">
        <f aca="false">Test1_Hand!$B$6*H633*D633+Test1_Hand!$B$7*MAX(0,I633-Test1_Hand!$B$5)+Test1_Hand!$B$14</f>
        <v>6000</v>
      </c>
    </row>
    <row r="634" customFormat="false" ht="15" hidden="false" customHeight="false" outlineLevel="0" collapsed="false">
      <c r="A634" s="2" t="n">
        <v>622</v>
      </c>
      <c r="B634" s="22" t="n">
        <v>0.957250154974999</v>
      </c>
      <c r="C634" s="22" t="n">
        <v>0.566358863522772</v>
      </c>
      <c r="D634" s="23" t="n">
        <f aca="false">BETAINV(C634,Test1_Hand!$B$21,Test1_Hand!$B$22,Test1_Hand!$B$9,Test1_Hand!$B$11)</f>
        <v>3.6213996325666</v>
      </c>
      <c r="E634" s="2" t="n">
        <f aca="false">IF(B634&lt;Test1_Hand!$B$12,1,0)</f>
        <v>0</v>
      </c>
      <c r="F634" s="23" t="n">
        <f aca="false">Test1_Hand!$B$4+E634*D634</f>
        <v>16</v>
      </c>
      <c r="G634" s="24" t="n">
        <f aca="false">Test1_Hand!$B$6*E634*D634+Test1_Hand!$B$7*MAX(0,F634-Test1_Hand!$B$5)</f>
        <v>0</v>
      </c>
      <c r="H634" s="2" t="n">
        <f aca="false">IF(B634&lt;Test1_Hand!$B$13,1,0)</f>
        <v>0</v>
      </c>
      <c r="I634" s="23" t="n">
        <f aca="false">Test1_Hand!$B$4+H634*D634</f>
        <v>16</v>
      </c>
      <c r="J634" s="24" t="n">
        <f aca="false">Test1_Hand!$B$6*H634*D634+Test1_Hand!$B$7*MAX(0,I634-Test1_Hand!$B$5)+Test1_Hand!$B$14</f>
        <v>6000</v>
      </c>
    </row>
    <row r="635" customFormat="false" ht="15" hidden="false" customHeight="false" outlineLevel="0" collapsed="false">
      <c r="A635" s="2" t="n">
        <v>623</v>
      </c>
      <c r="B635" s="22" t="n">
        <v>0.604953246429677</v>
      </c>
      <c r="C635" s="22" t="n">
        <v>0.894489406949273</v>
      </c>
      <c r="D635" s="23" t="n">
        <f aca="false">BETAINV(C635,Test1_Hand!$B$21,Test1_Hand!$B$22,Test1_Hand!$B$9,Test1_Hand!$B$11)</f>
        <v>5.2285640368389</v>
      </c>
      <c r="E635" s="2" t="n">
        <f aca="false">IF(B635&lt;Test1_Hand!$B$12,1,0)</f>
        <v>0</v>
      </c>
      <c r="F635" s="23" t="n">
        <f aca="false">Test1_Hand!$B$4+E635*D635</f>
        <v>16</v>
      </c>
      <c r="G635" s="24" t="n">
        <f aca="false">Test1_Hand!$B$6*E635*D635+Test1_Hand!$B$7*MAX(0,F635-Test1_Hand!$B$5)</f>
        <v>0</v>
      </c>
      <c r="H635" s="2" t="n">
        <f aca="false">IF(B635&lt;Test1_Hand!$B$13,1,0)</f>
        <v>0</v>
      </c>
      <c r="I635" s="23" t="n">
        <f aca="false">Test1_Hand!$B$4+H635*D635</f>
        <v>16</v>
      </c>
      <c r="J635" s="24" t="n">
        <f aca="false">Test1_Hand!$B$6*H635*D635+Test1_Hand!$B$7*MAX(0,I635-Test1_Hand!$B$5)+Test1_Hand!$B$14</f>
        <v>6000</v>
      </c>
    </row>
    <row r="636" customFormat="false" ht="15" hidden="false" customHeight="false" outlineLevel="0" collapsed="false">
      <c r="A636" s="2" t="n">
        <v>624</v>
      </c>
      <c r="B636" s="22" t="n">
        <v>0.234388800847658</v>
      </c>
      <c r="C636" s="22" t="n">
        <v>0.221793621784135</v>
      </c>
      <c r="D636" s="23" t="n">
        <f aca="false">BETAINV(C636,Test1_Hand!$B$21,Test1_Hand!$B$22,Test1_Hand!$B$9,Test1_Hand!$B$11)</f>
        <v>2.40892548649767</v>
      </c>
      <c r="E636" s="2" t="n">
        <f aca="false">IF(B636&lt;Test1_Hand!$B$12,1,0)</f>
        <v>1</v>
      </c>
      <c r="F636" s="23" t="n">
        <f aca="false">Test1_Hand!$B$4+E636*D636</f>
        <v>18.4089254864977</v>
      </c>
      <c r="G636" s="24" t="n">
        <f aca="false">Test1_Hand!$B$6*E636*D636+Test1_Hand!$B$7*MAX(0,F636-Test1_Hand!$B$5)</f>
        <v>19271.4038919814</v>
      </c>
      <c r="H636" s="2" t="n">
        <f aca="false">IF(B636&lt;Test1_Hand!$B$13,1,0)</f>
        <v>0</v>
      </c>
      <c r="I636" s="23" t="n">
        <f aca="false">Test1_Hand!$B$4+H636*D636</f>
        <v>16</v>
      </c>
      <c r="J636" s="24" t="n">
        <f aca="false">Test1_Hand!$B$6*H636*D636+Test1_Hand!$B$7*MAX(0,I636-Test1_Hand!$B$5)+Test1_Hand!$B$14</f>
        <v>6000</v>
      </c>
    </row>
    <row r="637" customFormat="false" ht="15" hidden="false" customHeight="false" outlineLevel="0" collapsed="false">
      <c r="A637" s="2" t="n">
        <v>625</v>
      </c>
      <c r="B637" s="22" t="n">
        <v>0.547737055004287</v>
      </c>
      <c r="C637" s="22" t="n">
        <v>0.54422265987869</v>
      </c>
      <c r="D637" s="23" t="n">
        <f aca="false">BETAINV(C637,Test1_Hand!$B$21,Test1_Hand!$B$22,Test1_Hand!$B$9,Test1_Hand!$B$11)</f>
        <v>3.54057443432218</v>
      </c>
      <c r="E637" s="2" t="n">
        <f aca="false">IF(B637&lt;Test1_Hand!$B$12,1,0)</f>
        <v>0</v>
      </c>
      <c r="F637" s="23" t="n">
        <f aca="false">Test1_Hand!$B$4+E637*D637</f>
        <v>16</v>
      </c>
      <c r="G637" s="24" t="n">
        <f aca="false">Test1_Hand!$B$6*E637*D637+Test1_Hand!$B$7*MAX(0,F637-Test1_Hand!$B$5)</f>
        <v>0</v>
      </c>
      <c r="H637" s="2" t="n">
        <f aca="false">IF(B637&lt;Test1_Hand!$B$13,1,0)</f>
        <v>0</v>
      </c>
      <c r="I637" s="23" t="n">
        <f aca="false">Test1_Hand!$B$4+H637*D637</f>
        <v>16</v>
      </c>
      <c r="J637" s="24" t="n">
        <f aca="false">Test1_Hand!$B$6*H637*D637+Test1_Hand!$B$7*MAX(0,I637-Test1_Hand!$B$5)+Test1_Hand!$B$14</f>
        <v>6000</v>
      </c>
    </row>
    <row r="638" customFormat="false" ht="15" hidden="false" customHeight="false" outlineLevel="0" collapsed="false">
      <c r="A638" s="2" t="n">
        <v>626</v>
      </c>
      <c r="B638" s="22" t="n">
        <v>0.633656713941322</v>
      </c>
      <c r="C638" s="22" t="n">
        <v>0.101409510179574</v>
      </c>
      <c r="D638" s="23" t="n">
        <f aca="false">BETAINV(C638,Test1_Hand!$B$21,Test1_Hand!$B$22,Test1_Hand!$B$9,Test1_Hand!$B$11)</f>
        <v>1.91114074708557</v>
      </c>
      <c r="E638" s="2" t="n">
        <f aca="false">IF(B638&lt;Test1_Hand!$B$12,1,0)</f>
        <v>0</v>
      </c>
      <c r="F638" s="23" t="n">
        <f aca="false">Test1_Hand!$B$4+E638*D638</f>
        <v>16</v>
      </c>
      <c r="G638" s="24" t="n">
        <f aca="false">Test1_Hand!$B$6*E638*D638+Test1_Hand!$B$7*MAX(0,F638-Test1_Hand!$B$5)</f>
        <v>0</v>
      </c>
      <c r="H638" s="2" t="n">
        <f aca="false">IF(B638&lt;Test1_Hand!$B$13,1,0)</f>
        <v>0</v>
      </c>
      <c r="I638" s="23" t="n">
        <f aca="false">Test1_Hand!$B$4+H638*D638</f>
        <v>16</v>
      </c>
      <c r="J638" s="24" t="n">
        <f aca="false">Test1_Hand!$B$6*H638*D638+Test1_Hand!$B$7*MAX(0,I638-Test1_Hand!$B$5)+Test1_Hand!$B$14</f>
        <v>6000</v>
      </c>
    </row>
    <row r="639" customFormat="false" ht="15" hidden="false" customHeight="false" outlineLevel="0" collapsed="false">
      <c r="A639" s="2" t="n">
        <v>627</v>
      </c>
      <c r="B639" s="22" t="n">
        <v>0.281065733141457</v>
      </c>
      <c r="C639" s="22" t="n">
        <v>0.25761749994584</v>
      </c>
      <c r="D639" s="23" t="n">
        <f aca="false">BETAINV(C639,Test1_Hand!$B$21,Test1_Hand!$B$22,Test1_Hand!$B$9,Test1_Hand!$B$11)</f>
        <v>2.539952976801</v>
      </c>
      <c r="E639" s="2" t="n">
        <f aca="false">IF(B639&lt;Test1_Hand!$B$12,1,0)</f>
        <v>1</v>
      </c>
      <c r="F639" s="23" t="n">
        <f aca="false">Test1_Hand!$B$4+E639*D639</f>
        <v>18.539952976801</v>
      </c>
      <c r="G639" s="24" t="n">
        <f aca="false">Test1_Hand!$B$6*E639*D639+Test1_Hand!$B$7*MAX(0,F639-Test1_Hand!$B$5)</f>
        <v>20319.623814408</v>
      </c>
      <c r="H639" s="2" t="n">
        <f aca="false">IF(B639&lt;Test1_Hand!$B$13,1,0)</f>
        <v>0</v>
      </c>
      <c r="I639" s="23" t="n">
        <f aca="false">Test1_Hand!$B$4+H639*D639</f>
        <v>16</v>
      </c>
      <c r="J639" s="24" t="n">
        <f aca="false">Test1_Hand!$B$6*H639*D639+Test1_Hand!$B$7*MAX(0,I639-Test1_Hand!$B$5)+Test1_Hand!$B$14</f>
        <v>6000</v>
      </c>
    </row>
    <row r="640" customFormat="false" ht="15" hidden="false" customHeight="false" outlineLevel="0" collapsed="false">
      <c r="A640" s="2" t="n">
        <v>628</v>
      </c>
      <c r="B640" s="22" t="n">
        <v>0.488548765290713</v>
      </c>
      <c r="C640" s="22" t="n">
        <v>0.588631388810087</v>
      </c>
      <c r="D640" s="23" t="n">
        <f aca="false">BETAINV(C640,Test1_Hand!$B$21,Test1_Hand!$B$22,Test1_Hand!$B$9,Test1_Hand!$B$11)</f>
        <v>3.70417684312212</v>
      </c>
      <c r="E640" s="2" t="n">
        <f aca="false">IF(B640&lt;Test1_Hand!$B$12,1,0)</f>
        <v>1</v>
      </c>
      <c r="F640" s="23" t="n">
        <f aca="false">Test1_Hand!$B$4+E640*D640</f>
        <v>19.7041768431221</v>
      </c>
      <c r="G640" s="24" t="n">
        <f aca="false">Test1_Hand!$B$6*E640*D640+Test1_Hand!$B$7*MAX(0,F640-Test1_Hand!$B$5)</f>
        <v>29633.4147449769</v>
      </c>
      <c r="H640" s="2" t="n">
        <f aca="false">IF(B640&lt;Test1_Hand!$B$13,1,0)</f>
        <v>0</v>
      </c>
      <c r="I640" s="23" t="n">
        <f aca="false">Test1_Hand!$B$4+H640*D640</f>
        <v>16</v>
      </c>
      <c r="J640" s="24" t="n">
        <f aca="false">Test1_Hand!$B$6*H640*D640+Test1_Hand!$B$7*MAX(0,I640-Test1_Hand!$B$5)+Test1_Hand!$B$14</f>
        <v>6000</v>
      </c>
    </row>
    <row r="641" customFormat="false" ht="15" hidden="false" customHeight="false" outlineLevel="0" collapsed="false">
      <c r="A641" s="2" t="n">
        <v>629</v>
      </c>
      <c r="B641" s="22" t="n">
        <v>0.431247633157878</v>
      </c>
      <c r="C641" s="22" t="n">
        <v>0.887353068433704</v>
      </c>
      <c r="D641" s="23" t="n">
        <f aca="false">BETAINV(C641,Test1_Hand!$B$21,Test1_Hand!$B$22,Test1_Hand!$B$9,Test1_Hand!$B$11)</f>
        <v>5.17351661309904</v>
      </c>
      <c r="E641" s="2" t="n">
        <f aca="false">IF(B641&lt;Test1_Hand!$B$12,1,0)</f>
        <v>1</v>
      </c>
      <c r="F641" s="23" t="n">
        <f aca="false">Test1_Hand!$B$4+E641*D641</f>
        <v>21.173516613099</v>
      </c>
      <c r="G641" s="24" t="n">
        <f aca="false">Test1_Hand!$B$6*E641*D641+Test1_Hand!$B$7*MAX(0,F641-Test1_Hand!$B$5)</f>
        <v>47255.7159702875</v>
      </c>
      <c r="H641" s="2" t="n">
        <f aca="false">IF(B641&lt;Test1_Hand!$B$13,1,0)</f>
        <v>0</v>
      </c>
      <c r="I641" s="23" t="n">
        <f aca="false">Test1_Hand!$B$4+H641*D641</f>
        <v>16</v>
      </c>
      <c r="J641" s="24" t="n">
        <f aca="false">Test1_Hand!$B$6*H641*D641+Test1_Hand!$B$7*MAX(0,I641-Test1_Hand!$B$5)+Test1_Hand!$B$14</f>
        <v>6000</v>
      </c>
    </row>
    <row r="642" customFormat="false" ht="15" hidden="false" customHeight="false" outlineLevel="0" collapsed="false">
      <c r="A642" s="2" t="n">
        <v>630</v>
      </c>
      <c r="B642" s="22" t="n">
        <v>0.41149635391947</v>
      </c>
      <c r="C642" s="22" t="n">
        <v>0.53636263063463</v>
      </c>
      <c r="D642" s="23" t="n">
        <f aca="false">BETAINV(C642,Test1_Hand!$B$21,Test1_Hand!$B$22,Test1_Hand!$B$9,Test1_Hand!$B$11)</f>
        <v>3.51218128577119</v>
      </c>
      <c r="E642" s="2" t="n">
        <f aca="false">IF(B642&lt;Test1_Hand!$B$12,1,0)</f>
        <v>1</v>
      </c>
      <c r="F642" s="23" t="n">
        <f aca="false">Test1_Hand!$B$4+E642*D642</f>
        <v>19.5121812857712</v>
      </c>
      <c r="G642" s="24" t="n">
        <f aca="false">Test1_Hand!$B$6*E642*D642+Test1_Hand!$B$7*MAX(0,F642-Test1_Hand!$B$5)</f>
        <v>28097.4502861695</v>
      </c>
      <c r="H642" s="2" t="n">
        <f aca="false">IF(B642&lt;Test1_Hand!$B$13,1,0)</f>
        <v>0</v>
      </c>
      <c r="I642" s="23" t="n">
        <f aca="false">Test1_Hand!$B$4+H642*D642</f>
        <v>16</v>
      </c>
      <c r="J642" s="24" t="n">
        <f aca="false">Test1_Hand!$B$6*H642*D642+Test1_Hand!$B$7*MAX(0,I642-Test1_Hand!$B$5)+Test1_Hand!$B$14</f>
        <v>6000</v>
      </c>
    </row>
    <row r="643" customFormat="false" ht="15" hidden="false" customHeight="false" outlineLevel="0" collapsed="false">
      <c r="A643" s="2" t="n">
        <v>631</v>
      </c>
      <c r="B643" s="22" t="n">
        <v>0.121778556449219</v>
      </c>
      <c r="C643" s="22" t="n">
        <v>0.500853108109561</v>
      </c>
      <c r="D643" s="23" t="n">
        <f aca="false">BETAINV(C643,Test1_Hand!$B$21,Test1_Hand!$B$22,Test1_Hand!$B$9,Test1_Hand!$B$11)</f>
        <v>3.38559959780833</v>
      </c>
      <c r="E643" s="2" t="n">
        <f aca="false">IF(B643&lt;Test1_Hand!$B$12,1,0)</f>
        <v>1</v>
      </c>
      <c r="F643" s="23" t="n">
        <f aca="false">Test1_Hand!$B$4+E643*D643</f>
        <v>19.3855995978083</v>
      </c>
      <c r="G643" s="24" t="n">
        <f aca="false">Test1_Hand!$B$6*E643*D643+Test1_Hand!$B$7*MAX(0,F643-Test1_Hand!$B$5)</f>
        <v>27084.7967824667</v>
      </c>
      <c r="H643" s="2" t="n">
        <f aca="false">IF(B643&lt;Test1_Hand!$B$13,1,0)</f>
        <v>1</v>
      </c>
      <c r="I643" s="23" t="n">
        <f aca="false">Test1_Hand!$B$4+H643*D643</f>
        <v>19.3855995978083</v>
      </c>
      <c r="J643" s="24" t="n">
        <f aca="false">Test1_Hand!$B$6*H643*D643+Test1_Hand!$B$7*MAX(0,I643-Test1_Hand!$B$5)+Test1_Hand!$B$14</f>
        <v>33084.7967824667</v>
      </c>
    </row>
    <row r="644" customFormat="false" ht="15" hidden="false" customHeight="false" outlineLevel="0" collapsed="false">
      <c r="A644" s="2" t="n">
        <v>632</v>
      </c>
      <c r="B644" s="22" t="n">
        <v>0.951868653374664</v>
      </c>
      <c r="C644" s="22" t="n">
        <v>0.892524141534163</v>
      </c>
      <c r="D644" s="23" t="n">
        <f aca="false">BETAINV(C644,Test1_Hand!$B$21,Test1_Hand!$B$22,Test1_Hand!$B$9,Test1_Hand!$B$11)</f>
        <v>5.21317631388926</v>
      </c>
      <c r="E644" s="2" t="n">
        <f aca="false">IF(B644&lt;Test1_Hand!$B$12,1,0)</f>
        <v>0</v>
      </c>
      <c r="F644" s="23" t="n">
        <f aca="false">Test1_Hand!$B$4+E644*D644</f>
        <v>16</v>
      </c>
      <c r="G644" s="24" t="n">
        <f aca="false">Test1_Hand!$B$6*E644*D644+Test1_Hand!$B$7*MAX(0,F644-Test1_Hand!$B$5)</f>
        <v>0</v>
      </c>
      <c r="H644" s="2" t="n">
        <f aca="false">IF(B644&lt;Test1_Hand!$B$13,1,0)</f>
        <v>0</v>
      </c>
      <c r="I644" s="23" t="n">
        <f aca="false">Test1_Hand!$B$4+H644*D644</f>
        <v>16</v>
      </c>
      <c r="J644" s="24" t="n">
        <f aca="false">Test1_Hand!$B$6*H644*D644+Test1_Hand!$B$7*MAX(0,I644-Test1_Hand!$B$5)+Test1_Hand!$B$14</f>
        <v>6000</v>
      </c>
    </row>
    <row r="645" customFormat="false" ht="15" hidden="false" customHeight="false" outlineLevel="0" collapsed="false">
      <c r="A645" s="2" t="n">
        <v>633</v>
      </c>
      <c r="B645" s="22" t="n">
        <v>0.0125237440823797</v>
      </c>
      <c r="C645" s="22" t="n">
        <v>0.983255398338906</v>
      </c>
      <c r="D645" s="23" t="n">
        <f aca="false">BETAINV(C645,Test1_Hand!$B$21,Test1_Hand!$B$22,Test1_Hand!$B$9,Test1_Hand!$B$11)</f>
        <v>6.36572845618774</v>
      </c>
      <c r="E645" s="2" t="n">
        <f aca="false">IF(B645&lt;Test1_Hand!$B$12,1,0)</f>
        <v>1</v>
      </c>
      <c r="F645" s="23" t="n">
        <f aca="false">Test1_Hand!$B$4+E645*D645</f>
        <v>22.3657284561877</v>
      </c>
      <c r="G645" s="24" t="n">
        <f aca="false">Test1_Hand!$B$6*E645*D645+Test1_Hand!$B$7*MAX(0,F645-Test1_Hand!$B$5)</f>
        <v>62754.4699304406</v>
      </c>
      <c r="H645" s="2" t="n">
        <f aca="false">IF(B645&lt;Test1_Hand!$B$13,1,0)</f>
        <v>1</v>
      </c>
      <c r="I645" s="23" t="n">
        <f aca="false">Test1_Hand!$B$4+H645*D645</f>
        <v>22.3657284561877</v>
      </c>
      <c r="J645" s="24" t="n">
        <f aca="false">Test1_Hand!$B$6*H645*D645+Test1_Hand!$B$7*MAX(0,I645-Test1_Hand!$B$5)+Test1_Hand!$B$14</f>
        <v>68754.4699304406</v>
      </c>
    </row>
    <row r="646" customFormat="false" ht="15" hidden="false" customHeight="false" outlineLevel="0" collapsed="false">
      <c r="A646" s="2" t="n">
        <v>634</v>
      </c>
      <c r="B646" s="22" t="n">
        <v>0.557549613148094</v>
      </c>
      <c r="C646" s="22" t="n">
        <v>0.81684684399091</v>
      </c>
      <c r="D646" s="23" t="n">
        <f aca="false">BETAINV(C646,Test1_Hand!$B$21,Test1_Hand!$B$22,Test1_Hand!$B$9,Test1_Hand!$B$11)</f>
        <v>4.71830728727557</v>
      </c>
      <c r="E646" s="2" t="n">
        <f aca="false">IF(B646&lt;Test1_Hand!$B$12,1,0)</f>
        <v>0</v>
      </c>
      <c r="F646" s="23" t="n">
        <f aca="false">Test1_Hand!$B$4+E646*D646</f>
        <v>16</v>
      </c>
      <c r="G646" s="24" t="n">
        <f aca="false">Test1_Hand!$B$6*E646*D646+Test1_Hand!$B$7*MAX(0,F646-Test1_Hand!$B$5)</f>
        <v>0</v>
      </c>
      <c r="H646" s="2" t="n">
        <f aca="false">IF(B646&lt;Test1_Hand!$B$13,1,0)</f>
        <v>0</v>
      </c>
      <c r="I646" s="23" t="n">
        <f aca="false">Test1_Hand!$B$4+H646*D646</f>
        <v>16</v>
      </c>
      <c r="J646" s="24" t="n">
        <f aca="false">Test1_Hand!$B$6*H646*D646+Test1_Hand!$B$7*MAX(0,I646-Test1_Hand!$B$5)+Test1_Hand!$B$14</f>
        <v>6000</v>
      </c>
    </row>
    <row r="647" customFormat="false" ht="15" hidden="false" customHeight="false" outlineLevel="0" collapsed="false">
      <c r="A647" s="2" t="n">
        <v>635</v>
      </c>
      <c r="B647" s="22" t="n">
        <v>0.231696368898144</v>
      </c>
      <c r="C647" s="22" t="n">
        <v>0.0655043679192503</v>
      </c>
      <c r="D647" s="23" t="n">
        <f aca="false">BETAINV(C647,Test1_Hand!$B$21,Test1_Hand!$B$22,Test1_Hand!$B$9,Test1_Hand!$B$11)</f>
        <v>1.72405177476207</v>
      </c>
      <c r="E647" s="2" t="n">
        <f aca="false">IF(B647&lt;Test1_Hand!$B$12,1,0)</f>
        <v>1</v>
      </c>
      <c r="F647" s="23" t="n">
        <f aca="false">Test1_Hand!$B$4+E647*D647</f>
        <v>17.7240517747621</v>
      </c>
      <c r="G647" s="24" t="n">
        <f aca="false">Test1_Hand!$B$6*E647*D647+Test1_Hand!$B$7*MAX(0,F647-Test1_Hand!$B$5)</f>
        <v>13792.4141980966</v>
      </c>
      <c r="H647" s="2" t="n">
        <f aca="false">IF(B647&lt;Test1_Hand!$B$13,1,0)</f>
        <v>0</v>
      </c>
      <c r="I647" s="23" t="n">
        <f aca="false">Test1_Hand!$B$4+H647*D647</f>
        <v>16</v>
      </c>
      <c r="J647" s="24" t="n">
        <f aca="false">Test1_Hand!$B$6*H647*D647+Test1_Hand!$B$7*MAX(0,I647-Test1_Hand!$B$5)+Test1_Hand!$B$14</f>
        <v>6000</v>
      </c>
    </row>
    <row r="648" customFormat="false" ht="15" hidden="false" customHeight="false" outlineLevel="0" collapsed="false">
      <c r="A648" s="2" t="n">
        <v>636</v>
      </c>
      <c r="B648" s="22" t="n">
        <v>0.889390061783572</v>
      </c>
      <c r="C648" s="22" t="n">
        <v>0.488966603023145</v>
      </c>
      <c r="D648" s="23" t="n">
        <f aca="false">BETAINV(C648,Test1_Hand!$B$21,Test1_Hand!$B$22,Test1_Hand!$B$9,Test1_Hand!$B$11)</f>
        <v>3.34375680229701</v>
      </c>
      <c r="E648" s="2" t="n">
        <f aca="false">IF(B648&lt;Test1_Hand!$B$12,1,0)</f>
        <v>0</v>
      </c>
      <c r="F648" s="23" t="n">
        <f aca="false">Test1_Hand!$B$4+E648*D648</f>
        <v>16</v>
      </c>
      <c r="G648" s="24" t="n">
        <f aca="false">Test1_Hand!$B$6*E648*D648+Test1_Hand!$B$7*MAX(0,F648-Test1_Hand!$B$5)</f>
        <v>0</v>
      </c>
      <c r="H648" s="2" t="n">
        <f aca="false">IF(B648&lt;Test1_Hand!$B$13,1,0)</f>
        <v>0</v>
      </c>
      <c r="I648" s="23" t="n">
        <f aca="false">Test1_Hand!$B$4+H648*D648</f>
        <v>16</v>
      </c>
      <c r="J648" s="24" t="n">
        <f aca="false">Test1_Hand!$B$6*H648*D648+Test1_Hand!$B$7*MAX(0,I648-Test1_Hand!$B$5)+Test1_Hand!$B$14</f>
        <v>6000</v>
      </c>
    </row>
    <row r="649" customFormat="false" ht="15" hidden="false" customHeight="false" outlineLevel="0" collapsed="false">
      <c r="A649" s="2" t="n">
        <v>637</v>
      </c>
      <c r="B649" s="22" t="n">
        <v>0.262197034770845</v>
      </c>
      <c r="C649" s="22" t="n">
        <v>0.261966933685559</v>
      </c>
      <c r="D649" s="23" t="n">
        <f aca="false">BETAINV(C649,Test1_Hand!$B$21,Test1_Hand!$B$22,Test1_Hand!$B$9,Test1_Hand!$B$11)</f>
        <v>2.5555822989146</v>
      </c>
      <c r="E649" s="2" t="n">
        <f aca="false">IF(B649&lt;Test1_Hand!$B$12,1,0)</f>
        <v>1</v>
      </c>
      <c r="F649" s="23" t="n">
        <f aca="false">Test1_Hand!$B$4+E649*D649</f>
        <v>18.5555822989146</v>
      </c>
      <c r="G649" s="24" t="n">
        <f aca="false">Test1_Hand!$B$6*E649*D649+Test1_Hand!$B$7*MAX(0,F649-Test1_Hand!$B$5)</f>
        <v>20444.6583913168</v>
      </c>
      <c r="H649" s="2" t="n">
        <f aca="false">IF(B649&lt;Test1_Hand!$B$13,1,0)</f>
        <v>0</v>
      </c>
      <c r="I649" s="23" t="n">
        <f aca="false">Test1_Hand!$B$4+H649*D649</f>
        <v>16</v>
      </c>
      <c r="J649" s="24" t="n">
        <f aca="false">Test1_Hand!$B$6*H649*D649+Test1_Hand!$B$7*MAX(0,I649-Test1_Hand!$B$5)+Test1_Hand!$B$14</f>
        <v>6000</v>
      </c>
    </row>
    <row r="650" customFormat="false" ht="15" hidden="false" customHeight="false" outlineLevel="0" collapsed="false">
      <c r="A650" s="2" t="n">
        <v>638</v>
      </c>
      <c r="B650" s="22" t="n">
        <v>0.381759105264621</v>
      </c>
      <c r="C650" s="22" t="n">
        <v>0.220788984309846</v>
      </c>
      <c r="D650" s="23" t="n">
        <f aca="false">BETAINV(C650,Test1_Hand!$B$21,Test1_Hand!$B$22,Test1_Hand!$B$9,Test1_Hand!$B$11)</f>
        <v>2.40518261204768</v>
      </c>
      <c r="E650" s="2" t="n">
        <f aca="false">IF(B650&lt;Test1_Hand!$B$12,1,0)</f>
        <v>1</v>
      </c>
      <c r="F650" s="23" t="n">
        <f aca="false">Test1_Hand!$B$4+E650*D650</f>
        <v>18.4051826120477</v>
      </c>
      <c r="G650" s="24" t="n">
        <f aca="false">Test1_Hand!$B$6*E650*D650+Test1_Hand!$B$7*MAX(0,F650-Test1_Hand!$B$5)</f>
        <v>19241.4608963814</v>
      </c>
      <c r="H650" s="2" t="n">
        <f aca="false">IF(B650&lt;Test1_Hand!$B$13,1,0)</f>
        <v>0</v>
      </c>
      <c r="I650" s="23" t="n">
        <f aca="false">Test1_Hand!$B$4+H650*D650</f>
        <v>16</v>
      </c>
      <c r="J650" s="24" t="n">
        <f aca="false">Test1_Hand!$B$6*H650*D650+Test1_Hand!$B$7*MAX(0,I650-Test1_Hand!$B$5)+Test1_Hand!$B$14</f>
        <v>6000</v>
      </c>
    </row>
    <row r="651" customFormat="false" ht="15" hidden="false" customHeight="false" outlineLevel="0" collapsed="false">
      <c r="A651" s="2" t="n">
        <v>639</v>
      </c>
      <c r="B651" s="22" t="n">
        <v>0.247721642956194</v>
      </c>
      <c r="C651" s="22" t="n">
        <v>0.604964610925256</v>
      </c>
      <c r="D651" s="23" t="n">
        <f aca="false">BETAINV(C651,Test1_Hand!$B$21,Test1_Hand!$B$22,Test1_Hand!$B$9,Test1_Hand!$B$11)</f>
        <v>3.76594389032556</v>
      </c>
      <c r="E651" s="2" t="n">
        <f aca="false">IF(B651&lt;Test1_Hand!$B$12,1,0)</f>
        <v>1</v>
      </c>
      <c r="F651" s="23" t="n">
        <f aca="false">Test1_Hand!$B$4+E651*D651</f>
        <v>19.7659438903256</v>
      </c>
      <c r="G651" s="24" t="n">
        <f aca="false">Test1_Hand!$B$6*E651*D651+Test1_Hand!$B$7*MAX(0,F651-Test1_Hand!$B$5)</f>
        <v>30127.5511226045</v>
      </c>
      <c r="H651" s="2" t="n">
        <f aca="false">IF(B651&lt;Test1_Hand!$B$13,1,0)</f>
        <v>0</v>
      </c>
      <c r="I651" s="23" t="n">
        <f aca="false">Test1_Hand!$B$4+H651*D651</f>
        <v>16</v>
      </c>
      <c r="J651" s="24" t="n">
        <f aca="false">Test1_Hand!$B$6*H651*D651+Test1_Hand!$B$7*MAX(0,I651-Test1_Hand!$B$5)+Test1_Hand!$B$14</f>
        <v>6000</v>
      </c>
    </row>
    <row r="652" customFormat="false" ht="15" hidden="false" customHeight="false" outlineLevel="0" collapsed="false">
      <c r="A652" s="2" t="n">
        <v>640</v>
      </c>
      <c r="B652" s="22" t="n">
        <v>0.92336261076176</v>
      </c>
      <c r="C652" s="22" t="n">
        <v>0.645559702393702</v>
      </c>
      <c r="D652" s="23" t="n">
        <f aca="false">BETAINV(C652,Test1_Hand!$B$21,Test1_Hand!$B$22,Test1_Hand!$B$9,Test1_Hand!$B$11)</f>
        <v>3.9241018573895</v>
      </c>
      <c r="E652" s="2" t="n">
        <f aca="false">IF(B652&lt;Test1_Hand!$B$12,1,0)</f>
        <v>0</v>
      </c>
      <c r="F652" s="23" t="n">
        <f aca="false">Test1_Hand!$B$4+E652*D652</f>
        <v>16</v>
      </c>
      <c r="G652" s="24" t="n">
        <f aca="false">Test1_Hand!$B$6*E652*D652+Test1_Hand!$B$7*MAX(0,F652-Test1_Hand!$B$5)</f>
        <v>0</v>
      </c>
      <c r="H652" s="2" t="n">
        <f aca="false">IF(B652&lt;Test1_Hand!$B$13,1,0)</f>
        <v>0</v>
      </c>
      <c r="I652" s="23" t="n">
        <f aca="false">Test1_Hand!$B$4+H652*D652</f>
        <v>16</v>
      </c>
      <c r="J652" s="24" t="n">
        <f aca="false">Test1_Hand!$B$6*H652*D652+Test1_Hand!$B$7*MAX(0,I652-Test1_Hand!$B$5)+Test1_Hand!$B$14</f>
        <v>6000</v>
      </c>
    </row>
    <row r="653" customFormat="false" ht="15" hidden="false" customHeight="false" outlineLevel="0" collapsed="false">
      <c r="A653" s="2" t="n">
        <v>641</v>
      </c>
      <c r="B653" s="22" t="n">
        <v>0.535101031692906</v>
      </c>
      <c r="C653" s="22" t="n">
        <v>0.161012224226002</v>
      </c>
      <c r="D653" s="23" t="n">
        <f aca="false">BETAINV(C653,Test1_Hand!$B$21,Test1_Hand!$B$22,Test1_Hand!$B$9,Test1_Hand!$B$11)</f>
        <v>2.17296057865185</v>
      </c>
      <c r="E653" s="2" t="n">
        <f aca="false">IF(B653&lt;Test1_Hand!$B$12,1,0)</f>
        <v>0</v>
      </c>
      <c r="F653" s="23" t="n">
        <f aca="false">Test1_Hand!$B$4+E653*D653</f>
        <v>16</v>
      </c>
      <c r="G653" s="24" t="n">
        <f aca="false">Test1_Hand!$B$6*E653*D653+Test1_Hand!$B$7*MAX(0,F653-Test1_Hand!$B$5)</f>
        <v>0</v>
      </c>
      <c r="H653" s="2" t="n">
        <f aca="false">IF(B653&lt;Test1_Hand!$B$13,1,0)</f>
        <v>0</v>
      </c>
      <c r="I653" s="23" t="n">
        <f aca="false">Test1_Hand!$B$4+H653*D653</f>
        <v>16</v>
      </c>
      <c r="J653" s="24" t="n">
        <f aca="false">Test1_Hand!$B$6*H653*D653+Test1_Hand!$B$7*MAX(0,I653-Test1_Hand!$B$5)+Test1_Hand!$B$14</f>
        <v>6000</v>
      </c>
    </row>
    <row r="654" customFormat="false" ht="15" hidden="false" customHeight="false" outlineLevel="0" collapsed="false">
      <c r="A654" s="2" t="n">
        <v>642</v>
      </c>
      <c r="B654" s="22" t="n">
        <v>0.0062990116294267</v>
      </c>
      <c r="C654" s="22" t="n">
        <v>0.854921174635276</v>
      </c>
      <c r="D654" s="23" t="n">
        <f aca="false">BETAINV(C654,Test1_Hand!$B$21,Test1_Hand!$B$22,Test1_Hand!$B$9,Test1_Hand!$B$11)</f>
        <v>4.9474373883697</v>
      </c>
      <c r="E654" s="2" t="n">
        <f aca="false">IF(B654&lt;Test1_Hand!$B$12,1,0)</f>
        <v>1</v>
      </c>
      <c r="F654" s="23" t="n">
        <f aca="false">Test1_Hand!$B$4+E654*D654</f>
        <v>20.9474373883697</v>
      </c>
      <c r="G654" s="24" t="n">
        <f aca="false">Test1_Hand!$B$6*E654*D654+Test1_Hand!$B$7*MAX(0,F654-Test1_Hand!$B$5)</f>
        <v>44316.6860488061</v>
      </c>
      <c r="H654" s="2" t="n">
        <f aca="false">IF(B654&lt;Test1_Hand!$B$13,1,0)</f>
        <v>1</v>
      </c>
      <c r="I654" s="23" t="n">
        <f aca="false">Test1_Hand!$B$4+H654*D654</f>
        <v>20.9474373883697</v>
      </c>
      <c r="J654" s="24" t="n">
        <f aca="false">Test1_Hand!$B$6*H654*D654+Test1_Hand!$B$7*MAX(0,I654-Test1_Hand!$B$5)+Test1_Hand!$B$14</f>
        <v>50316.6860488061</v>
      </c>
    </row>
    <row r="655" customFormat="false" ht="15" hidden="false" customHeight="false" outlineLevel="0" collapsed="false">
      <c r="A655" s="2" t="n">
        <v>643</v>
      </c>
      <c r="B655" s="22" t="n">
        <v>0.857834210772431</v>
      </c>
      <c r="C655" s="22" t="n">
        <v>0.872352161688991</v>
      </c>
      <c r="D655" s="23" t="n">
        <f aca="false">BETAINV(C655,Test1_Hand!$B$21,Test1_Hand!$B$22,Test1_Hand!$B$9,Test1_Hand!$B$11)</f>
        <v>5.06454441613007</v>
      </c>
      <c r="E655" s="2" t="n">
        <f aca="false">IF(B655&lt;Test1_Hand!$B$12,1,0)</f>
        <v>0</v>
      </c>
      <c r="F655" s="23" t="n">
        <f aca="false">Test1_Hand!$B$4+E655*D655</f>
        <v>16</v>
      </c>
      <c r="G655" s="24" t="n">
        <f aca="false">Test1_Hand!$B$6*E655*D655+Test1_Hand!$B$7*MAX(0,F655-Test1_Hand!$B$5)</f>
        <v>0</v>
      </c>
      <c r="H655" s="2" t="n">
        <f aca="false">IF(B655&lt;Test1_Hand!$B$13,1,0)</f>
        <v>0</v>
      </c>
      <c r="I655" s="23" t="n">
        <f aca="false">Test1_Hand!$B$4+H655*D655</f>
        <v>16</v>
      </c>
      <c r="J655" s="24" t="n">
        <f aca="false">Test1_Hand!$B$6*H655*D655+Test1_Hand!$B$7*MAX(0,I655-Test1_Hand!$B$5)+Test1_Hand!$B$14</f>
        <v>6000</v>
      </c>
    </row>
    <row r="656" customFormat="false" ht="15" hidden="false" customHeight="false" outlineLevel="0" collapsed="false">
      <c r="A656" s="2" t="n">
        <v>644</v>
      </c>
      <c r="B656" s="22" t="n">
        <v>0.174984277819608</v>
      </c>
      <c r="C656" s="22" t="n">
        <v>0.0262535181674041</v>
      </c>
      <c r="D656" s="23" t="n">
        <f aca="false">BETAINV(C656,Test1_Hand!$B$21,Test1_Hand!$B$22,Test1_Hand!$B$9,Test1_Hand!$B$11)</f>
        <v>1.45563861131409</v>
      </c>
      <c r="E656" s="2" t="n">
        <f aca="false">IF(B656&lt;Test1_Hand!$B$12,1,0)</f>
        <v>1</v>
      </c>
      <c r="F656" s="23" t="n">
        <f aca="false">Test1_Hand!$B$4+E656*D656</f>
        <v>17.4556386113141</v>
      </c>
      <c r="G656" s="24" t="n">
        <f aca="false">Test1_Hand!$B$6*E656*D656+Test1_Hand!$B$7*MAX(0,F656-Test1_Hand!$B$5)</f>
        <v>11645.1088905127</v>
      </c>
      <c r="H656" s="2" t="n">
        <f aca="false">IF(B656&lt;Test1_Hand!$B$13,1,0)</f>
        <v>1</v>
      </c>
      <c r="I656" s="23" t="n">
        <f aca="false">Test1_Hand!$B$4+H656*D656</f>
        <v>17.4556386113141</v>
      </c>
      <c r="J656" s="24" t="n">
        <f aca="false">Test1_Hand!$B$6*H656*D656+Test1_Hand!$B$7*MAX(0,I656-Test1_Hand!$B$5)+Test1_Hand!$B$14</f>
        <v>17645.1088905127</v>
      </c>
    </row>
    <row r="657" customFormat="false" ht="15" hidden="false" customHeight="false" outlineLevel="0" collapsed="false">
      <c r="A657" s="2" t="n">
        <v>645</v>
      </c>
      <c r="B657" s="22" t="n">
        <v>0.47766939172362</v>
      </c>
      <c r="C657" s="22" t="n">
        <v>0.452475249773859</v>
      </c>
      <c r="D657" s="23" t="n">
        <f aca="false">BETAINV(C657,Test1_Hand!$B$21,Test1_Hand!$B$22,Test1_Hand!$B$9,Test1_Hand!$B$11)</f>
        <v>3.21655634589488</v>
      </c>
      <c r="E657" s="2" t="n">
        <f aca="false">IF(B657&lt;Test1_Hand!$B$12,1,0)</f>
        <v>1</v>
      </c>
      <c r="F657" s="23" t="n">
        <f aca="false">Test1_Hand!$B$4+E657*D657</f>
        <v>19.2165563458949</v>
      </c>
      <c r="G657" s="24" t="n">
        <f aca="false">Test1_Hand!$B$6*E657*D657+Test1_Hand!$B$7*MAX(0,F657-Test1_Hand!$B$5)</f>
        <v>25732.4507671591</v>
      </c>
      <c r="H657" s="2" t="n">
        <f aca="false">IF(B657&lt;Test1_Hand!$B$13,1,0)</f>
        <v>0</v>
      </c>
      <c r="I657" s="23" t="n">
        <f aca="false">Test1_Hand!$B$4+H657*D657</f>
        <v>16</v>
      </c>
      <c r="J657" s="24" t="n">
        <f aca="false">Test1_Hand!$B$6*H657*D657+Test1_Hand!$B$7*MAX(0,I657-Test1_Hand!$B$5)+Test1_Hand!$B$14</f>
        <v>6000</v>
      </c>
    </row>
    <row r="658" customFormat="false" ht="15" hidden="false" customHeight="false" outlineLevel="0" collapsed="false">
      <c r="A658" s="2" t="n">
        <v>646</v>
      </c>
      <c r="B658" s="22" t="n">
        <v>0.512281929326393</v>
      </c>
      <c r="C658" s="22" t="n">
        <v>0.717030166977275</v>
      </c>
      <c r="D658" s="23" t="n">
        <f aca="false">BETAINV(C658,Test1_Hand!$B$21,Test1_Hand!$B$22,Test1_Hand!$B$9,Test1_Hand!$B$11)</f>
        <v>4.22391699371309</v>
      </c>
      <c r="E658" s="2" t="n">
        <f aca="false">IF(B658&lt;Test1_Hand!$B$12,1,0)</f>
        <v>0</v>
      </c>
      <c r="F658" s="23" t="n">
        <f aca="false">Test1_Hand!$B$4+E658*D658</f>
        <v>16</v>
      </c>
      <c r="G658" s="24" t="n">
        <f aca="false">Test1_Hand!$B$6*E658*D658+Test1_Hand!$B$7*MAX(0,F658-Test1_Hand!$B$5)</f>
        <v>0</v>
      </c>
      <c r="H658" s="2" t="n">
        <f aca="false">IF(B658&lt;Test1_Hand!$B$13,1,0)</f>
        <v>0</v>
      </c>
      <c r="I658" s="23" t="n">
        <f aca="false">Test1_Hand!$B$4+H658*D658</f>
        <v>16</v>
      </c>
      <c r="J658" s="24" t="n">
        <f aca="false">Test1_Hand!$B$6*H658*D658+Test1_Hand!$B$7*MAX(0,I658-Test1_Hand!$B$5)+Test1_Hand!$B$14</f>
        <v>6000</v>
      </c>
    </row>
    <row r="659" customFormat="false" ht="15" hidden="false" customHeight="false" outlineLevel="0" collapsed="false">
      <c r="A659" s="2" t="n">
        <v>647</v>
      </c>
      <c r="B659" s="22" t="n">
        <v>0.863812759753679</v>
      </c>
      <c r="C659" s="22" t="n">
        <v>0.492814408943529</v>
      </c>
      <c r="D659" s="23" t="n">
        <f aca="false">BETAINV(C659,Test1_Hand!$B$21,Test1_Hand!$B$22,Test1_Hand!$B$9,Test1_Hand!$B$11)</f>
        <v>3.35727649548087</v>
      </c>
      <c r="E659" s="2" t="n">
        <f aca="false">IF(B659&lt;Test1_Hand!$B$12,1,0)</f>
        <v>0</v>
      </c>
      <c r="F659" s="23" t="n">
        <f aca="false">Test1_Hand!$B$4+E659*D659</f>
        <v>16</v>
      </c>
      <c r="G659" s="24" t="n">
        <f aca="false">Test1_Hand!$B$6*E659*D659+Test1_Hand!$B$7*MAX(0,F659-Test1_Hand!$B$5)</f>
        <v>0</v>
      </c>
      <c r="H659" s="2" t="n">
        <f aca="false">IF(B659&lt;Test1_Hand!$B$13,1,0)</f>
        <v>0</v>
      </c>
      <c r="I659" s="23" t="n">
        <f aca="false">Test1_Hand!$B$4+H659*D659</f>
        <v>16</v>
      </c>
      <c r="J659" s="24" t="n">
        <f aca="false">Test1_Hand!$B$6*H659*D659+Test1_Hand!$B$7*MAX(0,I659-Test1_Hand!$B$5)+Test1_Hand!$B$14</f>
        <v>6000</v>
      </c>
    </row>
    <row r="660" customFormat="false" ht="15" hidden="false" customHeight="false" outlineLevel="0" collapsed="false">
      <c r="A660" s="2" t="n">
        <v>648</v>
      </c>
      <c r="B660" s="22" t="n">
        <v>0.775844679931475</v>
      </c>
      <c r="C660" s="22" t="n">
        <v>0.00561551011452355</v>
      </c>
      <c r="D660" s="23" t="n">
        <f aca="false">BETAINV(C660,Test1_Hand!$B$21,Test1_Hand!$B$22,Test1_Hand!$B$9,Test1_Hand!$B$11)</f>
        <v>1.21483768618787</v>
      </c>
      <c r="E660" s="2" t="n">
        <f aca="false">IF(B660&lt;Test1_Hand!$B$12,1,0)</f>
        <v>0</v>
      </c>
      <c r="F660" s="23" t="n">
        <f aca="false">Test1_Hand!$B$4+E660*D660</f>
        <v>16</v>
      </c>
      <c r="G660" s="24" t="n">
        <f aca="false">Test1_Hand!$B$6*E660*D660+Test1_Hand!$B$7*MAX(0,F660-Test1_Hand!$B$5)</f>
        <v>0</v>
      </c>
      <c r="H660" s="2" t="n">
        <f aca="false">IF(B660&lt;Test1_Hand!$B$13,1,0)</f>
        <v>0</v>
      </c>
      <c r="I660" s="23" t="n">
        <f aca="false">Test1_Hand!$B$4+H660*D660</f>
        <v>16</v>
      </c>
      <c r="J660" s="24" t="n">
        <f aca="false">Test1_Hand!$B$6*H660*D660+Test1_Hand!$B$7*MAX(0,I660-Test1_Hand!$B$5)+Test1_Hand!$B$14</f>
        <v>6000</v>
      </c>
    </row>
    <row r="661" customFormat="false" ht="15" hidden="false" customHeight="false" outlineLevel="0" collapsed="false">
      <c r="A661" s="2" t="n">
        <v>649</v>
      </c>
      <c r="B661" s="22" t="n">
        <v>0.21224389661033</v>
      </c>
      <c r="C661" s="22" t="n">
        <v>0.246649561466721</v>
      </c>
      <c r="D661" s="23" t="n">
        <f aca="false">BETAINV(C661,Test1_Hand!$B$21,Test1_Hand!$B$22,Test1_Hand!$B$9,Test1_Hand!$B$11)</f>
        <v>2.50029643915559</v>
      </c>
      <c r="E661" s="2" t="n">
        <f aca="false">IF(B661&lt;Test1_Hand!$B$12,1,0)</f>
        <v>1</v>
      </c>
      <c r="F661" s="23" t="n">
        <f aca="false">Test1_Hand!$B$4+E661*D661</f>
        <v>18.5002964391556</v>
      </c>
      <c r="G661" s="24" t="n">
        <f aca="false">Test1_Hand!$B$6*E661*D661+Test1_Hand!$B$7*MAX(0,F661-Test1_Hand!$B$5)</f>
        <v>20002.3715132447</v>
      </c>
      <c r="H661" s="2" t="n">
        <f aca="false">IF(B661&lt;Test1_Hand!$B$13,1,0)</f>
        <v>0</v>
      </c>
      <c r="I661" s="23" t="n">
        <f aca="false">Test1_Hand!$B$4+H661*D661</f>
        <v>16</v>
      </c>
      <c r="J661" s="24" t="n">
        <f aca="false">Test1_Hand!$B$6*H661*D661+Test1_Hand!$B$7*MAX(0,I661-Test1_Hand!$B$5)+Test1_Hand!$B$14</f>
        <v>6000</v>
      </c>
    </row>
    <row r="662" customFormat="false" ht="15" hidden="false" customHeight="false" outlineLevel="0" collapsed="false">
      <c r="A662" s="2" t="n">
        <v>650</v>
      </c>
      <c r="B662" s="22" t="n">
        <v>0.389602984678132</v>
      </c>
      <c r="C662" s="22" t="n">
        <v>0.861506689579416</v>
      </c>
      <c r="D662" s="23" t="n">
        <f aca="false">BETAINV(C662,Test1_Hand!$B$21,Test1_Hand!$B$22,Test1_Hand!$B$9,Test1_Hand!$B$11)</f>
        <v>4.99061299327816</v>
      </c>
      <c r="E662" s="2" t="n">
        <f aca="false">IF(B662&lt;Test1_Hand!$B$12,1,0)</f>
        <v>1</v>
      </c>
      <c r="F662" s="23" t="n">
        <f aca="false">Test1_Hand!$B$4+E662*D662</f>
        <v>20.9906129932782</v>
      </c>
      <c r="G662" s="24" t="n">
        <f aca="false">Test1_Hand!$B$6*E662*D662+Test1_Hand!$B$7*MAX(0,F662-Test1_Hand!$B$5)</f>
        <v>44877.968912616</v>
      </c>
      <c r="H662" s="2" t="n">
        <f aca="false">IF(B662&lt;Test1_Hand!$B$13,1,0)</f>
        <v>0</v>
      </c>
      <c r="I662" s="23" t="n">
        <f aca="false">Test1_Hand!$B$4+H662*D662</f>
        <v>16</v>
      </c>
      <c r="J662" s="24" t="n">
        <f aca="false">Test1_Hand!$B$6*H662*D662+Test1_Hand!$B$7*MAX(0,I662-Test1_Hand!$B$5)+Test1_Hand!$B$14</f>
        <v>6000</v>
      </c>
    </row>
    <row r="663" customFormat="false" ht="15" hidden="false" customHeight="false" outlineLevel="0" collapsed="false">
      <c r="A663" s="2" t="n">
        <v>651</v>
      </c>
      <c r="B663" s="22" t="n">
        <v>0.174170192237742</v>
      </c>
      <c r="C663" s="22" t="n">
        <v>0.835169052209874</v>
      </c>
      <c r="D663" s="23" t="n">
        <f aca="false">BETAINV(C663,Test1_Hand!$B$21,Test1_Hand!$B$22,Test1_Hand!$B$9,Test1_Hand!$B$11)</f>
        <v>4.82462890612447</v>
      </c>
      <c r="E663" s="2" t="n">
        <f aca="false">IF(B663&lt;Test1_Hand!$B$12,1,0)</f>
        <v>1</v>
      </c>
      <c r="F663" s="23" t="n">
        <f aca="false">Test1_Hand!$B$4+E663*D663</f>
        <v>20.8246289061245</v>
      </c>
      <c r="G663" s="24" t="n">
        <f aca="false">Test1_Hand!$B$6*E663*D663+Test1_Hand!$B$7*MAX(0,F663-Test1_Hand!$B$5)</f>
        <v>42720.1757796181</v>
      </c>
      <c r="H663" s="2" t="n">
        <f aca="false">IF(B663&lt;Test1_Hand!$B$13,1,0)</f>
        <v>1</v>
      </c>
      <c r="I663" s="23" t="n">
        <f aca="false">Test1_Hand!$B$4+H663*D663</f>
        <v>20.8246289061245</v>
      </c>
      <c r="J663" s="24" t="n">
        <f aca="false">Test1_Hand!$B$6*H663*D663+Test1_Hand!$B$7*MAX(0,I663-Test1_Hand!$B$5)+Test1_Hand!$B$14</f>
        <v>48720.1757796181</v>
      </c>
    </row>
    <row r="664" customFormat="false" ht="15" hidden="false" customHeight="false" outlineLevel="0" collapsed="false">
      <c r="A664" s="2" t="n">
        <v>652</v>
      </c>
      <c r="B664" s="22" t="n">
        <v>0.15876794888792</v>
      </c>
      <c r="C664" s="22" t="n">
        <v>0.156944346198087</v>
      </c>
      <c r="D664" s="23" t="n">
        <f aca="false">BETAINV(C664,Test1_Hand!$B$21,Test1_Hand!$B$22,Test1_Hand!$B$9,Test1_Hand!$B$11)</f>
        <v>2.15629688697026</v>
      </c>
      <c r="E664" s="2" t="n">
        <f aca="false">IF(B664&lt;Test1_Hand!$B$12,1,0)</f>
        <v>1</v>
      </c>
      <c r="F664" s="23" t="n">
        <f aca="false">Test1_Hand!$B$4+E664*D664</f>
        <v>18.1562968869703</v>
      </c>
      <c r="G664" s="24" t="n">
        <f aca="false">Test1_Hand!$B$6*E664*D664+Test1_Hand!$B$7*MAX(0,F664-Test1_Hand!$B$5)</f>
        <v>17250.3750957621</v>
      </c>
      <c r="H664" s="2" t="n">
        <f aca="false">IF(B664&lt;Test1_Hand!$B$13,1,0)</f>
        <v>1</v>
      </c>
      <c r="I664" s="23" t="n">
        <f aca="false">Test1_Hand!$B$4+H664*D664</f>
        <v>18.1562968869703</v>
      </c>
      <c r="J664" s="24" t="n">
        <f aca="false">Test1_Hand!$B$6*H664*D664+Test1_Hand!$B$7*MAX(0,I664-Test1_Hand!$B$5)+Test1_Hand!$B$14</f>
        <v>23250.3750957621</v>
      </c>
    </row>
    <row r="665" customFormat="false" ht="15" hidden="false" customHeight="false" outlineLevel="0" collapsed="false">
      <c r="A665" s="2" t="n">
        <v>653</v>
      </c>
      <c r="B665" s="22" t="n">
        <v>0.361744286224696</v>
      </c>
      <c r="C665" s="22" t="n">
        <v>0.47646801919757</v>
      </c>
      <c r="D665" s="23" t="n">
        <f aca="false">BETAINV(C665,Test1_Hand!$B$21,Test1_Hand!$B$22,Test1_Hand!$B$9,Test1_Hand!$B$11)</f>
        <v>3.2999955598922</v>
      </c>
      <c r="E665" s="2" t="n">
        <f aca="false">IF(B665&lt;Test1_Hand!$B$12,1,0)</f>
        <v>1</v>
      </c>
      <c r="F665" s="23" t="n">
        <f aca="false">Test1_Hand!$B$4+E665*D665</f>
        <v>19.2999955598922</v>
      </c>
      <c r="G665" s="24" t="n">
        <f aca="false">Test1_Hand!$B$6*E665*D665+Test1_Hand!$B$7*MAX(0,F665-Test1_Hand!$B$5)</f>
        <v>26399.9644791376</v>
      </c>
      <c r="H665" s="2" t="n">
        <f aca="false">IF(B665&lt;Test1_Hand!$B$13,1,0)</f>
        <v>0</v>
      </c>
      <c r="I665" s="23" t="n">
        <f aca="false">Test1_Hand!$B$4+H665*D665</f>
        <v>16</v>
      </c>
      <c r="J665" s="24" t="n">
        <f aca="false">Test1_Hand!$B$6*H665*D665+Test1_Hand!$B$7*MAX(0,I665-Test1_Hand!$B$5)+Test1_Hand!$B$14</f>
        <v>6000</v>
      </c>
    </row>
    <row r="666" customFormat="false" ht="15" hidden="false" customHeight="false" outlineLevel="0" collapsed="false">
      <c r="A666" s="2" t="n">
        <v>654</v>
      </c>
      <c r="B666" s="22" t="n">
        <v>0.85919850533168</v>
      </c>
      <c r="C666" s="22" t="n">
        <v>0.590320927720063</v>
      </c>
      <c r="D666" s="23" t="n">
        <f aca="false">BETAINV(C666,Test1_Hand!$B$21,Test1_Hand!$B$22,Test1_Hand!$B$9,Test1_Hand!$B$11)</f>
        <v>3.71052217907283</v>
      </c>
      <c r="E666" s="2" t="n">
        <f aca="false">IF(B666&lt;Test1_Hand!$B$12,1,0)</f>
        <v>0</v>
      </c>
      <c r="F666" s="23" t="n">
        <f aca="false">Test1_Hand!$B$4+E666*D666</f>
        <v>16</v>
      </c>
      <c r="G666" s="24" t="n">
        <f aca="false">Test1_Hand!$B$6*E666*D666+Test1_Hand!$B$7*MAX(0,F666-Test1_Hand!$B$5)</f>
        <v>0</v>
      </c>
      <c r="H666" s="2" t="n">
        <f aca="false">IF(B666&lt;Test1_Hand!$B$13,1,0)</f>
        <v>0</v>
      </c>
      <c r="I666" s="23" t="n">
        <f aca="false">Test1_Hand!$B$4+H666*D666</f>
        <v>16</v>
      </c>
      <c r="J666" s="24" t="n">
        <f aca="false">Test1_Hand!$B$6*H666*D666+Test1_Hand!$B$7*MAX(0,I666-Test1_Hand!$B$5)+Test1_Hand!$B$14</f>
        <v>6000</v>
      </c>
    </row>
    <row r="667" customFormat="false" ht="15" hidden="false" customHeight="false" outlineLevel="0" collapsed="false">
      <c r="A667" s="2" t="n">
        <v>655</v>
      </c>
      <c r="B667" s="22" t="n">
        <v>0.28969904607378</v>
      </c>
      <c r="C667" s="22" t="n">
        <v>0.152369419942755</v>
      </c>
      <c r="D667" s="23" t="n">
        <f aca="false">BETAINV(C667,Test1_Hand!$B$21,Test1_Hand!$B$22,Test1_Hand!$B$9,Test1_Hand!$B$11)</f>
        <v>2.13738866960803</v>
      </c>
      <c r="E667" s="2" t="n">
        <f aca="false">IF(B667&lt;Test1_Hand!$B$12,1,0)</f>
        <v>1</v>
      </c>
      <c r="F667" s="23" t="n">
        <f aca="false">Test1_Hand!$B$4+E667*D667</f>
        <v>18.137388669608</v>
      </c>
      <c r="G667" s="24" t="n">
        <f aca="false">Test1_Hand!$B$6*E667*D667+Test1_Hand!$B$7*MAX(0,F667-Test1_Hand!$B$5)</f>
        <v>17099.1093568642</v>
      </c>
      <c r="H667" s="2" t="n">
        <f aca="false">IF(B667&lt;Test1_Hand!$B$13,1,0)</f>
        <v>0</v>
      </c>
      <c r="I667" s="23" t="n">
        <f aca="false">Test1_Hand!$B$4+H667*D667</f>
        <v>16</v>
      </c>
      <c r="J667" s="24" t="n">
        <f aca="false">Test1_Hand!$B$6*H667*D667+Test1_Hand!$B$7*MAX(0,I667-Test1_Hand!$B$5)+Test1_Hand!$B$14</f>
        <v>6000</v>
      </c>
    </row>
    <row r="668" customFormat="false" ht="15" hidden="false" customHeight="false" outlineLevel="0" collapsed="false">
      <c r="A668" s="2" t="n">
        <v>656</v>
      </c>
      <c r="B668" s="22" t="n">
        <v>0.571420594596061</v>
      </c>
      <c r="C668" s="22" t="n">
        <v>0.769610476668318</v>
      </c>
      <c r="D668" s="23" t="n">
        <f aca="false">BETAINV(C668,Test1_Hand!$B$21,Test1_Hand!$B$22,Test1_Hand!$B$9,Test1_Hand!$B$11)</f>
        <v>4.46970052549213</v>
      </c>
      <c r="E668" s="2" t="n">
        <f aca="false">IF(B668&lt;Test1_Hand!$B$12,1,0)</f>
        <v>0</v>
      </c>
      <c r="F668" s="23" t="n">
        <f aca="false">Test1_Hand!$B$4+E668*D668</f>
        <v>16</v>
      </c>
      <c r="G668" s="24" t="n">
        <f aca="false">Test1_Hand!$B$6*E668*D668+Test1_Hand!$B$7*MAX(0,F668-Test1_Hand!$B$5)</f>
        <v>0</v>
      </c>
      <c r="H668" s="2" t="n">
        <f aca="false">IF(B668&lt;Test1_Hand!$B$13,1,0)</f>
        <v>0</v>
      </c>
      <c r="I668" s="23" t="n">
        <f aca="false">Test1_Hand!$B$4+H668*D668</f>
        <v>16</v>
      </c>
      <c r="J668" s="24" t="n">
        <f aca="false">Test1_Hand!$B$6*H668*D668+Test1_Hand!$B$7*MAX(0,I668-Test1_Hand!$B$5)+Test1_Hand!$B$14</f>
        <v>6000</v>
      </c>
    </row>
    <row r="669" customFormat="false" ht="15" hidden="false" customHeight="false" outlineLevel="0" collapsed="false">
      <c r="A669" s="2" t="n">
        <v>657</v>
      </c>
      <c r="B669" s="22" t="n">
        <v>0.441949754211079</v>
      </c>
      <c r="C669" s="22" t="n">
        <v>0.226100004099462</v>
      </c>
      <c r="D669" s="23" t="n">
        <f aca="false">BETAINV(C669,Test1_Hand!$B$21,Test1_Hand!$B$22,Test1_Hand!$B$9,Test1_Hand!$B$11)</f>
        <v>2.4249222896621</v>
      </c>
      <c r="E669" s="2" t="n">
        <f aca="false">IF(B669&lt;Test1_Hand!$B$12,1,0)</f>
        <v>1</v>
      </c>
      <c r="F669" s="23" t="n">
        <f aca="false">Test1_Hand!$B$4+E669*D669</f>
        <v>18.4249222896621</v>
      </c>
      <c r="G669" s="24" t="n">
        <f aca="false">Test1_Hand!$B$6*E669*D669+Test1_Hand!$B$7*MAX(0,F669-Test1_Hand!$B$5)</f>
        <v>19399.3783172968</v>
      </c>
      <c r="H669" s="2" t="n">
        <f aca="false">IF(B669&lt;Test1_Hand!$B$13,1,0)</f>
        <v>0</v>
      </c>
      <c r="I669" s="23" t="n">
        <f aca="false">Test1_Hand!$B$4+H669*D669</f>
        <v>16</v>
      </c>
      <c r="J669" s="24" t="n">
        <f aca="false">Test1_Hand!$B$6*H669*D669+Test1_Hand!$B$7*MAX(0,I669-Test1_Hand!$B$5)+Test1_Hand!$B$14</f>
        <v>6000</v>
      </c>
    </row>
    <row r="670" customFormat="false" ht="15" hidden="false" customHeight="false" outlineLevel="0" collapsed="false">
      <c r="A670" s="2" t="n">
        <v>658</v>
      </c>
      <c r="B670" s="22" t="n">
        <v>0.30244402101836</v>
      </c>
      <c r="C670" s="22" t="n">
        <v>0.450657228122974</v>
      </c>
      <c r="D670" s="23" t="n">
        <f aca="false">BETAINV(C670,Test1_Hand!$B$21,Test1_Hand!$B$22,Test1_Hand!$B$9,Test1_Hand!$B$11)</f>
        <v>3.21025953623911</v>
      </c>
      <c r="E670" s="2" t="n">
        <f aca="false">IF(B670&lt;Test1_Hand!$B$12,1,0)</f>
        <v>1</v>
      </c>
      <c r="F670" s="23" t="n">
        <f aca="false">Test1_Hand!$B$4+E670*D670</f>
        <v>19.2102595362391</v>
      </c>
      <c r="G670" s="24" t="n">
        <f aca="false">Test1_Hand!$B$6*E670*D670+Test1_Hand!$B$7*MAX(0,F670-Test1_Hand!$B$5)</f>
        <v>25682.0762899129</v>
      </c>
      <c r="H670" s="2" t="n">
        <f aca="false">IF(B670&lt;Test1_Hand!$B$13,1,0)</f>
        <v>0</v>
      </c>
      <c r="I670" s="23" t="n">
        <f aca="false">Test1_Hand!$B$4+H670*D670</f>
        <v>16</v>
      </c>
      <c r="J670" s="24" t="n">
        <f aca="false">Test1_Hand!$B$6*H670*D670+Test1_Hand!$B$7*MAX(0,I670-Test1_Hand!$B$5)+Test1_Hand!$B$14</f>
        <v>6000</v>
      </c>
    </row>
    <row r="671" customFormat="false" ht="15" hidden="false" customHeight="false" outlineLevel="0" collapsed="false">
      <c r="A671" s="2" t="n">
        <v>659</v>
      </c>
      <c r="B671" s="22" t="n">
        <v>0.873168354324434</v>
      </c>
      <c r="C671" s="22" t="n">
        <v>0.909650488561781</v>
      </c>
      <c r="D671" s="23" t="n">
        <f aca="false">BETAINV(C671,Test1_Hand!$B$21,Test1_Hand!$B$22,Test1_Hand!$B$9,Test1_Hand!$B$11)</f>
        <v>5.35389217591439</v>
      </c>
      <c r="E671" s="2" t="n">
        <f aca="false">IF(B671&lt;Test1_Hand!$B$12,1,0)</f>
        <v>0</v>
      </c>
      <c r="F671" s="23" t="n">
        <f aca="false">Test1_Hand!$B$4+E671*D671</f>
        <v>16</v>
      </c>
      <c r="G671" s="24" t="n">
        <f aca="false">Test1_Hand!$B$6*E671*D671+Test1_Hand!$B$7*MAX(0,F671-Test1_Hand!$B$5)</f>
        <v>0</v>
      </c>
      <c r="H671" s="2" t="n">
        <f aca="false">IF(B671&lt;Test1_Hand!$B$13,1,0)</f>
        <v>0</v>
      </c>
      <c r="I671" s="23" t="n">
        <f aca="false">Test1_Hand!$B$4+H671*D671</f>
        <v>16</v>
      </c>
      <c r="J671" s="24" t="n">
        <f aca="false">Test1_Hand!$B$6*H671*D671+Test1_Hand!$B$7*MAX(0,I671-Test1_Hand!$B$5)+Test1_Hand!$B$14</f>
        <v>6000</v>
      </c>
    </row>
    <row r="672" customFormat="false" ht="15" hidden="false" customHeight="false" outlineLevel="0" collapsed="false">
      <c r="A672" s="2" t="n">
        <v>660</v>
      </c>
      <c r="B672" s="22" t="n">
        <v>0.105459484674555</v>
      </c>
      <c r="C672" s="22" t="n">
        <v>0.0716946714461955</v>
      </c>
      <c r="D672" s="23" t="n">
        <f aca="false">BETAINV(C672,Test1_Hand!$B$21,Test1_Hand!$B$22,Test1_Hand!$B$9,Test1_Hand!$B$11)</f>
        <v>1.75883618224107</v>
      </c>
      <c r="E672" s="2" t="n">
        <f aca="false">IF(B672&lt;Test1_Hand!$B$12,1,0)</f>
        <v>1</v>
      </c>
      <c r="F672" s="23" t="n">
        <f aca="false">Test1_Hand!$B$4+E672*D672</f>
        <v>17.7588361822411</v>
      </c>
      <c r="G672" s="24" t="n">
        <f aca="false">Test1_Hand!$B$6*E672*D672+Test1_Hand!$B$7*MAX(0,F672-Test1_Hand!$B$5)</f>
        <v>14070.6894579286</v>
      </c>
      <c r="H672" s="2" t="n">
        <f aca="false">IF(B672&lt;Test1_Hand!$B$13,1,0)</f>
        <v>1</v>
      </c>
      <c r="I672" s="23" t="n">
        <f aca="false">Test1_Hand!$B$4+H672*D672</f>
        <v>17.7588361822411</v>
      </c>
      <c r="J672" s="24" t="n">
        <f aca="false">Test1_Hand!$B$6*H672*D672+Test1_Hand!$B$7*MAX(0,I672-Test1_Hand!$B$5)+Test1_Hand!$B$14</f>
        <v>20070.6894579286</v>
      </c>
    </row>
    <row r="673" customFormat="false" ht="15" hidden="false" customHeight="false" outlineLevel="0" collapsed="false">
      <c r="A673" s="2" t="n">
        <v>661</v>
      </c>
      <c r="B673" s="22" t="n">
        <v>0.285459289033751</v>
      </c>
      <c r="C673" s="22" t="n">
        <v>0.00169738316361123</v>
      </c>
      <c r="D673" s="23" t="n">
        <f aca="false">BETAINV(C673,Test1_Hand!$B$21,Test1_Hand!$B$22,Test1_Hand!$B$9,Test1_Hand!$B$11)</f>
        <v>1.12141949236312</v>
      </c>
      <c r="E673" s="2" t="n">
        <f aca="false">IF(B673&lt;Test1_Hand!$B$12,1,0)</f>
        <v>1</v>
      </c>
      <c r="F673" s="23" t="n">
        <f aca="false">Test1_Hand!$B$4+E673*D673</f>
        <v>17.1214194923631</v>
      </c>
      <c r="G673" s="24" t="n">
        <f aca="false">Test1_Hand!$B$6*E673*D673+Test1_Hand!$B$7*MAX(0,F673-Test1_Hand!$B$5)</f>
        <v>8971.35593890498</v>
      </c>
      <c r="H673" s="2" t="n">
        <f aca="false">IF(B673&lt;Test1_Hand!$B$13,1,0)</f>
        <v>0</v>
      </c>
      <c r="I673" s="23" t="n">
        <f aca="false">Test1_Hand!$B$4+H673*D673</f>
        <v>16</v>
      </c>
      <c r="J673" s="24" t="n">
        <f aca="false">Test1_Hand!$B$6*H673*D673+Test1_Hand!$B$7*MAX(0,I673-Test1_Hand!$B$5)+Test1_Hand!$B$14</f>
        <v>6000</v>
      </c>
    </row>
    <row r="674" customFormat="false" ht="15" hidden="false" customHeight="false" outlineLevel="0" collapsed="false">
      <c r="A674" s="2" t="n">
        <v>662</v>
      </c>
      <c r="B674" s="22" t="n">
        <v>0.5242437383973</v>
      </c>
      <c r="C674" s="22" t="n">
        <v>0.957152138509651</v>
      </c>
      <c r="D674" s="23" t="n">
        <f aca="false">BETAINV(C674,Test1_Hand!$B$21,Test1_Hand!$B$22,Test1_Hand!$B$9,Test1_Hand!$B$11)</f>
        <v>5.87042216360706</v>
      </c>
      <c r="E674" s="2" t="n">
        <f aca="false">IF(B674&lt;Test1_Hand!$B$12,1,0)</f>
        <v>0</v>
      </c>
      <c r="F674" s="23" t="n">
        <f aca="false">Test1_Hand!$B$4+E674*D674</f>
        <v>16</v>
      </c>
      <c r="G674" s="24" t="n">
        <f aca="false">Test1_Hand!$B$6*E674*D674+Test1_Hand!$B$7*MAX(0,F674-Test1_Hand!$B$5)</f>
        <v>0</v>
      </c>
      <c r="H674" s="2" t="n">
        <f aca="false">IF(B674&lt;Test1_Hand!$B$13,1,0)</f>
        <v>0</v>
      </c>
      <c r="I674" s="23" t="n">
        <f aca="false">Test1_Hand!$B$4+H674*D674</f>
        <v>16</v>
      </c>
      <c r="J674" s="24" t="n">
        <f aca="false">Test1_Hand!$B$6*H674*D674+Test1_Hand!$B$7*MAX(0,I674-Test1_Hand!$B$5)+Test1_Hand!$B$14</f>
        <v>6000</v>
      </c>
    </row>
    <row r="675" customFormat="false" ht="15" hidden="false" customHeight="false" outlineLevel="0" collapsed="false">
      <c r="A675" s="2" t="n">
        <v>663</v>
      </c>
      <c r="B675" s="22" t="n">
        <v>0.765481659454898</v>
      </c>
      <c r="C675" s="22" t="n">
        <v>0.311808328917346</v>
      </c>
      <c r="D675" s="23" t="n">
        <f aca="false">BETAINV(C675,Test1_Hand!$B$21,Test1_Hand!$B$22,Test1_Hand!$B$9,Test1_Hand!$B$11)</f>
        <v>2.73160170095047</v>
      </c>
      <c r="E675" s="2" t="n">
        <f aca="false">IF(B675&lt;Test1_Hand!$B$12,1,0)</f>
        <v>0</v>
      </c>
      <c r="F675" s="23" t="n">
        <f aca="false">Test1_Hand!$B$4+E675*D675</f>
        <v>16</v>
      </c>
      <c r="G675" s="24" t="n">
        <f aca="false">Test1_Hand!$B$6*E675*D675+Test1_Hand!$B$7*MAX(0,F675-Test1_Hand!$B$5)</f>
        <v>0</v>
      </c>
      <c r="H675" s="2" t="n">
        <f aca="false">IF(B675&lt;Test1_Hand!$B$13,1,0)</f>
        <v>0</v>
      </c>
      <c r="I675" s="23" t="n">
        <f aca="false">Test1_Hand!$B$4+H675*D675</f>
        <v>16</v>
      </c>
      <c r="J675" s="24" t="n">
        <f aca="false">Test1_Hand!$B$6*H675*D675+Test1_Hand!$B$7*MAX(0,I675-Test1_Hand!$B$5)+Test1_Hand!$B$14</f>
        <v>6000</v>
      </c>
    </row>
    <row r="676" customFormat="false" ht="15" hidden="false" customHeight="false" outlineLevel="0" collapsed="false">
      <c r="A676" s="2" t="n">
        <v>664</v>
      </c>
      <c r="B676" s="22" t="n">
        <v>0.0193152942309547</v>
      </c>
      <c r="C676" s="22" t="n">
        <v>0.647823583474385</v>
      </c>
      <c r="D676" s="23" t="n">
        <f aca="false">BETAINV(C676,Test1_Hand!$B$21,Test1_Hand!$B$22,Test1_Hand!$B$9,Test1_Hand!$B$11)</f>
        <v>3.93314284629082</v>
      </c>
      <c r="E676" s="2" t="n">
        <f aca="false">IF(B676&lt;Test1_Hand!$B$12,1,0)</f>
        <v>1</v>
      </c>
      <c r="F676" s="23" t="n">
        <f aca="false">Test1_Hand!$B$4+E676*D676</f>
        <v>19.9331428462908</v>
      </c>
      <c r="G676" s="24" t="n">
        <f aca="false">Test1_Hand!$B$6*E676*D676+Test1_Hand!$B$7*MAX(0,F676-Test1_Hand!$B$5)</f>
        <v>31465.1427703266</v>
      </c>
      <c r="H676" s="2" t="n">
        <f aca="false">IF(B676&lt;Test1_Hand!$B$13,1,0)</f>
        <v>1</v>
      </c>
      <c r="I676" s="23" t="n">
        <f aca="false">Test1_Hand!$B$4+H676*D676</f>
        <v>19.9331428462908</v>
      </c>
      <c r="J676" s="24" t="n">
        <f aca="false">Test1_Hand!$B$6*H676*D676+Test1_Hand!$B$7*MAX(0,I676-Test1_Hand!$B$5)+Test1_Hand!$B$14</f>
        <v>37465.1427703266</v>
      </c>
    </row>
    <row r="677" customFormat="false" ht="15" hidden="false" customHeight="false" outlineLevel="0" collapsed="false">
      <c r="A677" s="2" t="n">
        <v>665</v>
      </c>
      <c r="B677" s="22" t="n">
        <v>0.7372300219268</v>
      </c>
      <c r="C677" s="22" t="n">
        <v>0.865577118936005</v>
      </c>
      <c r="D677" s="23" t="n">
        <f aca="false">BETAINV(C677,Test1_Hand!$B$21,Test1_Hand!$B$22,Test1_Hand!$B$9,Test1_Hand!$B$11)</f>
        <v>5.01792887647633</v>
      </c>
      <c r="E677" s="2" t="n">
        <f aca="false">IF(B677&lt;Test1_Hand!$B$12,1,0)</f>
        <v>0</v>
      </c>
      <c r="F677" s="23" t="n">
        <f aca="false">Test1_Hand!$B$4+E677*D677</f>
        <v>16</v>
      </c>
      <c r="G677" s="24" t="n">
        <f aca="false">Test1_Hand!$B$6*E677*D677+Test1_Hand!$B$7*MAX(0,F677-Test1_Hand!$B$5)</f>
        <v>0</v>
      </c>
      <c r="H677" s="2" t="n">
        <f aca="false">IF(B677&lt;Test1_Hand!$B$13,1,0)</f>
        <v>0</v>
      </c>
      <c r="I677" s="23" t="n">
        <f aca="false">Test1_Hand!$B$4+H677*D677</f>
        <v>16</v>
      </c>
      <c r="J677" s="24" t="n">
        <f aca="false">Test1_Hand!$B$6*H677*D677+Test1_Hand!$B$7*MAX(0,I677-Test1_Hand!$B$5)+Test1_Hand!$B$14</f>
        <v>6000</v>
      </c>
    </row>
    <row r="678" customFormat="false" ht="15" hidden="false" customHeight="false" outlineLevel="0" collapsed="false">
      <c r="A678" s="2" t="n">
        <v>666</v>
      </c>
      <c r="B678" s="22" t="n">
        <v>0.860552117645115</v>
      </c>
      <c r="C678" s="22" t="n">
        <v>0.73404466467066</v>
      </c>
      <c r="D678" s="23" t="n">
        <f aca="false">BETAINV(C678,Test1_Hand!$B$21,Test1_Hand!$B$22,Test1_Hand!$B$9,Test1_Hand!$B$11)</f>
        <v>4.30060720987908</v>
      </c>
      <c r="E678" s="2" t="n">
        <f aca="false">IF(B678&lt;Test1_Hand!$B$12,1,0)</f>
        <v>0</v>
      </c>
      <c r="F678" s="23" t="n">
        <f aca="false">Test1_Hand!$B$4+E678*D678</f>
        <v>16</v>
      </c>
      <c r="G678" s="24" t="n">
        <f aca="false">Test1_Hand!$B$6*E678*D678+Test1_Hand!$B$7*MAX(0,F678-Test1_Hand!$B$5)</f>
        <v>0</v>
      </c>
      <c r="H678" s="2" t="n">
        <f aca="false">IF(B678&lt;Test1_Hand!$B$13,1,0)</f>
        <v>0</v>
      </c>
      <c r="I678" s="23" t="n">
        <f aca="false">Test1_Hand!$B$4+H678*D678</f>
        <v>16</v>
      </c>
      <c r="J678" s="24" t="n">
        <f aca="false">Test1_Hand!$B$6*H678*D678+Test1_Hand!$B$7*MAX(0,I678-Test1_Hand!$B$5)+Test1_Hand!$B$14</f>
        <v>6000</v>
      </c>
    </row>
    <row r="679" customFormat="false" ht="15" hidden="false" customHeight="false" outlineLevel="0" collapsed="false">
      <c r="A679" s="2" t="n">
        <v>667</v>
      </c>
      <c r="B679" s="22" t="n">
        <v>0.55174205870798</v>
      </c>
      <c r="C679" s="22" t="n">
        <v>0.381588178053094</v>
      </c>
      <c r="D679" s="23" t="n">
        <f aca="false">BETAINV(C679,Test1_Hand!$B$21,Test1_Hand!$B$22,Test1_Hand!$B$9,Test1_Hand!$B$11)</f>
        <v>2.97251966761803</v>
      </c>
      <c r="E679" s="2" t="n">
        <f aca="false">IF(B679&lt;Test1_Hand!$B$12,1,0)</f>
        <v>0</v>
      </c>
      <c r="F679" s="23" t="n">
        <f aca="false">Test1_Hand!$B$4+E679*D679</f>
        <v>16</v>
      </c>
      <c r="G679" s="24" t="n">
        <f aca="false">Test1_Hand!$B$6*E679*D679+Test1_Hand!$B$7*MAX(0,F679-Test1_Hand!$B$5)</f>
        <v>0</v>
      </c>
      <c r="H679" s="2" t="n">
        <f aca="false">IF(B679&lt;Test1_Hand!$B$13,1,0)</f>
        <v>0</v>
      </c>
      <c r="I679" s="23" t="n">
        <f aca="false">Test1_Hand!$B$4+H679*D679</f>
        <v>16</v>
      </c>
      <c r="J679" s="24" t="n">
        <f aca="false">Test1_Hand!$B$6*H679*D679+Test1_Hand!$B$7*MAX(0,I679-Test1_Hand!$B$5)+Test1_Hand!$B$14</f>
        <v>6000</v>
      </c>
    </row>
    <row r="680" customFormat="false" ht="15" hidden="false" customHeight="false" outlineLevel="0" collapsed="false">
      <c r="A680" s="2" t="n">
        <v>668</v>
      </c>
      <c r="B680" s="22" t="n">
        <v>0.328925032347639</v>
      </c>
      <c r="C680" s="22" t="n">
        <v>0.789400486084341</v>
      </c>
      <c r="D680" s="23" t="n">
        <f aca="false">BETAINV(C680,Test1_Hand!$B$21,Test1_Hand!$B$22,Test1_Hand!$B$9,Test1_Hand!$B$11)</f>
        <v>4.56998824101194</v>
      </c>
      <c r="E680" s="2" t="n">
        <f aca="false">IF(B680&lt;Test1_Hand!$B$12,1,0)</f>
        <v>1</v>
      </c>
      <c r="F680" s="23" t="n">
        <f aca="false">Test1_Hand!$B$4+E680*D680</f>
        <v>20.5699882410119</v>
      </c>
      <c r="G680" s="24" t="n">
        <f aca="false">Test1_Hand!$B$6*E680*D680+Test1_Hand!$B$7*MAX(0,F680-Test1_Hand!$B$5)</f>
        <v>39409.8471331552</v>
      </c>
      <c r="H680" s="2" t="n">
        <f aca="false">IF(B680&lt;Test1_Hand!$B$13,1,0)</f>
        <v>0</v>
      </c>
      <c r="I680" s="23" t="n">
        <f aca="false">Test1_Hand!$B$4+H680*D680</f>
        <v>16</v>
      </c>
      <c r="J680" s="24" t="n">
        <f aca="false">Test1_Hand!$B$6*H680*D680+Test1_Hand!$B$7*MAX(0,I680-Test1_Hand!$B$5)+Test1_Hand!$B$14</f>
        <v>6000</v>
      </c>
    </row>
    <row r="681" customFormat="false" ht="15" hidden="false" customHeight="false" outlineLevel="0" collapsed="false">
      <c r="A681" s="2" t="n">
        <v>669</v>
      </c>
      <c r="B681" s="22" t="n">
        <v>0.600097993331922</v>
      </c>
      <c r="C681" s="22" t="n">
        <v>0.917511771248438</v>
      </c>
      <c r="D681" s="23" t="n">
        <f aca="false">BETAINV(C681,Test1_Hand!$B$21,Test1_Hand!$B$22,Test1_Hand!$B$9,Test1_Hand!$B$11)</f>
        <v>5.42424804650652</v>
      </c>
      <c r="E681" s="2" t="n">
        <f aca="false">IF(B681&lt;Test1_Hand!$B$12,1,0)</f>
        <v>0</v>
      </c>
      <c r="F681" s="23" t="n">
        <f aca="false">Test1_Hand!$B$4+E681*D681</f>
        <v>16</v>
      </c>
      <c r="G681" s="24" t="n">
        <f aca="false">Test1_Hand!$B$6*E681*D681+Test1_Hand!$B$7*MAX(0,F681-Test1_Hand!$B$5)</f>
        <v>0</v>
      </c>
      <c r="H681" s="2" t="n">
        <f aca="false">IF(B681&lt;Test1_Hand!$B$13,1,0)</f>
        <v>0</v>
      </c>
      <c r="I681" s="23" t="n">
        <f aca="false">Test1_Hand!$B$4+H681*D681</f>
        <v>16</v>
      </c>
      <c r="J681" s="24" t="n">
        <f aca="false">Test1_Hand!$B$6*H681*D681+Test1_Hand!$B$7*MAX(0,I681-Test1_Hand!$B$5)+Test1_Hand!$B$14</f>
        <v>6000</v>
      </c>
    </row>
    <row r="682" customFormat="false" ht="15" hidden="false" customHeight="false" outlineLevel="0" collapsed="false">
      <c r="A682" s="2" t="n">
        <v>670</v>
      </c>
      <c r="B682" s="22" t="n">
        <v>0.76520643567691</v>
      </c>
      <c r="C682" s="22" t="n">
        <v>0.235615194420705</v>
      </c>
      <c r="D682" s="23" t="n">
        <f aca="false">BETAINV(C682,Test1_Hand!$B$21,Test1_Hand!$B$22,Test1_Hand!$B$9,Test1_Hand!$B$11)</f>
        <v>2.46001122516634</v>
      </c>
      <c r="E682" s="2" t="n">
        <f aca="false">IF(B682&lt;Test1_Hand!$B$12,1,0)</f>
        <v>0</v>
      </c>
      <c r="F682" s="23" t="n">
        <f aca="false">Test1_Hand!$B$4+E682*D682</f>
        <v>16</v>
      </c>
      <c r="G682" s="24" t="n">
        <f aca="false">Test1_Hand!$B$6*E682*D682+Test1_Hand!$B$7*MAX(0,F682-Test1_Hand!$B$5)</f>
        <v>0</v>
      </c>
      <c r="H682" s="2" t="n">
        <f aca="false">IF(B682&lt;Test1_Hand!$B$13,1,0)</f>
        <v>0</v>
      </c>
      <c r="I682" s="23" t="n">
        <f aca="false">Test1_Hand!$B$4+H682*D682</f>
        <v>16</v>
      </c>
      <c r="J682" s="24" t="n">
        <f aca="false">Test1_Hand!$B$6*H682*D682+Test1_Hand!$B$7*MAX(0,I682-Test1_Hand!$B$5)+Test1_Hand!$B$14</f>
        <v>6000</v>
      </c>
    </row>
    <row r="683" customFormat="false" ht="15" hidden="false" customHeight="false" outlineLevel="0" collapsed="false">
      <c r="A683" s="2" t="n">
        <v>671</v>
      </c>
      <c r="B683" s="22" t="n">
        <v>0.119030177558478</v>
      </c>
      <c r="C683" s="22" t="n">
        <v>0.00885261059508891</v>
      </c>
      <c r="D683" s="23" t="n">
        <f aca="false">BETAINV(C683,Test1_Hand!$B$21,Test1_Hand!$B$22,Test1_Hand!$B$9,Test1_Hand!$B$11)</f>
        <v>1.2675410962828</v>
      </c>
      <c r="E683" s="2" t="n">
        <f aca="false">IF(B683&lt;Test1_Hand!$B$12,1,0)</f>
        <v>1</v>
      </c>
      <c r="F683" s="23" t="n">
        <f aca="false">Test1_Hand!$B$4+E683*D683</f>
        <v>17.2675410962828</v>
      </c>
      <c r="G683" s="24" t="n">
        <f aca="false">Test1_Hand!$B$6*E683*D683+Test1_Hand!$B$7*MAX(0,F683-Test1_Hand!$B$5)</f>
        <v>10140.3287702624</v>
      </c>
      <c r="H683" s="2" t="n">
        <f aca="false">IF(B683&lt;Test1_Hand!$B$13,1,0)</f>
        <v>1</v>
      </c>
      <c r="I683" s="23" t="n">
        <f aca="false">Test1_Hand!$B$4+H683*D683</f>
        <v>17.2675410962828</v>
      </c>
      <c r="J683" s="24" t="n">
        <f aca="false">Test1_Hand!$B$6*H683*D683+Test1_Hand!$B$7*MAX(0,I683-Test1_Hand!$B$5)+Test1_Hand!$B$14</f>
        <v>16140.3287702624</v>
      </c>
    </row>
    <row r="684" customFormat="false" ht="15" hidden="false" customHeight="false" outlineLevel="0" collapsed="false">
      <c r="A684" s="2" t="n">
        <v>672</v>
      </c>
      <c r="B684" s="22" t="n">
        <v>0.0770379802620484</v>
      </c>
      <c r="C684" s="22" t="n">
        <v>0.363171499114376</v>
      </c>
      <c r="D684" s="23" t="n">
        <f aca="false">BETAINV(C684,Test1_Hand!$B$21,Test1_Hand!$B$22,Test1_Hand!$B$9,Test1_Hand!$B$11)</f>
        <v>2.90923958551651</v>
      </c>
      <c r="E684" s="2" t="n">
        <f aca="false">IF(B684&lt;Test1_Hand!$B$12,1,0)</f>
        <v>1</v>
      </c>
      <c r="F684" s="23" t="n">
        <f aca="false">Test1_Hand!$B$4+E684*D684</f>
        <v>18.9092395855165</v>
      </c>
      <c r="G684" s="24" t="n">
        <f aca="false">Test1_Hand!$B$6*E684*D684+Test1_Hand!$B$7*MAX(0,F684-Test1_Hand!$B$5)</f>
        <v>23273.9166841321</v>
      </c>
      <c r="H684" s="2" t="n">
        <f aca="false">IF(B684&lt;Test1_Hand!$B$13,1,0)</f>
        <v>1</v>
      </c>
      <c r="I684" s="23" t="n">
        <f aca="false">Test1_Hand!$B$4+H684*D684</f>
        <v>18.9092395855165</v>
      </c>
      <c r="J684" s="24" t="n">
        <f aca="false">Test1_Hand!$B$6*H684*D684+Test1_Hand!$B$7*MAX(0,I684-Test1_Hand!$B$5)+Test1_Hand!$B$14</f>
        <v>29273.9166841321</v>
      </c>
    </row>
    <row r="685" customFormat="false" ht="15" hidden="false" customHeight="false" outlineLevel="0" collapsed="false">
      <c r="A685" s="2" t="n">
        <v>673</v>
      </c>
      <c r="B685" s="22" t="n">
        <v>0.92470848118258</v>
      </c>
      <c r="C685" s="22" t="n">
        <v>0.324770900235992</v>
      </c>
      <c r="D685" s="23" t="n">
        <f aca="false">BETAINV(C685,Test1_Hand!$B$21,Test1_Hand!$B$22,Test1_Hand!$B$9,Test1_Hand!$B$11)</f>
        <v>2.77668008150236</v>
      </c>
      <c r="E685" s="2" t="n">
        <f aca="false">IF(B685&lt;Test1_Hand!$B$12,1,0)</f>
        <v>0</v>
      </c>
      <c r="F685" s="23" t="n">
        <f aca="false">Test1_Hand!$B$4+E685*D685</f>
        <v>16</v>
      </c>
      <c r="G685" s="24" t="n">
        <f aca="false">Test1_Hand!$B$6*E685*D685+Test1_Hand!$B$7*MAX(0,F685-Test1_Hand!$B$5)</f>
        <v>0</v>
      </c>
      <c r="H685" s="2" t="n">
        <f aca="false">IF(B685&lt;Test1_Hand!$B$13,1,0)</f>
        <v>0</v>
      </c>
      <c r="I685" s="23" t="n">
        <f aca="false">Test1_Hand!$B$4+H685*D685</f>
        <v>16</v>
      </c>
      <c r="J685" s="24" t="n">
        <f aca="false">Test1_Hand!$B$6*H685*D685+Test1_Hand!$B$7*MAX(0,I685-Test1_Hand!$B$5)+Test1_Hand!$B$14</f>
        <v>6000</v>
      </c>
    </row>
    <row r="686" customFormat="false" ht="15" hidden="false" customHeight="false" outlineLevel="0" collapsed="false">
      <c r="A686" s="2" t="n">
        <v>674</v>
      </c>
      <c r="B686" s="22" t="n">
        <v>0.030451921228795</v>
      </c>
      <c r="C686" s="22" t="n">
        <v>0.847220696165772</v>
      </c>
      <c r="D686" s="23" t="n">
        <f aca="false">BETAINV(C686,Test1_Hand!$B$21,Test1_Hand!$B$22,Test1_Hand!$B$9,Test1_Hand!$B$11)</f>
        <v>4.89843273059471</v>
      </c>
      <c r="E686" s="2" t="n">
        <f aca="false">IF(B686&lt;Test1_Hand!$B$12,1,0)</f>
        <v>1</v>
      </c>
      <c r="F686" s="23" t="n">
        <f aca="false">Test1_Hand!$B$4+E686*D686</f>
        <v>20.8984327305947</v>
      </c>
      <c r="G686" s="24" t="n">
        <f aca="false">Test1_Hand!$B$6*E686*D686+Test1_Hand!$B$7*MAX(0,F686-Test1_Hand!$B$5)</f>
        <v>43679.6254977313</v>
      </c>
      <c r="H686" s="2" t="n">
        <f aca="false">IF(B686&lt;Test1_Hand!$B$13,1,0)</f>
        <v>1</v>
      </c>
      <c r="I686" s="23" t="n">
        <f aca="false">Test1_Hand!$B$4+H686*D686</f>
        <v>20.8984327305947</v>
      </c>
      <c r="J686" s="24" t="n">
        <f aca="false">Test1_Hand!$B$6*H686*D686+Test1_Hand!$B$7*MAX(0,I686-Test1_Hand!$B$5)+Test1_Hand!$B$14</f>
        <v>49679.6254977313</v>
      </c>
    </row>
    <row r="687" customFormat="false" ht="15" hidden="false" customHeight="false" outlineLevel="0" collapsed="false">
      <c r="A687" s="2" t="n">
        <v>675</v>
      </c>
      <c r="B687" s="22" t="n">
        <v>0.452095100532175</v>
      </c>
      <c r="C687" s="22" t="n">
        <v>0.532652321027719</v>
      </c>
      <c r="D687" s="23" t="n">
        <f aca="false">BETAINV(C687,Test1_Hand!$B$21,Test1_Hand!$B$22,Test1_Hand!$B$9,Test1_Hand!$B$11)</f>
        <v>3.49882953947544</v>
      </c>
      <c r="E687" s="2" t="n">
        <f aca="false">IF(B687&lt;Test1_Hand!$B$12,1,0)</f>
        <v>1</v>
      </c>
      <c r="F687" s="23" t="n">
        <f aca="false">Test1_Hand!$B$4+E687*D687</f>
        <v>19.4988295394754</v>
      </c>
      <c r="G687" s="24" t="n">
        <f aca="false">Test1_Hand!$B$6*E687*D687+Test1_Hand!$B$7*MAX(0,F687-Test1_Hand!$B$5)</f>
        <v>27990.6363158035</v>
      </c>
      <c r="H687" s="2" t="n">
        <f aca="false">IF(B687&lt;Test1_Hand!$B$13,1,0)</f>
        <v>0</v>
      </c>
      <c r="I687" s="23" t="n">
        <f aca="false">Test1_Hand!$B$4+H687*D687</f>
        <v>16</v>
      </c>
      <c r="J687" s="24" t="n">
        <f aca="false">Test1_Hand!$B$6*H687*D687+Test1_Hand!$B$7*MAX(0,I687-Test1_Hand!$B$5)+Test1_Hand!$B$14</f>
        <v>6000</v>
      </c>
    </row>
    <row r="688" customFormat="false" ht="15" hidden="false" customHeight="false" outlineLevel="0" collapsed="false">
      <c r="A688" s="2" t="n">
        <v>676</v>
      </c>
      <c r="B688" s="22" t="n">
        <v>0.639089739804683</v>
      </c>
      <c r="C688" s="22" t="n">
        <v>0.0995983081234052</v>
      </c>
      <c r="D688" s="23" t="n">
        <f aca="false">BETAINV(C688,Test1_Hand!$B$21,Test1_Hand!$B$22,Test1_Hand!$B$9,Test1_Hand!$B$11)</f>
        <v>1.90241246671665</v>
      </c>
      <c r="E688" s="2" t="n">
        <f aca="false">IF(B688&lt;Test1_Hand!$B$12,1,0)</f>
        <v>0</v>
      </c>
      <c r="F688" s="23" t="n">
        <f aca="false">Test1_Hand!$B$4+E688*D688</f>
        <v>16</v>
      </c>
      <c r="G688" s="24" t="n">
        <f aca="false">Test1_Hand!$B$6*E688*D688+Test1_Hand!$B$7*MAX(0,F688-Test1_Hand!$B$5)</f>
        <v>0</v>
      </c>
      <c r="H688" s="2" t="n">
        <f aca="false">IF(B688&lt;Test1_Hand!$B$13,1,0)</f>
        <v>0</v>
      </c>
      <c r="I688" s="23" t="n">
        <f aca="false">Test1_Hand!$B$4+H688*D688</f>
        <v>16</v>
      </c>
      <c r="J688" s="24" t="n">
        <f aca="false">Test1_Hand!$B$6*H688*D688+Test1_Hand!$B$7*MAX(0,I688-Test1_Hand!$B$5)+Test1_Hand!$B$14</f>
        <v>6000</v>
      </c>
    </row>
    <row r="689" customFormat="false" ht="15" hidden="false" customHeight="false" outlineLevel="0" collapsed="false">
      <c r="A689" s="2" t="n">
        <v>677</v>
      </c>
      <c r="B689" s="22" t="n">
        <v>0.519736732496534</v>
      </c>
      <c r="C689" s="22" t="n">
        <v>0.288605785053842</v>
      </c>
      <c r="D689" s="23" t="n">
        <f aca="false">BETAINV(C689,Test1_Hand!$B$21,Test1_Hand!$B$22,Test1_Hand!$B$9,Test1_Hand!$B$11)</f>
        <v>2.65028004917273</v>
      </c>
      <c r="E689" s="2" t="n">
        <f aca="false">IF(B689&lt;Test1_Hand!$B$12,1,0)</f>
        <v>0</v>
      </c>
      <c r="F689" s="23" t="n">
        <f aca="false">Test1_Hand!$B$4+E689*D689</f>
        <v>16</v>
      </c>
      <c r="G689" s="24" t="n">
        <f aca="false">Test1_Hand!$B$6*E689*D689+Test1_Hand!$B$7*MAX(0,F689-Test1_Hand!$B$5)</f>
        <v>0</v>
      </c>
      <c r="H689" s="2" t="n">
        <f aca="false">IF(B689&lt;Test1_Hand!$B$13,1,0)</f>
        <v>0</v>
      </c>
      <c r="I689" s="23" t="n">
        <f aca="false">Test1_Hand!$B$4+H689*D689</f>
        <v>16</v>
      </c>
      <c r="J689" s="24" t="n">
        <f aca="false">Test1_Hand!$B$6*H689*D689+Test1_Hand!$B$7*MAX(0,I689-Test1_Hand!$B$5)+Test1_Hand!$B$14</f>
        <v>6000</v>
      </c>
    </row>
    <row r="690" customFormat="false" ht="15" hidden="false" customHeight="false" outlineLevel="0" collapsed="false">
      <c r="A690" s="2" t="n">
        <v>678</v>
      </c>
      <c r="B690" s="22" t="n">
        <v>0.244753403718556</v>
      </c>
      <c r="C690" s="22" t="n">
        <v>0.0269873842325344</v>
      </c>
      <c r="D690" s="23" t="n">
        <f aca="false">BETAINV(C690,Test1_Hand!$B$21,Test1_Hand!$B$22,Test1_Hand!$B$9,Test1_Hand!$B$11)</f>
        <v>1.46192944373985</v>
      </c>
      <c r="E690" s="2" t="n">
        <f aca="false">IF(B690&lt;Test1_Hand!$B$12,1,0)</f>
        <v>1</v>
      </c>
      <c r="F690" s="23" t="n">
        <f aca="false">Test1_Hand!$B$4+E690*D690</f>
        <v>17.4619294437399</v>
      </c>
      <c r="G690" s="24" t="n">
        <f aca="false">Test1_Hand!$B$6*E690*D690+Test1_Hand!$B$7*MAX(0,F690-Test1_Hand!$B$5)</f>
        <v>11695.4355499188</v>
      </c>
      <c r="H690" s="2" t="n">
        <f aca="false">IF(B690&lt;Test1_Hand!$B$13,1,0)</f>
        <v>0</v>
      </c>
      <c r="I690" s="23" t="n">
        <f aca="false">Test1_Hand!$B$4+H690*D690</f>
        <v>16</v>
      </c>
      <c r="J690" s="24" t="n">
        <f aca="false">Test1_Hand!$B$6*H690*D690+Test1_Hand!$B$7*MAX(0,I690-Test1_Hand!$B$5)+Test1_Hand!$B$14</f>
        <v>6000</v>
      </c>
    </row>
    <row r="691" customFormat="false" ht="15" hidden="false" customHeight="false" outlineLevel="0" collapsed="false">
      <c r="A691" s="2" t="n">
        <v>679</v>
      </c>
      <c r="B691" s="22" t="n">
        <v>0.483657258925573</v>
      </c>
      <c r="C691" s="22" t="n">
        <v>0.0454429521325455</v>
      </c>
      <c r="D691" s="23" t="n">
        <f aca="false">BETAINV(C691,Test1_Hand!$B$21,Test1_Hand!$B$22,Test1_Hand!$B$9,Test1_Hand!$B$11)</f>
        <v>1.60022078110332</v>
      </c>
      <c r="E691" s="2" t="n">
        <f aca="false">IF(B691&lt;Test1_Hand!$B$12,1,0)</f>
        <v>1</v>
      </c>
      <c r="F691" s="23" t="n">
        <f aca="false">Test1_Hand!$B$4+E691*D691</f>
        <v>17.6002207811033</v>
      </c>
      <c r="G691" s="24" t="n">
        <f aca="false">Test1_Hand!$B$6*E691*D691+Test1_Hand!$B$7*MAX(0,F691-Test1_Hand!$B$5)</f>
        <v>12801.7662488265</v>
      </c>
      <c r="H691" s="2" t="n">
        <f aca="false">IF(B691&lt;Test1_Hand!$B$13,1,0)</f>
        <v>0</v>
      </c>
      <c r="I691" s="23" t="n">
        <f aca="false">Test1_Hand!$B$4+H691*D691</f>
        <v>16</v>
      </c>
      <c r="J691" s="24" t="n">
        <f aca="false">Test1_Hand!$B$6*H691*D691+Test1_Hand!$B$7*MAX(0,I691-Test1_Hand!$B$5)+Test1_Hand!$B$14</f>
        <v>6000</v>
      </c>
    </row>
    <row r="692" customFormat="false" ht="15" hidden="false" customHeight="false" outlineLevel="0" collapsed="false">
      <c r="A692" s="2" t="n">
        <v>680</v>
      </c>
      <c r="B692" s="22" t="n">
        <v>0.0871141386058896</v>
      </c>
      <c r="C692" s="22" t="n">
        <v>0.596721599713683</v>
      </c>
      <c r="D692" s="23" t="n">
        <f aca="false">BETAINV(C692,Test1_Hand!$B$21,Test1_Hand!$B$22,Test1_Hand!$B$9,Test1_Hand!$B$11)</f>
        <v>3.73465128157254</v>
      </c>
      <c r="E692" s="2" t="n">
        <f aca="false">IF(B692&lt;Test1_Hand!$B$12,1,0)</f>
        <v>1</v>
      </c>
      <c r="F692" s="23" t="n">
        <f aca="false">Test1_Hand!$B$4+E692*D692</f>
        <v>19.7346512815725</v>
      </c>
      <c r="G692" s="24" t="n">
        <f aca="false">Test1_Hand!$B$6*E692*D692+Test1_Hand!$B$7*MAX(0,F692-Test1_Hand!$B$5)</f>
        <v>29877.2102525803</v>
      </c>
      <c r="H692" s="2" t="n">
        <f aca="false">IF(B692&lt;Test1_Hand!$B$13,1,0)</f>
        <v>1</v>
      </c>
      <c r="I692" s="23" t="n">
        <f aca="false">Test1_Hand!$B$4+H692*D692</f>
        <v>19.7346512815725</v>
      </c>
      <c r="J692" s="24" t="n">
        <f aca="false">Test1_Hand!$B$6*H692*D692+Test1_Hand!$B$7*MAX(0,I692-Test1_Hand!$B$5)+Test1_Hand!$B$14</f>
        <v>35877.2102525803</v>
      </c>
    </row>
    <row r="693" customFormat="false" ht="15" hidden="false" customHeight="false" outlineLevel="0" collapsed="false">
      <c r="A693" s="2" t="n">
        <v>681</v>
      </c>
      <c r="B693" s="22" t="n">
        <v>0.627990578699371</v>
      </c>
      <c r="C693" s="22" t="n">
        <v>0.862304590068328</v>
      </c>
      <c r="D693" s="23" t="n">
        <f aca="false">BETAINV(C693,Test1_Hand!$B$21,Test1_Hand!$B$22,Test1_Hand!$B$9,Test1_Hand!$B$11)</f>
        <v>4.9959284659802</v>
      </c>
      <c r="E693" s="2" t="n">
        <f aca="false">IF(B693&lt;Test1_Hand!$B$12,1,0)</f>
        <v>0</v>
      </c>
      <c r="F693" s="23" t="n">
        <f aca="false">Test1_Hand!$B$4+E693*D693</f>
        <v>16</v>
      </c>
      <c r="G693" s="24" t="n">
        <f aca="false">Test1_Hand!$B$6*E693*D693+Test1_Hand!$B$7*MAX(0,F693-Test1_Hand!$B$5)</f>
        <v>0</v>
      </c>
      <c r="H693" s="2" t="n">
        <f aca="false">IF(B693&lt;Test1_Hand!$B$13,1,0)</f>
        <v>0</v>
      </c>
      <c r="I693" s="23" t="n">
        <f aca="false">Test1_Hand!$B$4+H693*D693</f>
        <v>16</v>
      </c>
      <c r="J693" s="24" t="n">
        <f aca="false">Test1_Hand!$B$6*H693*D693+Test1_Hand!$B$7*MAX(0,I693-Test1_Hand!$B$5)+Test1_Hand!$B$14</f>
        <v>6000</v>
      </c>
    </row>
    <row r="694" customFormat="false" ht="15" hidden="false" customHeight="false" outlineLevel="0" collapsed="false">
      <c r="A694" s="2" t="n">
        <v>682</v>
      </c>
      <c r="B694" s="22" t="n">
        <v>0.916153241768117</v>
      </c>
      <c r="C694" s="22" t="n">
        <v>0.493613496194244</v>
      </c>
      <c r="D694" s="23" t="n">
        <f aca="false">BETAINV(C694,Test1_Hand!$B$21,Test1_Hand!$B$22,Test1_Hand!$B$9,Test1_Hand!$B$11)</f>
        <v>3.36008714502387</v>
      </c>
      <c r="E694" s="2" t="n">
        <f aca="false">IF(B694&lt;Test1_Hand!$B$12,1,0)</f>
        <v>0</v>
      </c>
      <c r="F694" s="23" t="n">
        <f aca="false">Test1_Hand!$B$4+E694*D694</f>
        <v>16</v>
      </c>
      <c r="G694" s="24" t="n">
        <f aca="false">Test1_Hand!$B$6*E694*D694+Test1_Hand!$B$7*MAX(0,F694-Test1_Hand!$B$5)</f>
        <v>0</v>
      </c>
      <c r="H694" s="2" t="n">
        <f aca="false">IF(B694&lt;Test1_Hand!$B$13,1,0)</f>
        <v>0</v>
      </c>
      <c r="I694" s="23" t="n">
        <f aca="false">Test1_Hand!$B$4+H694*D694</f>
        <v>16</v>
      </c>
      <c r="J694" s="24" t="n">
        <f aca="false">Test1_Hand!$B$6*H694*D694+Test1_Hand!$B$7*MAX(0,I694-Test1_Hand!$B$5)+Test1_Hand!$B$14</f>
        <v>6000</v>
      </c>
    </row>
    <row r="695" customFormat="false" ht="15" hidden="false" customHeight="false" outlineLevel="0" collapsed="false">
      <c r="A695" s="2" t="n">
        <v>683</v>
      </c>
      <c r="B695" s="22" t="n">
        <v>0.823312172448777</v>
      </c>
      <c r="C695" s="22" t="n">
        <v>0.179172734919275</v>
      </c>
      <c r="D695" s="23" t="n">
        <f aca="false">BETAINV(C695,Test1_Hand!$B$21,Test1_Hand!$B$22,Test1_Hand!$B$9,Test1_Hand!$B$11)</f>
        <v>2.24581040486162</v>
      </c>
      <c r="E695" s="2" t="n">
        <f aca="false">IF(B695&lt;Test1_Hand!$B$12,1,0)</f>
        <v>0</v>
      </c>
      <c r="F695" s="23" t="n">
        <f aca="false">Test1_Hand!$B$4+E695*D695</f>
        <v>16</v>
      </c>
      <c r="G695" s="24" t="n">
        <f aca="false">Test1_Hand!$B$6*E695*D695+Test1_Hand!$B$7*MAX(0,F695-Test1_Hand!$B$5)</f>
        <v>0</v>
      </c>
      <c r="H695" s="2" t="n">
        <f aca="false">IF(B695&lt;Test1_Hand!$B$13,1,0)</f>
        <v>0</v>
      </c>
      <c r="I695" s="23" t="n">
        <f aca="false">Test1_Hand!$B$4+H695*D695</f>
        <v>16</v>
      </c>
      <c r="J695" s="24" t="n">
        <f aca="false">Test1_Hand!$B$6*H695*D695+Test1_Hand!$B$7*MAX(0,I695-Test1_Hand!$B$5)+Test1_Hand!$B$14</f>
        <v>6000</v>
      </c>
    </row>
    <row r="696" customFormat="false" ht="15" hidden="false" customHeight="false" outlineLevel="0" collapsed="false">
      <c r="A696" s="2" t="n">
        <v>684</v>
      </c>
      <c r="B696" s="22" t="n">
        <v>0.540203982174943</v>
      </c>
      <c r="C696" s="22" t="n">
        <v>0.926441886224857</v>
      </c>
      <c r="D696" s="23" t="n">
        <f aca="false">BETAINV(C696,Test1_Hand!$B$21,Test1_Hand!$B$22,Test1_Hand!$B$9,Test1_Hand!$B$11)</f>
        <v>5.50965550531789</v>
      </c>
      <c r="E696" s="2" t="n">
        <f aca="false">IF(B696&lt;Test1_Hand!$B$12,1,0)</f>
        <v>0</v>
      </c>
      <c r="F696" s="23" t="n">
        <f aca="false">Test1_Hand!$B$4+E696*D696</f>
        <v>16</v>
      </c>
      <c r="G696" s="24" t="n">
        <f aca="false">Test1_Hand!$B$6*E696*D696+Test1_Hand!$B$7*MAX(0,F696-Test1_Hand!$B$5)</f>
        <v>0</v>
      </c>
      <c r="H696" s="2" t="n">
        <f aca="false">IF(B696&lt;Test1_Hand!$B$13,1,0)</f>
        <v>0</v>
      </c>
      <c r="I696" s="23" t="n">
        <f aca="false">Test1_Hand!$B$4+H696*D696</f>
        <v>16</v>
      </c>
      <c r="J696" s="24" t="n">
        <f aca="false">Test1_Hand!$B$6*H696*D696+Test1_Hand!$B$7*MAX(0,I696-Test1_Hand!$B$5)+Test1_Hand!$B$14</f>
        <v>6000</v>
      </c>
    </row>
    <row r="697" customFormat="false" ht="15" hidden="false" customHeight="false" outlineLevel="0" collapsed="false">
      <c r="A697" s="2" t="n">
        <v>685</v>
      </c>
      <c r="B697" s="22" t="n">
        <v>0.0645719743753618</v>
      </c>
      <c r="C697" s="22" t="n">
        <v>0.789170280218156</v>
      </c>
      <c r="D697" s="23" t="n">
        <f aca="false">BETAINV(C697,Test1_Hand!$B$21,Test1_Hand!$B$22,Test1_Hand!$B$9,Test1_Hand!$B$11)</f>
        <v>4.56879216758421</v>
      </c>
      <c r="E697" s="2" t="n">
        <f aca="false">IF(B697&lt;Test1_Hand!$B$12,1,0)</f>
        <v>1</v>
      </c>
      <c r="F697" s="23" t="n">
        <f aca="false">Test1_Hand!$B$4+E697*D697</f>
        <v>20.5687921675842</v>
      </c>
      <c r="G697" s="24" t="n">
        <f aca="false">Test1_Hand!$B$6*E697*D697+Test1_Hand!$B$7*MAX(0,F697-Test1_Hand!$B$5)</f>
        <v>39394.2981785947</v>
      </c>
      <c r="H697" s="2" t="n">
        <f aca="false">IF(B697&lt;Test1_Hand!$B$13,1,0)</f>
        <v>1</v>
      </c>
      <c r="I697" s="23" t="n">
        <f aca="false">Test1_Hand!$B$4+H697*D697</f>
        <v>20.5687921675842</v>
      </c>
      <c r="J697" s="24" t="n">
        <f aca="false">Test1_Hand!$B$6*H697*D697+Test1_Hand!$B$7*MAX(0,I697-Test1_Hand!$B$5)+Test1_Hand!$B$14</f>
        <v>45394.2981785947</v>
      </c>
    </row>
    <row r="698" customFormat="false" ht="15" hidden="false" customHeight="false" outlineLevel="0" collapsed="false">
      <c r="A698" s="2" t="n">
        <v>686</v>
      </c>
      <c r="B698" s="22" t="n">
        <v>0.160742427208171</v>
      </c>
      <c r="C698" s="22" t="n">
        <v>0.0429277781726841</v>
      </c>
      <c r="D698" s="23" t="n">
        <f aca="false">BETAINV(C698,Test1_Hand!$B$21,Test1_Hand!$B$22,Test1_Hand!$B$9,Test1_Hand!$B$11)</f>
        <v>1.58312547088575</v>
      </c>
      <c r="E698" s="2" t="n">
        <f aca="false">IF(B698&lt;Test1_Hand!$B$12,1,0)</f>
        <v>1</v>
      </c>
      <c r="F698" s="23" t="n">
        <f aca="false">Test1_Hand!$B$4+E698*D698</f>
        <v>17.5831254708857</v>
      </c>
      <c r="G698" s="24" t="n">
        <f aca="false">Test1_Hand!$B$6*E698*D698+Test1_Hand!$B$7*MAX(0,F698-Test1_Hand!$B$5)</f>
        <v>12665.003767086</v>
      </c>
      <c r="H698" s="2" t="n">
        <f aca="false">IF(B698&lt;Test1_Hand!$B$13,1,0)</f>
        <v>1</v>
      </c>
      <c r="I698" s="23" t="n">
        <f aca="false">Test1_Hand!$B$4+H698*D698</f>
        <v>17.5831254708857</v>
      </c>
      <c r="J698" s="24" t="n">
        <f aca="false">Test1_Hand!$B$6*H698*D698+Test1_Hand!$B$7*MAX(0,I698-Test1_Hand!$B$5)+Test1_Hand!$B$14</f>
        <v>18665.003767086</v>
      </c>
    </row>
    <row r="699" customFormat="false" ht="15" hidden="false" customHeight="false" outlineLevel="0" collapsed="false">
      <c r="A699" s="2" t="n">
        <v>687</v>
      </c>
      <c r="B699" s="22" t="n">
        <v>0.53632125995726</v>
      </c>
      <c r="C699" s="22" t="n">
        <v>0.872807270482149</v>
      </c>
      <c r="D699" s="23" t="n">
        <f aca="false">BETAINV(C699,Test1_Hand!$B$21,Test1_Hand!$B$22,Test1_Hand!$B$9,Test1_Hand!$B$11)</f>
        <v>5.06772989491275</v>
      </c>
      <c r="E699" s="2" t="n">
        <f aca="false">IF(B699&lt;Test1_Hand!$B$12,1,0)</f>
        <v>0</v>
      </c>
      <c r="F699" s="23" t="n">
        <f aca="false">Test1_Hand!$B$4+E699*D699</f>
        <v>16</v>
      </c>
      <c r="G699" s="24" t="n">
        <f aca="false">Test1_Hand!$B$6*E699*D699+Test1_Hand!$B$7*MAX(0,F699-Test1_Hand!$B$5)</f>
        <v>0</v>
      </c>
      <c r="H699" s="2" t="n">
        <f aca="false">IF(B699&lt;Test1_Hand!$B$13,1,0)</f>
        <v>0</v>
      </c>
      <c r="I699" s="23" t="n">
        <f aca="false">Test1_Hand!$B$4+H699*D699</f>
        <v>16</v>
      </c>
      <c r="J699" s="24" t="n">
        <f aca="false">Test1_Hand!$B$6*H699*D699+Test1_Hand!$B$7*MAX(0,I699-Test1_Hand!$B$5)+Test1_Hand!$B$14</f>
        <v>6000</v>
      </c>
    </row>
    <row r="700" customFormat="false" ht="15" hidden="false" customHeight="false" outlineLevel="0" collapsed="false">
      <c r="A700" s="2" t="n">
        <v>688</v>
      </c>
      <c r="B700" s="22" t="n">
        <v>0.333139089021002</v>
      </c>
      <c r="C700" s="22" t="n">
        <v>0.228044277952875</v>
      </c>
      <c r="D700" s="23" t="n">
        <f aca="false">BETAINV(C700,Test1_Hand!$B$21,Test1_Hand!$B$22,Test1_Hand!$B$9,Test1_Hand!$B$11)</f>
        <v>2.43212026249302</v>
      </c>
      <c r="E700" s="2" t="n">
        <f aca="false">IF(B700&lt;Test1_Hand!$B$12,1,0)</f>
        <v>1</v>
      </c>
      <c r="F700" s="23" t="n">
        <f aca="false">Test1_Hand!$B$4+E700*D700</f>
        <v>18.432120262493</v>
      </c>
      <c r="G700" s="24" t="n">
        <f aca="false">Test1_Hand!$B$6*E700*D700+Test1_Hand!$B$7*MAX(0,F700-Test1_Hand!$B$5)</f>
        <v>19456.9620999442</v>
      </c>
      <c r="H700" s="2" t="n">
        <f aca="false">IF(B700&lt;Test1_Hand!$B$13,1,0)</f>
        <v>0</v>
      </c>
      <c r="I700" s="23" t="n">
        <f aca="false">Test1_Hand!$B$4+H700*D700</f>
        <v>16</v>
      </c>
      <c r="J700" s="24" t="n">
        <f aca="false">Test1_Hand!$B$6*H700*D700+Test1_Hand!$B$7*MAX(0,I700-Test1_Hand!$B$5)+Test1_Hand!$B$14</f>
        <v>6000</v>
      </c>
    </row>
    <row r="701" customFormat="false" ht="15" hidden="false" customHeight="false" outlineLevel="0" collapsed="false">
      <c r="A701" s="2" t="n">
        <v>689</v>
      </c>
      <c r="B701" s="22" t="n">
        <v>0.312552792629501</v>
      </c>
      <c r="C701" s="22" t="n">
        <v>0.227179828409913</v>
      </c>
      <c r="D701" s="23" t="n">
        <f aca="false">BETAINV(C701,Test1_Hand!$B$21,Test1_Hand!$B$22,Test1_Hand!$B$9,Test1_Hand!$B$11)</f>
        <v>2.42892178635232</v>
      </c>
      <c r="E701" s="2" t="n">
        <f aca="false">IF(B701&lt;Test1_Hand!$B$12,1,0)</f>
        <v>1</v>
      </c>
      <c r="F701" s="23" t="n">
        <f aca="false">Test1_Hand!$B$4+E701*D701</f>
        <v>18.4289217863523</v>
      </c>
      <c r="G701" s="24" t="n">
        <f aca="false">Test1_Hand!$B$6*E701*D701+Test1_Hand!$B$7*MAX(0,F701-Test1_Hand!$B$5)</f>
        <v>19431.3742908186</v>
      </c>
      <c r="H701" s="2" t="n">
        <f aca="false">IF(B701&lt;Test1_Hand!$B$13,1,0)</f>
        <v>0</v>
      </c>
      <c r="I701" s="23" t="n">
        <f aca="false">Test1_Hand!$B$4+H701*D701</f>
        <v>16</v>
      </c>
      <c r="J701" s="24" t="n">
        <f aca="false">Test1_Hand!$B$6*H701*D701+Test1_Hand!$B$7*MAX(0,I701-Test1_Hand!$B$5)+Test1_Hand!$B$14</f>
        <v>6000</v>
      </c>
    </row>
    <row r="702" customFormat="false" ht="15" hidden="false" customHeight="false" outlineLevel="0" collapsed="false">
      <c r="A702" s="2" t="n">
        <v>690</v>
      </c>
      <c r="B702" s="22" t="n">
        <v>0.518313686792043</v>
      </c>
      <c r="C702" s="22" t="n">
        <v>0.106166141088471</v>
      </c>
      <c r="D702" s="23" t="n">
        <f aca="false">BETAINV(C702,Test1_Hand!$B$21,Test1_Hand!$B$22,Test1_Hand!$B$9,Test1_Hand!$B$11)</f>
        <v>1.93378477366153</v>
      </c>
      <c r="E702" s="2" t="n">
        <f aca="false">IF(B702&lt;Test1_Hand!$B$12,1,0)</f>
        <v>0</v>
      </c>
      <c r="F702" s="23" t="n">
        <f aca="false">Test1_Hand!$B$4+E702*D702</f>
        <v>16</v>
      </c>
      <c r="G702" s="24" t="n">
        <f aca="false">Test1_Hand!$B$6*E702*D702+Test1_Hand!$B$7*MAX(0,F702-Test1_Hand!$B$5)</f>
        <v>0</v>
      </c>
      <c r="H702" s="2" t="n">
        <f aca="false">IF(B702&lt;Test1_Hand!$B$13,1,0)</f>
        <v>0</v>
      </c>
      <c r="I702" s="23" t="n">
        <f aca="false">Test1_Hand!$B$4+H702*D702</f>
        <v>16</v>
      </c>
      <c r="J702" s="24" t="n">
        <f aca="false">Test1_Hand!$B$6*H702*D702+Test1_Hand!$B$7*MAX(0,I702-Test1_Hand!$B$5)+Test1_Hand!$B$14</f>
        <v>6000</v>
      </c>
    </row>
    <row r="703" customFormat="false" ht="15" hidden="false" customHeight="false" outlineLevel="0" collapsed="false">
      <c r="A703" s="2" t="n">
        <v>691</v>
      </c>
      <c r="B703" s="22" t="n">
        <v>0.178245454790377</v>
      </c>
      <c r="C703" s="22" t="n">
        <v>0.778502852243418</v>
      </c>
      <c r="D703" s="23" t="n">
        <f aca="false">BETAINV(C703,Test1_Hand!$B$21,Test1_Hand!$B$22,Test1_Hand!$B$9,Test1_Hand!$B$11)</f>
        <v>4.51414782613828</v>
      </c>
      <c r="E703" s="2" t="n">
        <f aca="false">IF(B703&lt;Test1_Hand!$B$12,1,0)</f>
        <v>1</v>
      </c>
      <c r="F703" s="23" t="n">
        <f aca="false">Test1_Hand!$B$4+E703*D703</f>
        <v>20.5141478261383</v>
      </c>
      <c r="G703" s="24" t="n">
        <f aca="false">Test1_Hand!$B$6*E703*D703+Test1_Hand!$B$7*MAX(0,F703-Test1_Hand!$B$5)</f>
        <v>38683.9217397977</v>
      </c>
      <c r="H703" s="2" t="n">
        <f aca="false">IF(B703&lt;Test1_Hand!$B$13,1,0)</f>
        <v>1</v>
      </c>
      <c r="I703" s="23" t="n">
        <f aca="false">Test1_Hand!$B$4+H703*D703</f>
        <v>20.5141478261383</v>
      </c>
      <c r="J703" s="24" t="n">
        <f aca="false">Test1_Hand!$B$6*H703*D703+Test1_Hand!$B$7*MAX(0,I703-Test1_Hand!$B$5)+Test1_Hand!$B$14</f>
        <v>44683.9217397977</v>
      </c>
    </row>
    <row r="704" customFormat="false" ht="15" hidden="false" customHeight="false" outlineLevel="0" collapsed="false">
      <c r="A704" s="2" t="n">
        <v>692</v>
      </c>
      <c r="B704" s="22" t="n">
        <v>0.220811550810467</v>
      </c>
      <c r="C704" s="22" t="n">
        <v>0.672074564972258</v>
      </c>
      <c r="D704" s="23" t="n">
        <f aca="false">BETAINV(C704,Test1_Hand!$B$21,Test1_Hand!$B$22,Test1_Hand!$B$9,Test1_Hand!$B$11)</f>
        <v>4.03167894015723</v>
      </c>
      <c r="E704" s="2" t="n">
        <f aca="false">IF(B704&lt;Test1_Hand!$B$12,1,0)</f>
        <v>1</v>
      </c>
      <c r="F704" s="23" t="n">
        <f aca="false">Test1_Hand!$B$4+E704*D704</f>
        <v>20.0316789401572</v>
      </c>
      <c r="G704" s="24" t="n">
        <f aca="false">Test1_Hand!$B$6*E704*D704+Test1_Hand!$B$7*MAX(0,F704-Test1_Hand!$B$5)</f>
        <v>32411.8262220439</v>
      </c>
      <c r="H704" s="2" t="n">
        <f aca="false">IF(B704&lt;Test1_Hand!$B$13,1,0)</f>
        <v>0</v>
      </c>
      <c r="I704" s="23" t="n">
        <f aca="false">Test1_Hand!$B$4+H704*D704</f>
        <v>16</v>
      </c>
      <c r="J704" s="24" t="n">
        <f aca="false">Test1_Hand!$B$6*H704*D704+Test1_Hand!$B$7*MAX(0,I704-Test1_Hand!$B$5)+Test1_Hand!$B$14</f>
        <v>6000</v>
      </c>
    </row>
    <row r="705" customFormat="false" ht="15" hidden="false" customHeight="false" outlineLevel="0" collapsed="false">
      <c r="A705" s="2" t="n">
        <v>693</v>
      </c>
      <c r="B705" s="22" t="n">
        <v>0.447872363359947</v>
      </c>
      <c r="C705" s="22" t="n">
        <v>0.110521674136772</v>
      </c>
      <c r="D705" s="23" t="n">
        <f aca="false">BETAINV(C705,Test1_Hand!$B$21,Test1_Hand!$B$22,Test1_Hand!$B$9,Test1_Hand!$B$11)</f>
        <v>1.95418564444705</v>
      </c>
      <c r="E705" s="2" t="n">
        <f aca="false">IF(B705&lt;Test1_Hand!$B$12,1,0)</f>
        <v>1</v>
      </c>
      <c r="F705" s="23" t="n">
        <f aca="false">Test1_Hand!$B$4+E705*D705</f>
        <v>17.954185644447</v>
      </c>
      <c r="G705" s="24" t="n">
        <f aca="false">Test1_Hand!$B$6*E705*D705+Test1_Hand!$B$7*MAX(0,F705-Test1_Hand!$B$5)</f>
        <v>15633.4851555764</v>
      </c>
      <c r="H705" s="2" t="n">
        <f aca="false">IF(B705&lt;Test1_Hand!$B$13,1,0)</f>
        <v>0</v>
      </c>
      <c r="I705" s="23" t="n">
        <f aca="false">Test1_Hand!$B$4+H705*D705</f>
        <v>16</v>
      </c>
      <c r="J705" s="24" t="n">
        <f aca="false">Test1_Hand!$B$6*H705*D705+Test1_Hand!$B$7*MAX(0,I705-Test1_Hand!$B$5)+Test1_Hand!$B$14</f>
        <v>6000</v>
      </c>
    </row>
    <row r="706" customFormat="false" ht="15" hidden="false" customHeight="false" outlineLevel="0" collapsed="false">
      <c r="A706" s="2" t="n">
        <v>694</v>
      </c>
      <c r="B706" s="22" t="n">
        <v>0.363481766593999</v>
      </c>
      <c r="C706" s="22" t="n">
        <v>0.217525490300972</v>
      </c>
      <c r="D706" s="23" t="n">
        <f aca="false">BETAINV(C706,Test1_Hand!$B$21,Test1_Hand!$B$22,Test1_Hand!$B$9,Test1_Hand!$B$11)</f>
        <v>2.39299462568224</v>
      </c>
      <c r="E706" s="2" t="n">
        <f aca="false">IF(B706&lt;Test1_Hand!$B$12,1,0)</f>
        <v>1</v>
      </c>
      <c r="F706" s="23" t="n">
        <f aca="false">Test1_Hand!$B$4+E706*D706</f>
        <v>18.3929946256822</v>
      </c>
      <c r="G706" s="24" t="n">
        <f aca="false">Test1_Hand!$B$6*E706*D706+Test1_Hand!$B$7*MAX(0,F706-Test1_Hand!$B$5)</f>
        <v>19143.9570054579</v>
      </c>
      <c r="H706" s="2" t="n">
        <f aca="false">IF(B706&lt;Test1_Hand!$B$13,1,0)</f>
        <v>0</v>
      </c>
      <c r="I706" s="23" t="n">
        <f aca="false">Test1_Hand!$B$4+H706*D706</f>
        <v>16</v>
      </c>
      <c r="J706" s="24" t="n">
        <f aca="false">Test1_Hand!$B$6*H706*D706+Test1_Hand!$B$7*MAX(0,I706-Test1_Hand!$B$5)+Test1_Hand!$B$14</f>
        <v>6000</v>
      </c>
    </row>
    <row r="707" customFormat="false" ht="15" hidden="false" customHeight="false" outlineLevel="0" collapsed="false">
      <c r="A707" s="2" t="n">
        <v>695</v>
      </c>
      <c r="B707" s="22" t="n">
        <v>0.771199672648462</v>
      </c>
      <c r="C707" s="22" t="n">
        <v>0.897040995000724</v>
      </c>
      <c r="D707" s="23" t="n">
        <f aca="false">BETAINV(C707,Test1_Hand!$B$21,Test1_Hand!$B$22,Test1_Hand!$B$9,Test1_Hand!$B$11)</f>
        <v>5.24881538726031</v>
      </c>
      <c r="E707" s="2" t="n">
        <f aca="false">IF(B707&lt;Test1_Hand!$B$12,1,0)</f>
        <v>0</v>
      </c>
      <c r="F707" s="23" t="n">
        <f aca="false">Test1_Hand!$B$4+E707*D707</f>
        <v>16</v>
      </c>
      <c r="G707" s="24" t="n">
        <f aca="false">Test1_Hand!$B$6*E707*D707+Test1_Hand!$B$7*MAX(0,F707-Test1_Hand!$B$5)</f>
        <v>0</v>
      </c>
      <c r="H707" s="2" t="n">
        <f aca="false">IF(B707&lt;Test1_Hand!$B$13,1,0)</f>
        <v>0</v>
      </c>
      <c r="I707" s="23" t="n">
        <f aca="false">Test1_Hand!$B$4+H707*D707</f>
        <v>16</v>
      </c>
      <c r="J707" s="24" t="n">
        <f aca="false">Test1_Hand!$B$6*H707*D707+Test1_Hand!$B$7*MAX(0,I707-Test1_Hand!$B$5)+Test1_Hand!$B$14</f>
        <v>6000</v>
      </c>
    </row>
    <row r="708" customFormat="false" ht="15" hidden="false" customHeight="false" outlineLevel="0" collapsed="false">
      <c r="A708" s="2" t="n">
        <v>696</v>
      </c>
      <c r="B708" s="22" t="n">
        <v>0.687917682632431</v>
      </c>
      <c r="C708" s="22" t="n">
        <v>0.496649050659133</v>
      </c>
      <c r="D708" s="23" t="n">
        <f aca="false">BETAINV(C708,Test1_Hand!$B$21,Test1_Hand!$B$22,Test1_Hand!$B$9,Test1_Hand!$B$11)</f>
        <v>3.37077372134855</v>
      </c>
      <c r="E708" s="2" t="n">
        <f aca="false">IF(B708&lt;Test1_Hand!$B$12,1,0)</f>
        <v>0</v>
      </c>
      <c r="F708" s="23" t="n">
        <f aca="false">Test1_Hand!$B$4+E708*D708</f>
        <v>16</v>
      </c>
      <c r="G708" s="24" t="n">
        <f aca="false">Test1_Hand!$B$6*E708*D708+Test1_Hand!$B$7*MAX(0,F708-Test1_Hand!$B$5)</f>
        <v>0</v>
      </c>
      <c r="H708" s="2" t="n">
        <f aca="false">IF(B708&lt;Test1_Hand!$B$13,1,0)</f>
        <v>0</v>
      </c>
      <c r="I708" s="23" t="n">
        <f aca="false">Test1_Hand!$B$4+H708*D708</f>
        <v>16</v>
      </c>
      <c r="J708" s="24" t="n">
        <f aca="false">Test1_Hand!$B$6*H708*D708+Test1_Hand!$B$7*MAX(0,I708-Test1_Hand!$B$5)+Test1_Hand!$B$14</f>
        <v>6000</v>
      </c>
    </row>
    <row r="709" customFormat="false" ht="15" hidden="false" customHeight="false" outlineLevel="0" collapsed="false">
      <c r="A709" s="2" t="n">
        <v>697</v>
      </c>
      <c r="B709" s="22" t="n">
        <v>0.972899555160225</v>
      </c>
      <c r="C709" s="22" t="n">
        <v>0.193316424776123</v>
      </c>
      <c r="D709" s="23" t="n">
        <f aca="false">BETAINV(C709,Test1_Hand!$B$21,Test1_Hand!$B$22,Test1_Hand!$B$9,Test1_Hand!$B$11)</f>
        <v>2.30102137025492</v>
      </c>
      <c r="E709" s="2" t="n">
        <f aca="false">IF(B709&lt;Test1_Hand!$B$12,1,0)</f>
        <v>0</v>
      </c>
      <c r="F709" s="23" t="n">
        <f aca="false">Test1_Hand!$B$4+E709*D709</f>
        <v>16</v>
      </c>
      <c r="G709" s="24" t="n">
        <f aca="false">Test1_Hand!$B$6*E709*D709+Test1_Hand!$B$7*MAX(0,F709-Test1_Hand!$B$5)</f>
        <v>0</v>
      </c>
      <c r="H709" s="2" t="n">
        <f aca="false">IF(B709&lt;Test1_Hand!$B$13,1,0)</f>
        <v>0</v>
      </c>
      <c r="I709" s="23" t="n">
        <f aca="false">Test1_Hand!$B$4+H709*D709</f>
        <v>16</v>
      </c>
      <c r="J709" s="24" t="n">
        <f aca="false">Test1_Hand!$B$6*H709*D709+Test1_Hand!$B$7*MAX(0,I709-Test1_Hand!$B$5)+Test1_Hand!$B$14</f>
        <v>6000</v>
      </c>
    </row>
    <row r="710" customFormat="false" ht="15" hidden="false" customHeight="false" outlineLevel="0" collapsed="false">
      <c r="A710" s="2" t="n">
        <v>698</v>
      </c>
      <c r="B710" s="22" t="n">
        <v>0.0808580699503545</v>
      </c>
      <c r="C710" s="22" t="n">
        <v>0.212876124902424</v>
      </c>
      <c r="D710" s="23" t="n">
        <f aca="false">BETAINV(C710,Test1_Hand!$B$21,Test1_Hand!$B$22,Test1_Hand!$B$9,Test1_Hand!$B$11)</f>
        <v>2.37555044547228</v>
      </c>
      <c r="E710" s="2" t="n">
        <f aca="false">IF(B710&lt;Test1_Hand!$B$12,1,0)</f>
        <v>1</v>
      </c>
      <c r="F710" s="23" t="n">
        <f aca="false">Test1_Hand!$B$4+E710*D710</f>
        <v>18.3755504454723</v>
      </c>
      <c r="G710" s="24" t="n">
        <f aca="false">Test1_Hand!$B$6*E710*D710+Test1_Hand!$B$7*MAX(0,F710-Test1_Hand!$B$5)</f>
        <v>19004.4035637783</v>
      </c>
      <c r="H710" s="2" t="n">
        <f aca="false">IF(B710&lt;Test1_Hand!$B$13,1,0)</f>
        <v>1</v>
      </c>
      <c r="I710" s="23" t="n">
        <f aca="false">Test1_Hand!$B$4+H710*D710</f>
        <v>18.3755504454723</v>
      </c>
      <c r="J710" s="24" t="n">
        <f aca="false">Test1_Hand!$B$6*H710*D710+Test1_Hand!$B$7*MAX(0,I710-Test1_Hand!$B$5)+Test1_Hand!$B$14</f>
        <v>25004.4035637783</v>
      </c>
    </row>
    <row r="711" customFormat="false" ht="15" hidden="false" customHeight="false" outlineLevel="0" collapsed="false">
      <c r="A711" s="2" t="n">
        <v>699</v>
      </c>
      <c r="B711" s="22" t="n">
        <v>0.486896621119627</v>
      </c>
      <c r="C711" s="22" t="n">
        <v>0.743752581851472</v>
      </c>
      <c r="D711" s="23" t="n">
        <f aca="false">BETAINV(C711,Test1_Hand!$B$21,Test1_Hand!$B$22,Test1_Hand!$B$9,Test1_Hand!$B$11)</f>
        <v>4.34550451645452</v>
      </c>
      <c r="E711" s="2" t="n">
        <f aca="false">IF(B711&lt;Test1_Hand!$B$12,1,0)</f>
        <v>1</v>
      </c>
      <c r="F711" s="23" t="n">
        <f aca="false">Test1_Hand!$B$4+E711*D711</f>
        <v>20.3455045164545</v>
      </c>
      <c r="G711" s="24" t="n">
        <f aca="false">Test1_Hand!$B$6*E711*D711+Test1_Hand!$B$7*MAX(0,F711-Test1_Hand!$B$5)</f>
        <v>36491.5587139088</v>
      </c>
      <c r="H711" s="2" t="n">
        <f aca="false">IF(B711&lt;Test1_Hand!$B$13,1,0)</f>
        <v>0</v>
      </c>
      <c r="I711" s="23" t="n">
        <f aca="false">Test1_Hand!$B$4+H711*D711</f>
        <v>16</v>
      </c>
      <c r="J711" s="24" t="n">
        <f aca="false">Test1_Hand!$B$6*H711*D711+Test1_Hand!$B$7*MAX(0,I711-Test1_Hand!$B$5)+Test1_Hand!$B$14</f>
        <v>6000</v>
      </c>
    </row>
    <row r="712" customFormat="false" ht="15" hidden="false" customHeight="false" outlineLevel="0" collapsed="false">
      <c r="A712" s="2" t="n">
        <v>700</v>
      </c>
      <c r="B712" s="22" t="n">
        <v>0.096091138057117</v>
      </c>
      <c r="C712" s="22" t="n">
        <v>0.942099370852689</v>
      </c>
      <c r="D712" s="23" t="n">
        <f aca="false">BETAINV(C712,Test1_Hand!$B$21,Test1_Hand!$B$22,Test1_Hand!$B$9,Test1_Hand!$B$11)</f>
        <v>5.67753229420906</v>
      </c>
      <c r="E712" s="2" t="n">
        <f aca="false">IF(B712&lt;Test1_Hand!$B$12,1,0)</f>
        <v>1</v>
      </c>
      <c r="F712" s="23" t="n">
        <f aca="false">Test1_Hand!$B$4+E712*D712</f>
        <v>21.6775322942091</v>
      </c>
      <c r="G712" s="24" t="n">
        <f aca="false">Test1_Hand!$B$6*E712*D712+Test1_Hand!$B$7*MAX(0,F712-Test1_Hand!$B$5)</f>
        <v>53807.9198247178</v>
      </c>
      <c r="H712" s="2" t="n">
        <f aca="false">IF(B712&lt;Test1_Hand!$B$13,1,0)</f>
        <v>1</v>
      </c>
      <c r="I712" s="23" t="n">
        <f aca="false">Test1_Hand!$B$4+H712*D712</f>
        <v>21.6775322942091</v>
      </c>
      <c r="J712" s="24" t="n">
        <f aca="false">Test1_Hand!$B$6*H712*D712+Test1_Hand!$B$7*MAX(0,I712-Test1_Hand!$B$5)+Test1_Hand!$B$14</f>
        <v>59807.9198247178</v>
      </c>
    </row>
    <row r="713" customFormat="false" ht="15" hidden="false" customHeight="false" outlineLevel="0" collapsed="false">
      <c r="A713" s="2" t="n">
        <v>701</v>
      </c>
      <c r="B713" s="22" t="n">
        <v>0.498656090651878</v>
      </c>
      <c r="C713" s="22" t="n">
        <v>0.806541685567769</v>
      </c>
      <c r="D713" s="23" t="n">
        <f aca="false">BETAINV(C713,Test1_Hand!$B$21,Test1_Hand!$B$22,Test1_Hand!$B$9,Test1_Hand!$B$11)</f>
        <v>4.66121772349073</v>
      </c>
      <c r="E713" s="2" t="n">
        <f aca="false">IF(B713&lt;Test1_Hand!$B$12,1,0)</f>
        <v>1</v>
      </c>
      <c r="F713" s="23" t="n">
        <f aca="false">Test1_Hand!$B$4+E713*D713</f>
        <v>20.6612177234907</v>
      </c>
      <c r="G713" s="24" t="n">
        <f aca="false">Test1_Hand!$B$6*E713*D713+Test1_Hand!$B$7*MAX(0,F713-Test1_Hand!$B$5)</f>
        <v>40595.8304053795</v>
      </c>
      <c r="H713" s="2" t="n">
        <f aca="false">IF(B713&lt;Test1_Hand!$B$13,1,0)</f>
        <v>0</v>
      </c>
      <c r="I713" s="23" t="n">
        <f aca="false">Test1_Hand!$B$4+H713*D713</f>
        <v>16</v>
      </c>
      <c r="J713" s="24" t="n">
        <f aca="false">Test1_Hand!$B$6*H713*D713+Test1_Hand!$B$7*MAX(0,I713-Test1_Hand!$B$5)+Test1_Hand!$B$14</f>
        <v>6000</v>
      </c>
    </row>
    <row r="714" customFormat="false" ht="15" hidden="false" customHeight="false" outlineLevel="0" collapsed="false">
      <c r="A714" s="2" t="n">
        <v>702</v>
      </c>
      <c r="B714" s="22" t="n">
        <v>0.69886762509329</v>
      </c>
      <c r="C714" s="22" t="n">
        <v>0.0903891989402285</v>
      </c>
      <c r="D714" s="23" t="n">
        <f aca="false">BETAINV(C714,Test1_Hand!$B$21,Test1_Hand!$B$22,Test1_Hand!$B$9,Test1_Hand!$B$11)</f>
        <v>1.85704498234523</v>
      </c>
      <c r="E714" s="2" t="n">
        <f aca="false">IF(B714&lt;Test1_Hand!$B$12,1,0)</f>
        <v>0</v>
      </c>
      <c r="F714" s="23" t="n">
        <f aca="false">Test1_Hand!$B$4+E714*D714</f>
        <v>16</v>
      </c>
      <c r="G714" s="24" t="n">
        <f aca="false">Test1_Hand!$B$6*E714*D714+Test1_Hand!$B$7*MAX(0,F714-Test1_Hand!$B$5)</f>
        <v>0</v>
      </c>
      <c r="H714" s="2" t="n">
        <f aca="false">IF(B714&lt;Test1_Hand!$B$13,1,0)</f>
        <v>0</v>
      </c>
      <c r="I714" s="23" t="n">
        <f aca="false">Test1_Hand!$B$4+H714*D714</f>
        <v>16</v>
      </c>
      <c r="J714" s="24" t="n">
        <f aca="false">Test1_Hand!$B$6*H714*D714+Test1_Hand!$B$7*MAX(0,I714-Test1_Hand!$B$5)+Test1_Hand!$B$14</f>
        <v>6000</v>
      </c>
    </row>
    <row r="715" customFormat="false" ht="15" hidden="false" customHeight="false" outlineLevel="0" collapsed="false">
      <c r="A715" s="2" t="n">
        <v>703</v>
      </c>
      <c r="B715" s="22" t="n">
        <v>0.826079370617525</v>
      </c>
      <c r="C715" s="22" t="n">
        <v>0.338340454377708</v>
      </c>
      <c r="D715" s="23" t="n">
        <f aca="false">BETAINV(C715,Test1_Hand!$B$21,Test1_Hand!$B$22,Test1_Hand!$B$9,Test1_Hand!$B$11)</f>
        <v>2.82366118959671</v>
      </c>
      <c r="E715" s="2" t="n">
        <f aca="false">IF(B715&lt;Test1_Hand!$B$12,1,0)</f>
        <v>0</v>
      </c>
      <c r="F715" s="23" t="n">
        <f aca="false">Test1_Hand!$B$4+E715*D715</f>
        <v>16</v>
      </c>
      <c r="G715" s="24" t="n">
        <f aca="false">Test1_Hand!$B$6*E715*D715+Test1_Hand!$B$7*MAX(0,F715-Test1_Hand!$B$5)</f>
        <v>0</v>
      </c>
      <c r="H715" s="2" t="n">
        <f aca="false">IF(B715&lt;Test1_Hand!$B$13,1,0)</f>
        <v>0</v>
      </c>
      <c r="I715" s="23" t="n">
        <f aca="false">Test1_Hand!$B$4+H715*D715</f>
        <v>16</v>
      </c>
      <c r="J715" s="24" t="n">
        <f aca="false">Test1_Hand!$B$6*H715*D715+Test1_Hand!$B$7*MAX(0,I715-Test1_Hand!$B$5)+Test1_Hand!$B$14</f>
        <v>6000</v>
      </c>
    </row>
    <row r="716" customFormat="false" ht="15" hidden="false" customHeight="false" outlineLevel="0" collapsed="false">
      <c r="A716" s="2" t="n">
        <v>704</v>
      </c>
      <c r="B716" s="22" t="n">
        <v>0.546543217524867</v>
      </c>
      <c r="C716" s="22" t="n">
        <v>0.623000602918776</v>
      </c>
      <c r="D716" s="23" t="n">
        <f aca="false">BETAINV(C716,Test1_Hand!$B$21,Test1_Hand!$B$22,Test1_Hand!$B$9,Test1_Hand!$B$11)</f>
        <v>3.83533370581393</v>
      </c>
      <c r="E716" s="2" t="n">
        <f aca="false">IF(B716&lt;Test1_Hand!$B$12,1,0)</f>
        <v>0</v>
      </c>
      <c r="F716" s="23" t="n">
        <f aca="false">Test1_Hand!$B$4+E716*D716</f>
        <v>16</v>
      </c>
      <c r="G716" s="24" t="n">
        <f aca="false">Test1_Hand!$B$6*E716*D716+Test1_Hand!$B$7*MAX(0,F716-Test1_Hand!$B$5)</f>
        <v>0</v>
      </c>
      <c r="H716" s="2" t="n">
        <f aca="false">IF(B716&lt;Test1_Hand!$B$13,1,0)</f>
        <v>0</v>
      </c>
      <c r="I716" s="23" t="n">
        <f aca="false">Test1_Hand!$B$4+H716*D716</f>
        <v>16</v>
      </c>
      <c r="J716" s="24" t="n">
        <f aca="false">Test1_Hand!$B$6*H716*D716+Test1_Hand!$B$7*MAX(0,I716-Test1_Hand!$B$5)+Test1_Hand!$B$14</f>
        <v>6000</v>
      </c>
    </row>
    <row r="717" customFormat="false" ht="15" hidden="false" customHeight="false" outlineLevel="0" collapsed="false">
      <c r="A717" s="2" t="n">
        <v>705</v>
      </c>
      <c r="B717" s="22" t="n">
        <v>0.345784379000618</v>
      </c>
      <c r="C717" s="22" t="n">
        <v>0.253857653530298</v>
      </c>
      <c r="D717" s="23" t="n">
        <f aca="false">BETAINV(C717,Test1_Hand!$B$21,Test1_Hand!$B$22,Test1_Hand!$B$9,Test1_Hand!$B$11)</f>
        <v>2.52639914788795</v>
      </c>
      <c r="E717" s="2" t="n">
        <f aca="false">IF(B717&lt;Test1_Hand!$B$12,1,0)</f>
        <v>1</v>
      </c>
      <c r="F717" s="23" t="n">
        <f aca="false">Test1_Hand!$B$4+E717*D717</f>
        <v>18.526399147888</v>
      </c>
      <c r="G717" s="24" t="n">
        <f aca="false">Test1_Hand!$B$6*E717*D717+Test1_Hand!$B$7*MAX(0,F717-Test1_Hand!$B$5)</f>
        <v>20211.1931831036</v>
      </c>
      <c r="H717" s="2" t="n">
        <f aca="false">IF(B717&lt;Test1_Hand!$B$13,1,0)</f>
        <v>0</v>
      </c>
      <c r="I717" s="23" t="n">
        <f aca="false">Test1_Hand!$B$4+H717*D717</f>
        <v>16</v>
      </c>
      <c r="J717" s="24" t="n">
        <f aca="false">Test1_Hand!$B$6*H717*D717+Test1_Hand!$B$7*MAX(0,I717-Test1_Hand!$B$5)+Test1_Hand!$B$14</f>
        <v>6000</v>
      </c>
    </row>
    <row r="718" customFormat="false" ht="15" hidden="false" customHeight="false" outlineLevel="0" collapsed="false">
      <c r="A718" s="2" t="n">
        <v>706</v>
      </c>
      <c r="B718" s="22" t="n">
        <v>0.410178671241203</v>
      </c>
      <c r="C718" s="22" t="n">
        <v>0.731877683042336</v>
      </c>
      <c r="D718" s="23" t="n">
        <f aca="false">BETAINV(C718,Test1_Hand!$B$21,Test1_Hand!$B$22,Test1_Hand!$B$9,Test1_Hand!$B$11)</f>
        <v>4.29070249303975</v>
      </c>
      <c r="E718" s="2" t="n">
        <f aca="false">IF(B718&lt;Test1_Hand!$B$12,1,0)</f>
        <v>1</v>
      </c>
      <c r="F718" s="23" t="n">
        <f aca="false">Test1_Hand!$B$4+E718*D718</f>
        <v>20.2907024930398</v>
      </c>
      <c r="G718" s="24" t="n">
        <f aca="false">Test1_Hand!$B$6*E718*D718+Test1_Hand!$B$7*MAX(0,F718-Test1_Hand!$B$5)</f>
        <v>35779.1324095168</v>
      </c>
      <c r="H718" s="2" t="n">
        <f aca="false">IF(B718&lt;Test1_Hand!$B$13,1,0)</f>
        <v>0</v>
      </c>
      <c r="I718" s="23" t="n">
        <f aca="false">Test1_Hand!$B$4+H718*D718</f>
        <v>16</v>
      </c>
      <c r="J718" s="24" t="n">
        <f aca="false">Test1_Hand!$B$6*H718*D718+Test1_Hand!$B$7*MAX(0,I718-Test1_Hand!$B$5)+Test1_Hand!$B$14</f>
        <v>6000</v>
      </c>
    </row>
    <row r="719" customFormat="false" ht="15" hidden="false" customHeight="false" outlineLevel="0" collapsed="false">
      <c r="A719" s="2" t="n">
        <v>707</v>
      </c>
      <c r="B719" s="22" t="n">
        <v>0.652837919953509</v>
      </c>
      <c r="C719" s="22" t="n">
        <v>0.489785259051787</v>
      </c>
      <c r="D719" s="23" t="n">
        <f aca="false">BETAINV(C719,Test1_Hand!$B$21,Test1_Hand!$B$22,Test1_Hand!$B$9,Test1_Hand!$B$11)</f>
        <v>3.34663128468699</v>
      </c>
      <c r="E719" s="2" t="n">
        <f aca="false">IF(B719&lt;Test1_Hand!$B$12,1,0)</f>
        <v>0</v>
      </c>
      <c r="F719" s="23" t="n">
        <f aca="false">Test1_Hand!$B$4+E719*D719</f>
        <v>16</v>
      </c>
      <c r="G719" s="24" t="n">
        <f aca="false">Test1_Hand!$B$6*E719*D719+Test1_Hand!$B$7*MAX(0,F719-Test1_Hand!$B$5)</f>
        <v>0</v>
      </c>
      <c r="H719" s="2" t="n">
        <f aca="false">IF(B719&lt;Test1_Hand!$B$13,1,0)</f>
        <v>0</v>
      </c>
      <c r="I719" s="23" t="n">
        <f aca="false">Test1_Hand!$B$4+H719*D719</f>
        <v>16</v>
      </c>
      <c r="J719" s="24" t="n">
        <f aca="false">Test1_Hand!$B$6*H719*D719+Test1_Hand!$B$7*MAX(0,I719-Test1_Hand!$B$5)+Test1_Hand!$B$14</f>
        <v>6000</v>
      </c>
    </row>
    <row r="720" customFormat="false" ht="15" hidden="false" customHeight="false" outlineLevel="0" collapsed="false">
      <c r="A720" s="2" t="n">
        <v>708</v>
      </c>
      <c r="B720" s="22" t="n">
        <v>0.814900673083783</v>
      </c>
      <c r="C720" s="22" t="n">
        <v>0.192874408640465</v>
      </c>
      <c r="D720" s="23" t="n">
        <f aca="false">BETAINV(C720,Test1_Hand!$B$21,Test1_Hand!$B$22,Test1_Hand!$B$9,Test1_Hand!$B$11)</f>
        <v>2.29931388457061</v>
      </c>
      <c r="E720" s="2" t="n">
        <f aca="false">IF(B720&lt;Test1_Hand!$B$12,1,0)</f>
        <v>0</v>
      </c>
      <c r="F720" s="23" t="n">
        <f aca="false">Test1_Hand!$B$4+E720*D720</f>
        <v>16</v>
      </c>
      <c r="G720" s="24" t="n">
        <f aca="false">Test1_Hand!$B$6*E720*D720+Test1_Hand!$B$7*MAX(0,F720-Test1_Hand!$B$5)</f>
        <v>0</v>
      </c>
      <c r="H720" s="2" t="n">
        <f aca="false">IF(B720&lt;Test1_Hand!$B$13,1,0)</f>
        <v>0</v>
      </c>
      <c r="I720" s="23" t="n">
        <f aca="false">Test1_Hand!$B$4+H720*D720</f>
        <v>16</v>
      </c>
      <c r="J720" s="24" t="n">
        <f aca="false">Test1_Hand!$B$6*H720*D720+Test1_Hand!$B$7*MAX(0,I720-Test1_Hand!$B$5)+Test1_Hand!$B$14</f>
        <v>6000</v>
      </c>
    </row>
    <row r="721" customFormat="false" ht="15" hidden="false" customHeight="false" outlineLevel="0" collapsed="false">
      <c r="A721" s="2" t="n">
        <v>709</v>
      </c>
      <c r="B721" s="22" t="n">
        <v>0.889663310060877</v>
      </c>
      <c r="C721" s="22" t="n">
        <v>0.396207895705935</v>
      </c>
      <c r="D721" s="23" t="n">
        <f aca="false">BETAINV(C721,Test1_Hand!$B$21,Test1_Hand!$B$22,Test1_Hand!$B$9,Test1_Hand!$B$11)</f>
        <v>3.02271648065146</v>
      </c>
      <c r="E721" s="2" t="n">
        <f aca="false">IF(B721&lt;Test1_Hand!$B$12,1,0)</f>
        <v>0</v>
      </c>
      <c r="F721" s="23" t="n">
        <f aca="false">Test1_Hand!$B$4+E721*D721</f>
        <v>16</v>
      </c>
      <c r="G721" s="24" t="n">
        <f aca="false">Test1_Hand!$B$6*E721*D721+Test1_Hand!$B$7*MAX(0,F721-Test1_Hand!$B$5)</f>
        <v>0</v>
      </c>
      <c r="H721" s="2" t="n">
        <f aca="false">IF(B721&lt;Test1_Hand!$B$13,1,0)</f>
        <v>0</v>
      </c>
      <c r="I721" s="23" t="n">
        <f aca="false">Test1_Hand!$B$4+H721*D721</f>
        <v>16</v>
      </c>
      <c r="J721" s="24" t="n">
        <f aca="false">Test1_Hand!$B$6*H721*D721+Test1_Hand!$B$7*MAX(0,I721-Test1_Hand!$B$5)+Test1_Hand!$B$14</f>
        <v>6000</v>
      </c>
    </row>
    <row r="722" customFormat="false" ht="15" hidden="false" customHeight="false" outlineLevel="0" collapsed="false">
      <c r="A722" s="2" t="n">
        <v>710</v>
      </c>
      <c r="B722" s="22" t="n">
        <v>0.0215107867531331</v>
      </c>
      <c r="C722" s="22" t="n">
        <v>0.534920687802187</v>
      </c>
      <c r="D722" s="23" t="n">
        <f aca="false">BETAINV(C722,Test1_Hand!$B$21,Test1_Hand!$B$22,Test1_Hand!$B$9,Test1_Hand!$B$11)</f>
        <v>3.50698857106612</v>
      </c>
      <c r="E722" s="2" t="n">
        <f aca="false">IF(B722&lt;Test1_Hand!$B$12,1,0)</f>
        <v>1</v>
      </c>
      <c r="F722" s="23" t="n">
        <f aca="false">Test1_Hand!$B$4+E722*D722</f>
        <v>19.5069885710661</v>
      </c>
      <c r="G722" s="24" t="n">
        <f aca="false">Test1_Hand!$B$6*E722*D722+Test1_Hand!$B$7*MAX(0,F722-Test1_Hand!$B$5)</f>
        <v>28055.908568529</v>
      </c>
      <c r="H722" s="2" t="n">
        <f aca="false">IF(B722&lt;Test1_Hand!$B$13,1,0)</f>
        <v>1</v>
      </c>
      <c r="I722" s="23" t="n">
        <f aca="false">Test1_Hand!$B$4+H722*D722</f>
        <v>19.5069885710661</v>
      </c>
      <c r="J722" s="24" t="n">
        <f aca="false">Test1_Hand!$B$6*H722*D722+Test1_Hand!$B$7*MAX(0,I722-Test1_Hand!$B$5)+Test1_Hand!$B$14</f>
        <v>34055.908568529</v>
      </c>
    </row>
    <row r="723" customFormat="false" ht="15" hidden="false" customHeight="false" outlineLevel="0" collapsed="false">
      <c r="A723" s="2" t="n">
        <v>711</v>
      </c>
      <c r="B723" s="22" t="n">
        <v>0.472863743703821</v>
      </c>
      <c r="C723" s="22" t="n">
        <v>0.272493728372862</v>
      </c>
      <c r="D723" s="23" t="n">
        <f aca="false">BETAINV(C723,Test1_Hand!$B$21,Test1_Hand!$B$22,Test1_Hand!$B$9,Test1_Hand!$B$11)</f>
        <v>2.59320269221331</v>
      </c>
      <c r="E723" s="2" t="n">
        <f aca="false">IF(B723&lt;Test1_Hand!$B$12,1,0)</f>
        <v>1</v>
      </c>
      <c r="F723" s="23" t="n">
        <f aca="false">Test1_Hand!$B$4+E723*D723</f>
        <v>18.5932026922133</v>
      </c>
      <c r="G723" s="24" t="n">
        <f aca="false">Test1_Hand!$B$6*E723*D723+Test1_Hand!$B$7*MAX(0,F723-Test1_Hand!$B$5)</f>
        <v>20745.6215377065</v>
      </c>
      <c r="H723" s="2" t="n">
        <f aca="false">IF(B723&lt;Test1_Hand!$B$13,1,0)</f>
        <v>0</v>
      </c>
      <c r="I723" s="23" t="n">
        <f aca="false">Test1_Hand!$B$4+H723*D723</f>
        <v>16</v>
      </c>
      <c r="J723" s="24" t="n">
        <f aca="false">Test1_Hand!$B$6*H723*D723+Test1_Hand!$B$7*MAX(0,I723-Test1_Hand!$B$5)+Test1_Hand!$B$14</f>
        <v>6000</v>
      </c>
    </row>
    <row r="724" customFormat="false" ht="15" hidden="false" customHeight="false" outlineLevel="0" collapsed="false">
      <c r="A724" s="2" t="n">
        <v>712</v>
      </c>
      <c r="B724" s="22" t="n">
        <v>0.534849483790811</v>
      </c>
      <c r="C724" s="22" t="n">
        <v>0.699835581469669</v>
      </c>
      <c r="D724" s="23" t="n">
        <f aca="false">BETAINV(C724,Test1_Hand!$B$21,Test1_Hand!$B$22,Test1_Hand!$B$9,Test1_Hand!$B$11)</f>
        <v>4.14874638054899</v>
      </c>
      <c r="E724" s="2" t="n">
        <f aca="false">IF(B724&lt;Test1_Hand!$B$12,1,0)</f>
        <v>0</v>
      </c>
      <c r="F724" s="23" t="n">
        <f aca="false">Test1_Hand!$B$4+E724*D724</f>
        <v>16</v>
      </c>
      <c r="G724" s="24" t="n">
        <f aca="false">Test1_Hand!$B$6*E724*D724+Test1_Hand!$B$7*MAX(0,F724-Test1_Hand!$B$5)</f>
        <v>0</v>
      </c>
      <c r="H724" s="2" t="n">
        <f aca="false">IF(B724&lt;Test1_Hand!$B$13,1,0)</f>
        <v>0</v>
      </c>
      <c r="I724" s="23" t="n">
        <f aca="false">Test1_Hand!$B$4+H724*D724</f>
        <v>16</v>
      </c>
      <c r="J724" s="24" t="n">
        <f aca="false">Test1_Hand!$B$6*H724*D724+Test1_Hand!$B$7*MAX(0,I724-Test1_Hand!$B$5)+Test1_Hand!$B$14</f>
        <v>6000</v>
      </c>
    </row>
    <row r="725" customFormat="false" ht="15" hidden="false" customHeight="false" outlineLevel="0" collapsed="false">
      <c r="A725" s="2" t="n">
        <v>713</v>
      </c>
      <c r="B725" s="22" t="n">
        <v>0.935576085372498</v>
      </c>
      <c r="C725" s="22" t="n">
        <v>0.035560660074396</v>
      </c>
      <c r="D725" s="23" t="n">
        <f aca="false">BETAINV(C725,Test1_Hand!$B$21,Test1_Hand!$B$22,Test1_Hand!$B$9,Test1_Hand!$B$11)</f>
        <v>1.5302625608706</v>
      </c>
      <c r="E725" s="2" t="n">
        <f aca="false">IF(B725&lt;Test1_Hand!$B$12,1,0)</f>
        <v>0</v>
      </c>
      <c r="F725" s="23" t="n">
        <f aca="false">Test1_Hand!$B$4+E725*D725</f>
        <v>16</v>
      </c>
      <c r="G725" s="24" t="n">
        <f aca="false">Test1_Hand!$B$6*E725*D725+Test1_Hand!$B$7*MAX(0,F725-Test1_Hand!$B$5)</f>
        <v>0</v>
      </c>
      <c r="H725" s="2" t="n">
        <f aca="false">IF(B725&lt;Test1_Hand!$B$13,1,0)</f>
        <v>0</v>
      </c>
      <c r="I725" s="23" t="n">
        <f aca="false">Test1_Hand!$B$4+H725*D725</f>
        <v>16</v>
      </c>
      <c r="J725" s="24" t="n">
        <f aca="false">Test1_Hand!$B$6*H725*D725+Test1_Hand!$B$7*MAX(0,I725-Test1_Hand!$B$5)+Test1_Hand!$B$14</f>
        <v>6000</v>
      </c>
    </row>
    <row r="726" customFormat="false" ht="15" hidden="false" customHeight="false" outlineLevel="0" collapsed="false">
      <c r="A726" s="2" t="n">
        <v>714</v>
      </c>
      <c r="B726" s="22" t="n">
        <v>0.581150359346101</v>
      </c>
      <c r="C726" s="22" t="n">
        <v>0.963312108847703</v>
      </c>
      <c r="D726" s="23" t="n">
        <f aca="false">BETAINV(C726,Test1_Hand!$B$21,Test1_Hand!$B$22,Test1_Hand!$B$9,Test1_Hand!$B$11)</f>
        <v>5.96268374749426</v>
      </c>
      <c r="E726" s="2" t="n">
        <f aca="false">IF(B726&lt;Test1_Hand!$B$12,1,0)</f>
        <v>0</v>
      </c>
      <c r="F726" s="23" t="n">
        <f aca="false">Test1_Hand!$B$4+E726*D726</f>
        <v>16</v>
      </c>
      <c r="G726" s="24" t="n">
        <f aca="false">Test1_Hand!$B$6*E726*D726+Test1_Hand!$B$7*MAX(0,F726-Test1_Hand!$B$5)</f>
        <v>0</v>
      </c>
      <c r="H726" s="2" t="n">
        <f aca="false">IF(B726&lt;Test1_Hand!$B$13,1,0)</f>
        <v>0</v>
      </c>
      <c r="I726" s="23" t="n">
        <f aca="false">Test1_Hand!$B$4+H726*D726</f>
        <v>16</v>
      </c>
      <c r="J726" s="24" t="n">
        <f aca="false">Test1_Hand!$B$6*H726*D726+Test1_Hand!$B$7*MAX(0,I726-Test1_Hand!$B$5)+Test1_Hand!$B$14</f>
        <v>6000</v>
      </c>
    </row>
    <row r="727" customFormat="false" ht="15" hidden="false" customHeight="false" outlineLevel="0" collapsed="false">
      <c r="A727" s="2" t="n">
        <v>715</v>
      </c>
      <c r="B727" s="22" t="n">
        <v>0.346850214814329</v>
      </c>
      <c r="C727" s="22" t="n">
        <v>0.912860041433488</v>
      </c>
      <c r="D727" s="23" t="n">
        <f aca="false">BETAINV(C727,Test1_Hand!$B$21,Test1_Hand!$B$22,Test1_Hand!$B$9,Test1_Hand!$B$11)</f>
        <v>5.38212051164408</v>
      </c>
      <c r="E727" s="2" t="n">
        <f aca="false">IF(B727&lt;Test1_Hand!$B$12,1,0)</f>
        <v>1</v>
      </c>
      <c r="F727" s="23" t="n">
        <f aca="false">Test1_Hand!$B$4+E727*D727</f>
        <v>21.3821205116441</v>
      </c>
      <c r="G727" s="24" t="n">
        <f aca="false">Test1_Hand!$B$6*E727*D727+Test1_Hand!$B$7*MAX(0,F727-Test1_Hand!$B$5)</f>
        <v>49967.566651373</v>
      </c>
      <c r="H727" s="2" t="n">
        <f aca="false">IF(B727&lt;Test1_Hand!$B$13,1,0)</f>
        <v>0</v>
      </c>
      <c r="I727" s="23" t="n">
        <f aca="false">Test1_Hand!$B$4+H727*D727</f>
        <v>16</v>
      </c>
      <c r="J727" s="24" t="n">
        <f aca="false">Test1_Hand!$B$6*H727*D727+Test1_Hand!$B$7*MAX(0,I727-Test1_Hand!$B$5)+Test1_Hand!$B$14</f>
        <v>6000</v>
      </c>
    </row>
    <row r="728" customFormat="false" ht="15" hidden="false" customHeight="false" outlineLevel="0" collapsed="false">
      <c r="A728" s="2" t="n">
        <v>716</v>
      </c>
      <c r="B728" s="22" t="n">
        <v>0.336362707098975</v>
      </c>
      <c r="C728" s="22" t="n">
        <v>0.737592608591255</v>
      </c>
      <c r="D728" s="23" t="n">
        <f aca="false">BETAINV(C728,Test1_Hand!$B$21,Test1_Hand!$B$22,Test1_Hand!$B$9,Test1_Hand!$B$11)</f>
        <v>4.31691488332118</v>
      </c>
      <c r="E728" s="2" t="n">
        <f aca="false">IF(B728&lt;Test1_Hand!$B$12,1,0)</f>
        <v>1</v>
      </c>
      <c r="F728" s="23" t="n">
        <f aca="false">Test1_Hand!$B$4+E728*D728</f>
        <v>20.3169148833212</v>
      </c>
      <c r="G728" s="24" t="n">
        <f aca="false">Test1_Hand!$B$6*E728*D728+Test1_Hand!$B$7*MAX(0,F728-Test1_Hand!$B$5)</f>
        <v>36119.8934831754</v>
      </c>
      <c r="H728" s="2" t="n">
        <f aca="false">IF(B728&lt;Test1_Hand!$B$13,1,0)</f>
        <v>0</v>
      </c>
      <c r="I728" s="23" t="n">
        <f aca="false">Test1_Hand!$B$4+H728*D728</f>
        <v>16</v>
      </c>
      <c r="J728" s="24" t="n">
        <f aca="false">Test1_Hand!$B$6*H728*D728+Test1_Hand!$B$7*MAX(0,I728-Test1_Hand!$B$5)+Test1_Hand!$B$14</f>
        <v>6000</v>
      </c>
    </row>
    <row r="729" customFormat="false" ht="15" hidden="false" customHeight="false" outlineLevel="0" collapsed="false">
      <c r="A729" s="2" t="n">
        <v>717</v>
      </c>
      <c r="B729" s="22" t="n">
        <v>0.410018683791435</v>
      </c>
      <c r="C729" s="22" t="n">
        <v>0.635625804325963</v>
      </c>
      <c r="D729" s="23" t="n">
        <f aca="false">BETAINV(C729,Test1_Hand!$B$21,Test1_Hand!$B$22,Test1_Hand!$B$9,Test1_Hand!$B$11)</f>
        <v>3.88472407816081</v>
      </c>
      <c r="E729" s="2" t="n">
        <f aca="false">IF(B729&lt;Test1_Hand!$B$12,1,0)</f>
        <v>1</v>
      </c>
      <c r="F729" s="23" t="n">
        <f aca="false">Test1_Hand!$B$4+E729*D729</f>
        <v>19.8847240781608</v>
      </c>
      <c r="G729" s="24" t="n">
        <f aca="false">Test1_Hand!$B$6*E729*D729+Test1_Hand!$B$7*MAX(0,F729-Test1_Hand!$B$5)</f>
        <v>31077.7926252865</v>
      </c>
      <c r="H729" s="2" t="n">
        <f aca="false">IF(B729&lt;Test1_Hand!$B$13,1,0)</f>
        <v>0</v>
      </c>
      <c r="I729" s="23" t="n">
        <f aca="false">Test1_Hand!$B$4+H729*D729</f>
        <v>16</v>
      </c>
      <c r="J729" s="24" t="n">
        <f aca="false">Test1_Hand!$B$6*H729*D729+Test1_Hand!$B$7*MAX(0,I729-Test1_Hand!$B$5)+Test1_Hand!$B$14</f>
        <v>6000</v>
      </c>
    </row>
    <row r="730" customFormat="false" ht="15" hidden="false" customHeight="false" outlineLevel="0" collapsed="false">
      <c r="A730" s="2" t="n">
        <v>718</v>
      </c>
      <c r="B730" s="22" t="n">
        <v>0.669894678665097</v>
      </c>
      <c r="C730" s="22" t="n">
        <v>0.144138591039851</v>
      </c>
      <c r="D730" s="23" t="n">
        <f aca="false">BETAINV(C730,Test1_Hand!$B$21,Test1_Hand!$B$22,Test1_Hand!$B$9,Test1_Hand!$B$11)</f>
        <v>2.10289289670373</v>
      </c>
      <c r="E730" s="2" t="n">
        <f aca="false">IF(B730&lt;Test1_Hand!$B$12,1,0)</f>
        <v>0</v>
      </c>
      <c r="F730" s="23" t="n">
        <f aca="false">Test1_Hand!$B$4+E730*D730</f>
        <v>16</v>
      </c>
      <c r="G730" s="24" t="n">
        <f aca="false">Test1_Hand!$B$6*E730*D730+Test1_Hand!$B$7*MAX(0,F730-Test1_Hand!$B$5)</f>
        <v>0</v>
      </c>
      <c r="H730" s="2" t="n">
        <f aca="false">IF(B730&lt;Test1_Hand!$B$13,1,0)</f>
        <v>0</v>
      </c>
      <c r="I730" s="23" t="n">
        <f aca="false">Test1_Hand!$B$4+H730*D730</f>
        <v>16</v>
      </c>
      <c r="J730" s="24" t="n">
        <f aca="false">Test1_Hand!$B$6*H730*D730+Test1_Hand!$B$7*MAX(0,I730-Test1_Hand!$B$5)+Test1_Hand!$B$14</f>
        <v>6000</v>
      </c>
    </row>
    <row r="731" customFormat="false" ht="15" hidden="false" customHeight="false" outlineLevel="0" collapsed="false">
      <c r="A731" s="2" t="n">
        <v>719</v>
      </c>
      <c r="B731" s="22" t="n">
        <v>0.182990309792432</v>
      </c>
      <c r="C731" s="22" t="n">
        <v>0.51507194713677</v>
      </c>
      <c r="D731" s="23" t="n">
        <f aca="false">BETAINV(C731,Test1_Hand!$B$21,Test1_Hand!$B$22,Test1_Hand!$B$9,Test1_Hand!$B$11)</f>
        <v>3.43597920812697</v>
      </c>
      <c r="E731" s="2" t="n">
        <f aca="false">IF(B731&lt;Test1_Hand!$B$12,1,0)</f>
        <v>1</v>
      </c>
      <c r="F731" s="23" t="n">
        <f aca="false">Test1_Hand!$B$4+E731*D731</f>
        <v>19.435979208127</v>
      </c>
      <c r="G731" s="24" t="n">
        <f aca="false">Test1_Hand!$B$6*E731*D731+Test1_Hand!$B$7*MAX(0,F731-Test1_Hand!$B$5)</f>
        <v>27487.8336650158</v>
      </c>
      <c r="H731" s="2" t="n">
        <f aca="false">IF(B731&lt;Test1_Hand!$B$13,1,0)</f>
        <v>1</v>
      </c>
      <c r="I731" s="23" t="n">
        <f aca="false">Test1_Hand!$B$4+H731*D731</f>
        <v>19.435979208127</v>
      </c>
      <c r="J731" s="24" t="n">
        <f aca="false">Test1_Hand!$B$6*H731*D731+Test1_Hand!$B$7*MAX(0,I731-Test1_Hand!$B$5)+Test1_Hand!$B$14</f>
        <v>33487.8336650158</v>
      </c>
    </row>
    <row r="732" customFormat="false" ht="15" hidden="false" customHeight="false" outlineLevel="0" collapsed="false">
      <c r="A732" s="2" t="n">
        <v>720</v>
      </c>
      <c r="B732" s="22" t="n">
        <v>0.159224151322333</v>
      </c>
      <c r="C732" s="22" t="n">
        <v>0.82915918404508</v>
      </c>
      <c r="D732" s="23" t="n">
        <f aca="false">BETAINV(C732,Test1_Hand!$B$21,Test1_Hand!$B$22,Test1_Hand!$B$9,Test1_Hand!$B$11)</f>
        <v>4.7890216776913</v>
      </c>
      <c r="E732" s="2" t="n">
        <f aca="false">IF(B732&lt;Test1_Hand!$B$12,1,0)</f>
        <v>1</v>
      </c>
      <c r="F732" s="23" t="n">
        <f aca="false">Test1_Hand!$B$4+E732*D732</f>
        <v>20.7890216776913</v>
      </c>
      <c r="G732" s="24" t="n">
        <f aca="false">Test1_Hand!$B$6*E732*D732+Test1_Hand!$B$7*MAX(0,F732-Test1_Hand!$B$5)</f>
        <v>42257.2818099869</v>
      </c>
      <c r="H732" s="2" t="n">
        <f aca="false">IF(B732&lt;Test1_Hand!$B$13,1,0)</f>
        <v>1</v>
      </c>
      <c r="I732" s="23" t="n">
        <f aca="false">Test1_Hand!$B$4+H732*D732</f>
        <v>20.7890216776913</v>
      </c>
      <c r="J732" s="24" t="n">
        <f aca="false">Test1_Hand!$B$6*H732*D732+Test1_Hand!$B$7*MAX(0,I732-Test1_Hand!$B$5)+Test1_Hand!$B$14</f>
        <v>48257.2818099869</v>
      </c>
    </row>
    <row r="733" customFormat="false" ht="15" hidden="false" customHeight="false" outlineLevel="0" collapsed="false">
      <c r="A733" s="2" t="n">
        <v>721</v>
      </c>
      <c r="B733" s="22" t="n">
        <v>0.644111243846172</v>
      </c>
      <c r="C733" s="22" t="n">
        <v>0.0802266918614998</v>
      </c>
      <c r="D733" s="23" t="n">
        <f aca="false">BETAINV(C733,Test1_Hand!$B$21,Test1_Hand!$B$22,Test1_Hand!$B$9,Test1_Hand!$B$11)</f>
        <v>1.80480379173401</v>
      </c>
      <c r="E733" s="2" t="n">
        <f aca="false">IF(B733&lt;Test1_Hand!$B$12,1,0)</f>
        <v>0</v>
      </c>
      <c r="F733" s="23" t="n">
        <f aca="false">Test1_Hand!$B$4+E733*D733</f>
        <v>16</v>
      </c>
      <c r="G733" s="24" t="n">
        <f aca="false">Test1_Hand!$B$6*E733*D733+Test1_Hand!$B$7*MAX(0,F733-Test1_Hand!$B$5)</f>
        <v>0</v>
      </c>
      <c r="H733" s="2" t="n">
        <f aca="false">IF(B733&lt;Test1_Hand!$B$13,1,0)</f>
        <v>0</v>
      </c>
      <c r="I733" s="23" t="n">
        <f aca="false">Test1_Hand!$B$4+H733*D733</f>
        <v>16</v>
      </c>
      <c r="J733" s="24" t="n">
        <f aca="false">Test1_Hand!$B$6*H733*D733+Test1_Hand!$B$7*MAX(0,I733-Test1_Hand!$B$5)+Test1_Hand!$B$14</f>
        <v>6000</v>
      </c>
    </row>
    <row r="734" customFormat="false" ht="15" hidden="false" customHeight="false" outlineLevel="0" collapsed="false">
      <c r="A734" s="2" t="n">
        <v>722</v>
      </c>
      <c r="B734" s="22" t="n">
        <v>0.865551724783331</v>
      </c>
      <c r="C734" s="22" t="n">
        <v>0.799958790109797</v>
      </c>
      <c r="D734" s="23" t="n">
        <f aca="false">BETAINV(C734,Test1_Hand!$B$21,Test1_Hand!$B$22,Test1_Hand!$B$9,Test1_Hand!$B$11)</f>
        <v>4.62565913188494</v>
      </c>
      <c r="E734" s="2" t="n">
        <f aca="false">IF(B734&lt;Test1_Hand!$B$12,1,0)</f>
        <v>0</v>
      </c>
      <c r="F734" s="23" t="n">
        <f aca="false">Test1_Hand!$B$4+E734*D734</f>
        <v>16</v>
      </c>
      <c r="G734" s="24" t="n">
        <f aca="false">Test1_Hand!$B$6*E734*D734+Test1_Hand!$B$7*MAX(0,F734-Test1_Hand!$B$5)</f>
        <v>0</v>
      </c>
      <c r="H734" s="2" t="n">
        <f aca="false">IF(B734&lt;Test1_Hand!$B$13,1,0)</f>
        <v>0</v>
      </c>
      <c r="I734" s="23" t="n">
        <f aca="false">Test1_Hand!$B$4+H734*D734</f>
        <v>16</v>
      </c>
      <c r="J734" s="24" t="n">
        <f aca="false">Test1_Hand!$B$6*H734*D734+Test1_Hand!$B$7*MAX(0,I734-Test1_Hand!$B$5)+Test1_Hand!$B$14</f>
        <v>6000</v>
      </c>
    </row>
    <row r="735" customFormat="false" ht="15" hidden="false" customHeight="false" outlineLevel="0" collapsed="false">
      <c r="A735" s="2" t="n">
        <v>723</v>
      </c>
      <c r="B735" s="22" t="n">
        <v>0.8597316644031</v>
      </c>
      <c r="C735" s="22" t="n">
        <v>0.00605658047784741</v>
      </c>
      <c r="D735" s="23" t="n">
        <f aca="false">BETAINV(C735,Test1_Hand!$B$21,Test1_Hand!$B$22,Test1_Hand!$B$9,Test1_Hand!$B$11)</f>
        <v>1.22278759975815</v>
      </c>
      <c r="E735" s="2" t="n">
        <f aca="false">IF(B735&lt;Test1_Hand!$B$12,1,0)</f>
        <v>0</v>
      </c>
      <c r="F735" s="23" t="n">
        <f aca="false">Test1_Hand!$B$4+E735*D735</f>
        <v>16</v>
      </c>
      <c r="G735" s="24" t="n">
        <f aca="false">Test1_Hand!$B$6*E735*D735+Test1_Hand!$B$7*MAX(0,F735-Test1_Hand!$B$5)</f>
        <v>0</v>
      </c>
      <c r="H735" s="2" t="n">
        <f aca="false">IF(B735&lt;Test1_Hand!$B$13,1,0)</f>
        <v>0</v>
      </c>
      <c r="I735" s="23" t="n">
        <f aca="false">Test1_Hand!$B$4+H735*D735</f>
        <v>16</v>
      </c>
      <c r="J735" s="24" t="n">
        <f aca="false">Test1_Hand!$B$6*H735*D735+Test1_Hand!$B$7*MAX(0,I735-Test1_Hand!$B$5)+Test1_Hand!$B$14</f>
        <v>6000</v>
      </c>
    </row>
    <row r="736" customFormat="false" ht="15" hidden="false" customHeight="false" outlineLevel="0" collapsed="false">
      <c r="A736" s="2" t="n">
        <v>724</v>
      </c>
      <c r="B736" s="22" t="n">
        <v>0.0963836617236242</v>
      </c>
      <c r="C736" s="22" t="n">
        <v>0.151844463665318</v>
      </c>
      <c r="D736" s="23" t="n">
        <f aca="false">BETAINV(C736,Test1_Hand!$B$21,Test1_Hand!$B$22,Test1_Hand!$B$9,Test1_Hand!$B$11)</f>
        <v>2.13520726361226</v>
      </c>
      <c r="E736" s="2" t="n">
        <f aca="false">IF(B736&lt;Test1_Hand!$B$12,1,0)</f>
        <v>1</v>
      </c>
      <c r="F736" s="23" t="n">
        <f aca="false">Test1_Hand!$B$4+E736*D736</f>
        <v>18.1352072636123</v>
      </c>
      <c r="G736" s="24" t="n">
        <f aca="false">Test1_Hand!$B$6*E736*D736+Test1_Hand!$B$7*MAX(0,F736-Test1_Hand!$B$5)</f>
        <v>17081.6581088981</v>
      </c>
      <c r="H736" s="2" t="n">
        <f aca="false">IF(B736&lt;Test1_Hand!$B$13,1,0)</f>
        <v>1</v>
      </c>
      <c r="I736" s="23" t="n">
        <f aca="false">Test1_Hand!$B$4+H736*D736</f>
        <v>18.1352072636123</v>
      </c>
      <c r="J736" s="24" t="n">
        <f aca="false">Test1_Hand!$B$6*H736*D736+Test1_Hand!$B$7*MAX(0,I736-Test1_Hand!$B$5)+Test1_Hand!$B$14</f>
        <v>23081.6581088981</v>
      </c>
    </row>
    <row r="737" customFormat="false" ht="15" hidden="false" customHeight="false" outlineLevel="0" collapsed="false">
      <c r="A737" s="2" t="n">
        <v>725</v>
      </c>
      <c r="B737" s="22" t="n">
        <v>0.0867169126566707</v>
      </c>
      <c r="C737" s="22" t="n">
        <v>0.647531944468183</v>
      </c>
      <c r="D737" s="23" t="n">
        <f aca="false">BETAINV(C737,Test1_Hand!$B$21,Test1_Hand!$B$22,Test1_Hand!$B$9,Test1_Hand!$B$11)</f>
        <v>3.93197673131478</v>
      </c>
      <c r="E737" s="2" t="n">
        <f aca="false">IF(B737&lt;Test1_Hand!$B$12,1,0)</f>
        <v>1</v>
      </c>
      <c r="F737" s="23" t="n">
        <f aca="false">Test1_Hand!$B$4+E737*D737</f>
        <v>19.9319767313148</v>
      </c>
      <c r="G737" s="24" t="n">
        <f aca="false">Test1_Hand!$B$6*E737*D737+Test1_Hand!$B$7*MAX(0,F737-Test1_Hand!$B$5)</f>
        <v>31455.8138505182</v>
      </c>
      <c r="H737" s="2" t="n">
        <f aca="false">IF(B737&lt;Test1_Hand!$B$13,1,0)</f>
        <v>1</v>
      </c>
      <c r="I737" s="23" t="n">
        <f aca="false">Test1_Hand!$B$4+H737*D737</f>
        <v>19.9319767313148</v>
      </c>
      <c r="J737" s="24" t="n">
        <f aca="false">Test1_Hand!$B$6*H737*D737+Test1_Hand!$B$7*MAX(0,I737-Test1_Hand!$B$5)+Test1_Hand!$B$14</f>
        <v>37455.8138505182</v>
      </c>
    </row>
    <row r="738" customFormat="false" ht="15" hidden="false" customHeight="false" outlineLevel="0" collapsed="false">
      <c r="A738" s="2" t="n">
        <v>726</v>
      </c>
      <c r="B738" s="22" t="n">
        <v>0.961614009317749</v>
      </c>
      <c r="C738" s="22" t="n">
        <v>0.728175952919306</v>
      </c>
      <c r="D738" s="23" t="n">
        <f aca="false">BETAINV(C738,Test1_Hand!$B$21,Test1_Hand!$B$22,Test1_Hand!$B$9,Test1_Hand!$B$11)</f>
        <v>4.2738780681895</v>
      </c>
      <c r="E738" s="2" t="n">
        <f aca="false">IF(B738&lt;Test1_Hand!$B$12,1,0)</f>
        <v>0</v>
      </c>
      <c r="F738" s="23" t="n">
        <f aca="false">Test1_Hand!$B$4+E738*D738</f>
        <v>16</v>
      </c>
      <c r="G738" s="24" t="n">
        <f aca="false">Test1_Hand!$B$6*E738*D738+Test1_Hand!$B$7*MAX(0,F738-Test1_Hand!$B$5)</f>
        <v>0</v>
      </c>
      <c r="H738" s="2" t="n">
        <f aca="false">IF(B738&lt;Test1_Hand!$B$13,1,0)</f>
        <v>0</v>
      </c>
      <c r="I738" s="23" t="n">
        <f aca="false">Test1_Hand!$B$4+H738*D738</f>
        <v>16</v>
      </c>
      <c r="J738" s="24" t="n">
        <f aca="false">Test1_Hand!$B$6*H738*D738+Test1_Hand!$B$7*MAX(0,I738-Test1_Hand!$B$5)+Test1_Hand!$B$14</f>
        <v>6000</v>
      </c>
    </row>
    <row r="739" customFormat="false" ht="15" hidden="false" customHeight="false" outlineLevel="0" collapsed="false">
      <c r="A739" s="2" t="n">
        <v>727</v>
      </c>
      <c r="B739" s="22" t="n">
        <v>0.0620880652192229</v>
      </c>
      <c r="C739" s="22" t="n">
        <v>0.897323638315096</v>
      </c>
      <c r="D739" s="23" t="n">
        <f aca="false">BETAINV(C739,Test1_Hand!$B$21,Test1_Hand!$B$22,Test1_Hand!$B$9,Test1_Hand!$B$11)</f>
        <v>5.25107813266107</v>
      </c>
      <c r="E739" s="2" t="n">
        <f aca="false">IF(B739&lt;Test1_Hand!$B$12,1,0)</f>
        <v>1</v>
      </c>
      <c r="F739" s="23" t="n">
        <f aca="false">Test1_Hand!$B$4+E739*D739</f>
        <v>21.2510781326611</v>
      </c>
      <c r="G739" s="24" t="n">
        <f aca="false">Test1_Hand!$B$6*E739*D739+Test1_Hand!$B$7*MAX(0,F739-Test1_Hand!$B$5)</f>
        <v>48264.0157245939</v>
      </c>
      <c r="H739" s="2" t="n">
        <f aca="false">IF(B739&lt;Test1_Hand!$B$13,1,0)</f>
        <v>1</v>
      </c>
      <c r="I739" s="23" t="n">
        <f aca="false">Test1_Hand!$B$4+H739*D739</f>
        <v>21.2510781326611</v>
      </c>
      <c r="J739" s="24" t="n">
        <f aca="false">Test1_Hand!$B$6*H739*D739+Test1_Hand!$B$7*MAX(0,I739-Test1_Hand!$B$5)+Test1_Hand!$B$14</f>
        <v>54264.0157245939</v>
      </c>
    </row>
    <row r="740" customFormat="false" ht="15" hidden="false" customHeight="false" outlineLevel="0" collapsed="false">
      <c r="A740" s="2" t="n">
        <v>728</v>
      </c>
      <c r="B740" s="22" t="n">
        <v>0.342524989684547</v>
      </c>
      <c r="C740" s="22" t="n">
        <v>0.464357837374938</v>
      </c>
      <c r="D740" s="23" t="n">
        <f aca="false">BETAINV(C740,Test1_Hand!$B$21,Test1_Hand!$B$22,Test1_Hand!$B$9,Test1_Hand!$B$11)</f>
        <v>3.25779632243327</v>
      </c>
      <c r="E740" s="2" t="n">
        <f aca="false">IF(B740&lt;Test1_Hand!$B$12,1,0)</f>
        <v>1</v>
      </c>
      <c r="F740" s="23" t="n">
        <f aca="false">Test1_Hand!$B$4+E740*D740</f>
        <v>19.2577963224333</v>
      </c>
      <c r="G740" s="24" t="n">
        <f aca="false">Test1_Hand!$B$6*E740*D740+Test1_Hand!$B$7*MAX(0,F740-Test1_Hand!$B$5)</f>
        <v>26062.3705794662</v>
      </c>
      <c r="H740" s="2" t="n">
        <f aca="false">IF(B740&lt;Test1_Hand!$B$13,1,0)</f>
        <v>0</v>
      </c>
      <c r="I740" s="23" t="n">
        <f aca="false">Test1_Hand!$B$4+H740*D740</f>
        <v>16</v>
      </c>
      <c r="J740" s="24" t="n">
        <f aca="false">Test1_Hand!$B$6*H740*D740+Test1_Hand!$B$7*MAX(0,I740-Test1_Hand!$B$5)+Test1_Hand!$B$14</f>
        <v>6000</v>
      </c>
    </row>
    <row r="741" customFormat="false" ht="15" hidden="false" customHeight="false" outlineLevel="0" collapsed="false">
      <c r="A741" s="2" t="n">
        <v>729</v>
      </c>
      <c r="B741" s="22" t="n">
        <v>0.717980136264351</v>
      </c>
      <c r="C741" s="22" t="n">
        <v>0.588826013703518</v>
      </c>
      <c r="D741" s="23" t="n">
        <f aca="false">BETAINV(C741,Test1_Hand!$B$21,Test1_Hand!$B$22,Test1_Hand!$B$9,Test1_Hand!$B$11)</f>
        <v>3.70490728947251</v>
      </c>
      <c r="E741" s="2" t="n">
        <f aca="false">IF(B741&lt;Test1_Hand!$B$12,1,0)</f>
        <v>0</v>
      </c>
      <c r="F741" s="23" t="n">
        <f aca="false">Test1_Hand!$B$4+E741*D741</f>
        <v>16</v>
      </c>
      <c r="G741" s="24" t="n">
        <f aca="false">Test1_Hand!$B$6*E741*D741+Test1_Hand!$B$7*MAX(0,F741-Test1_Hand!$B$5)</f>
        <v>0</v>
      </c>
      <c r="H741" s="2" t="n">
        <f aca="false">IF(B741&lt;Test1_Hand!$B$13,1,0)</f>
        <v>0</v>
      </c>
      <c r="I741" s="23" t="n">
        <f aca="false">Test1_Hand!$B$4+H741*D741</f>
        <v>16</v>
      </c>
      <c r="J741" s="24" t="n">
        <f aca="false">Test1_Hand!$B$6*H741*D741+Test1_Hand!$B$7*MAX(0,I741-Test1_Hand!$B$5)+Test1_Hand!$B$14</f>
        <v>6000</v>
      </c>
    </row>
    <row r="742" customFormat="false" ht="15" hidden="false" customHeight="false" outlineLevel="0" collapsed="false">
      <c r="A742" s="2" t="n">
        <v>730</v>
      </c>
      <c r="B742" s="22" t="n">
        <v>0.870494450501499</v>
      </c>
      <c r="C742" s="22" t="n">
        <v>0.196591969137002</v>
      </c>
      <c r="D742" s="23" t="n">
        <f aca="false">BETAINV(C742,Test1_Hand!$B$21,Test1_Hand!$B$22,Test1_Hand!$B$9,Test1_Hand!$B$11)</f>
        <v>2.31364073539903</v>
      </c>
      <c r="E742" s="2" t="n">
        <f aca="false">IF(B742&lt;Test1_Hand!$B$12,1,0)</f>
        <v>0</v>
      </c>
      <c r="F742" s="23" t="n">
        <f aca="false">Test1_Hand!$B$4+E742*D742</f>
        <v>16</v>
      </c>
      <c r="G742" s="24" t="n">
        <f aca="false">Test1_Hand!$B$6*E742*D742+Test1_Hand!$B$7*MAX(0,F742-Test1_Hand!$B$5)</f>
        <v>0</v>
      </c>
      <c r="H742" s="2" t="n">
        <f aca="false">IF(B742&lt;Test1_Hand!$B$13,1,0)</f>
        <v>0</v>
      </c>
      <c r="I742" s="23" t="n">
        <f aca="false">Test1_Hand!$B$4+H742*D742</f>
        <v>16</v>
      </c>
      <c r="J742" s="24" t="n">
        <f aca="false">Test1_Hand!$B$6*H742*D742+Test1_Hand!$B$7*MAX(0,I742-Test1_Hand!$B$5)+Test1_Hand!$B$14</f>
        <v>6000</v>
      </c>
    </row>
    <row r="743" customFormat="false" ht="15" hidden="false" customHeight="false" outlineLevel="0" collapsed="false">
      <c r="A743" s="2" t="n">
        <v>731</v>
      </c>
      <c r="B743" s="22" t="n">
        <v>0.226699569061828</v>
      </c>
      <c r="C743" s="22" t="n">
        <v>0.136014046111428</v>
      </c>
      <c r="D743" s="23" t="n">
        <f aca="false">BETAINV(C743,Test1_Hand!$B$21,Test1_Hand!$B$22,Test1_Hand!$B$9,Test1_Hand!$B$11)</f>
        <v>2.06818605833743</v>
      </c>
      <c r="E743" s="2" t="n">
        <f aca="false">IF(B743&lt;Test1_Hand!$B$12,1,0)</f>
        <v>1</v>
      </c>
      <c r="F743" s="23" t="n">
        <f aca="false">Test1_Hand!$B$4+E743*D743</f>
        <v>18.0681860583374</v>
      </c>
      <c r="G743" s="24" t="n">
        <f aca="false">Test1_Hand!$B$6*E743*D743+Test1_Hand!$B$7*MAX(0,F743-Test1_Hand!$B$5)</f>
        <v>16545.4884666994</v>
      </c>
      <c r="H743" s="2" t="n">
        <f aca="false">IF(B743&lt;Test1_Hand!$B$13,1,0)</f>
        <v>0</v>
      </c>
      <c r="I743" s="23" t="n">
        <f aca="false">Test1_Hand!$B$4+H743*D743</f>
        <v>16</v>
      </c>
      <c r="J743" s="24" t="n">
        <f aca="false">Test1_Hand!$B$6*H743*D743+Test1_Hand!$B$7*MAX(0,I743-Test1_Hand!$B$5)+Test1_Hand!$B$14</f>
        <v>6000</v>
      </c>
    </row>
    <row r="744" customFormat="false" ht="15" hidden="false" customHeight="false" outlineLevel="0" collapsed="false">
      <c r="A744" s="2" t="n">
        <v>732</v>
      </c>
      <c r="B744" s="22" t="n">
        <v>0.253214707900024</v>
      </c>
      <c r="C744" s="22" t="n">
        <v>0.51693803967692</v>
      </c>
      <c r="D744" s="23" t="n">
        <f aca="false">BETAINV(C744,Test1_Hand!$B$21,Test1_Hand!$B$22,Test1_Hand!$B$9,Test1_Hand!$B$11)</f>
        <v>3.44261980699428</v>
      </c>
      <c r="E744" s="2" t="n">
        <f aca="false">IF(B744&lt;Test1_Hand!$B$12,1,0)</f>
        <v>1</v>
      </c>
      <c r="F744" s="23" t="n">
        <f aca="false">Test1_Hand!$B$4+E744*D744</f>
        <v>19.4426198069943</v>
      </c>
      <c r="G744" s="24" t="n">
        <f aca="false">Test1_Hand!$B$6*E744*D744+Test1_Hand!$B$7*MAX(0,F744-Test1_Hand!$B$5)</f>
        <v>27540.9584559542</v>
      </c>
      <c r="H744" s="2" t="n">
        <f aca="false">IF(B744&lt;Test1_Hand!$B$13,1,0)</f>
        <v>0</v>
      </c>
      <c r="I744" s="23" t="n">
        <f aca="false">Test1_Hand!$B$4+H744*D744</f>
        <v>16</v>
      </c>
      <c r="J744" s="24" t="n">
        <f aca="false">Test1_Hand!$B$6*H744*D744+Test1_Hand!$B$7*MAX(0,I744-Test1_Hand!$B$5)+Test1_Hand!$B$14</f>
        <v>6000</v>
      </c>
    </row>
    <row r="745" customFormat="false" ht="15" hidden="false" customHeight="false" outlineLevel="0" collapsed="false">
      <c r="A745" s="2" t="n">
        <v>733</v>
      </c>
      <c r="B745" s="22" t="n">
        <v>0.11266355908293</v>
      </c>
      <c r="C745" s="22" t="n">
        <v>0.879054150799325</v>
      </c>
      <c r="D745" s="23" t="n">
        <f aca="false">BETAINV(C745,Test1_Hand!$B$21,Test1_Hand!$B$22,Test1_Hand!$B$9,Test1_Hand!$B$11)</f>
        <v>5.11218649483735</v>
      </c>
      <c r="E745" s="2" t="n">
        <f aca="false">IF(B745&lt;Test1_Hand!$B$12,1,0)</f>
        <v>1</v>
      </c>
      <c r="F745" s="23" t="n">
        <f aca="false">Test1_Hand!$B$4+E745*D745</f>
        <v>21.1121864948374</v>
      </c>
      <c r="G745" s="24" t="n">
        <f aca="false">Test1_Hand!$B$6*E745*D745+Test1_Hand!$B$7*MAX(0,F745-Test1_Hand!$B$5)</f>
        <v>46458.4244328855</v>
      </c>
      <c r="H745" s="2" t="n">
        <f aca="false">IF(B745&lt;Test1_Hand!$B$13,1,0)</f>
        <v>1</v>
      </c>
      <c r="I745" s="23" t="n">
        <f aca="false">Test1_Hand!$B$4+H745*D745</f>
        <v>21.1121864948374</v>
      </c>
      <c r="J745" s="24" t="n">
        <f aca="false">Test1_Hand!$B$6*H745*D745+Test1_Hand!$B$7*MAX(0,I745-Test1_Hand!$B$5)+Test1_Hand!$B$14</f>
        <v>52458.4244328855</v>
      </c>
    </row>
    <row r="746" customFormat="false" ht="15" hidden="false" customHeight="false" outlineLevel="0" collapsed="false">
      <c r="A746" s="2" t="n">
        <v>734</v>
      </c>
      <c r="B746" s="22" t="n">
        <v>0.810672249603558</v>
      </c>
      <c r="C746" s="22" t="n">
        <v>0.765495901138062</v>
      </c>
      <c r="D746" s="23" t="n">
        <f aca="false">BETAINV(C746,Test1_Hand!$B$21,Test1_Hand!$B$22,Test1_Hand!$B$9,Test1_Hand!$B$11)</f>
        <v>4.44945261534649</v>
      </c>
      <c r="E746" s="2" t="n">
        <f aca="false">IF(B746&lt;Test1_Hand!$B$12,1,0)</f>
        <v>0</v>
      </c>
      <c r="F746" s="23" t="n">
        <f aca="false">Test1_Hand!$B$4+E746*D746</f>
        <v>16</v>
      </c>
      <c r="G746" s="24" t="n">
        <f aca="false">Test1_Hand!$B$6*E746*D746+Test1_Hand!$B$7*MAX(0,F746-Test1_Hand!$B$5)</f>
        <v>0</v>
      </c>
      <c r="H746" s="2" t="n">
        <f aca="false">IF(B746&lt;Test1_Hand!$B$13,1,0)</f>
        <v>0</v>
      </c>
      <c r="I746" s="23" t="n">
        <f aca="false">Test1_Hand!$B$4+H746*D746</f>
        <v>16</v>
      </c>
      <c r="J746" s="24" t="n">
        <f aca="false">Test1_Hand!$B$6*H746*D746+Test1_Hand!$B$7*MAX(0,I746-Test1_Hand!$B$5)+Test1_Hand!$B$14</f>
        <v>6000</v>
      </c>
    </row>
    <row r="747" customFormat="false" ht="15" hidden="false" customHeight="false" outlineLevel="0" collapsed="false">
      <c r="A747" s="2" t="n">
        <v>735</v>
      </c>
      <c r="B747" s="22" t="n">
        <v>0.956676568737287</v>
      </c>
      <c r="C747" s="22" t="n">
        <v>0.561085346754017</v>
      </c>
      <c r="D747" s="23" t="n">
        <f aca="false">BETAINV(C747,Test1_Hand!$B$21,Test1_Hand!$B$22,Test1_Hand!$B$9,Test1_Hand!$B$11)</f>
        <v>3.60202216833548</v>
      </c>
      <c r="E747" s="2" t="n">
        <f aca="false">IF(B747&lt;Test1_Hand!$B$12,1,0)</f>
        <v>0</v>
      </c>
      <c r="F747" s="23" t="n">
        <f aca="false">Test1_Hand!$B$4+E747*D747</f>
        <v>16</v>
      </c>
      <c r="G747" s="24" t="n">
        <f aca="false">Test1_Hand!$B$6*E747*D747+Test1_Hand!$B$7*MAX(0,F747-Test1_Hand!$B$5)</f>
        <v>0</v>
      </c>
      <c r="H747" s="2" t="n">
        <f aca="false">IF(B747&lt;Test1_Hand!$B$13,1,0)</f>
        <v>0</v>
      </c>
      <c r="I747" s="23" t="n">
        <f aca="false">Test1_Hand!$B$4+H747*D747</f>
        <v>16</v>
      </c>
      <c r="J747" s="24" t="n">
        <f aca="false">Test1_Hand!$B$6*H747*D747+Test1_Hand!$B$7*MAX(0,I747-Test1_Hand!$B$5)+Test1_Hand!$B$14</f>
        <v>6000</v>
      </c>
    </row>
    <row r="748" customFormat="false" ht="15" hidden="false" customHeight="false" outlineLevel="0" collapsed="false">
      <c r="A748" s="2" t="n">
        <v>736</v>
      </c>
      <c r="B748" s="22" t="n">
        <v>0.692801671188578</v>
      </c>
      <c r="C748" s="22" t="n">
        <v>0.281775316508729</v>
      </c>
      <c r="D748" s="23" t="n">
        <f aca="false">BETAINV(C748,Test1_Hand!$B$21,Test1_Hand!$B$22,Test1_Hand!$B$9,Test1_Hand!$B$11)</f>
        <v>2.62615161831999</v>
      </c>
      <c r="E748" s="2" t="n">
        <f aca="false">IF(B748&lt;Test1_Hand!$B$12,1,0)</f>
        <v>0</v>
      </c>
      <c r="F748" s="23" t="n">
        <f aca="false">Test1_Hand!$B$4+E748*D748</f>
        <v>16</v>
      </c>
      <c r="G748" s="24" t="n">
        <f aca="false">Test1_Hand!$B$6*E748*D748+Test1_Hand!$B$7*MAX(0,F748-Test1_Hand!$B$5)</f>
        <v>0</v>
      </c>
      <c r="H748" s="2" t="n">
        <f aca="false">IF(B748&lt;Test1_Hand!$B$13,1,0)</f>
        <v>0</v>
      </c>
      <c r="I748" s="23" t="n">
        <f aca="false">Test1_Hand!$B$4+H748*D748</f>
        <v>16</v>
      </c>
      <c r="J748" s="24" t="n">
        <f aca="false">Test1_Hand!$B$6*H748*D748+Test1_Hand!$B$7*MAX(0,I748-Test1_Hand!$B$5)+Test1_Hand!$B$14</f>
        <v>6000</v>
      </c>
    </row>
    <row r="749" customFormat="false" ht="15" hidden="false" customHeight="false" outlineLevel="0" collapsed="false">
      <c r="A749" s="2" t="n">
        <v>737</v>
      </c>
      <c r="B749" s="22" t="n">
        <v>0.917249278480947</v>
      </c>
      <c r="C749" s="22" t="n">
        <v>0.8475533009115</v>
      </c>
      <c r="D749" s="23" t="n">
        <f aca="false">BETAINV(C749,Test1_Hand!$B$21,Test1_Hand!$B$22,Test1_Hand!$B$9,Test1_Hand!$B$11)</f>
        <v>4.90051819189954</v>
      </c>
      <c r="E749" s="2" t="n">
        <f aca="false">IF(B749&lt;Test1_Hand!$B$12,1,0)</f>
        <v>0</v>
      </c>
      <c r="F749" s="23" t="n">
        <f aca="false">Test1_Hand!$B$4+E749*D749</f>
        <v>16</v>
      </c>
      <c r="G749" s="24" t="n">
        <f aca="false">Test1_Hand!$B$6*E749*D749+Test1_Hand!$B$7*MAX(0,F749-Test1_Hand!$B$5)</f>
        <v>0</v>
      </c>
      <c r="H749" s="2" t="n">
        <f aca="false">IF(B749&lt;Test1_Hand!$B$13,1,0)</f>
        <v>0</v>
      </c>
      <c r="I749" s="23" t="n">
        <f aca="false">Test1_Hand!$B$4+H749*D749</f>
        <v>16</v>
      </c>
      <c r="J749" s="24" t="n">
        <f aca="false">Test1_Hand!$B$6*H749*D749+Test1_Hand!$B$7*MAX(0,I749-Test1_Hand!$B$5)+Test1_Hand!$B$14</f>
        <v>6000</v>
      </c>
    </row>
    <row r="750" customFormat="false" ht="15" hidden="false" customHeight="false" outlineLevel="0" collapsed="false">
      <c r="A750" s="2" t="n">
        <v>738</v>
      </c>
      <c r="B750" s="22" t="n">
        <v>0.642103285195967</v>
      </c>
      <c r="C750" s="22" t="n">
        <v>0.193005573579342</v>
      </c>
      <c r="D750" s="23" t="n">
        <f aca="false">BETAINV(C750,Test1_Hand!$B$21,Test1_Hand!$B$22,Test1_Hand!$B$9,Test1_Hand!$B$11)</f>
        <v>2.29982068295932</v>
      </c>
      <c r="E750" s="2" t="n">
        <f aca="false">IF(B750&lt;Test1_Hand!$B$12,1,0)</f>
        <v>0</v>
      </c>
      <c r="F750" s="23" t="n">
        <f aca="false">Test1_Hand!$B$4+E750*D750</f>
        <v>16</v>
      </c>
      <c r="G750" s="24" t="n">
        <f aca="false">Test1_Hand!$B$6*E750*D750+Test1_Hand!$B$7*MAX(0,F750-Test1_Hand!$B$5)</f>
        <v>0</v>
      </c>
      <c r="H750" s="2" t="n">
        <f aca="false">IF(B750&lt;Test1_Hand!$B$13,1,0)</f>
        <v>0</v>
      </c>
      <c r="I750" s="23" t="n">
        <f aca="false">Test1_Hand!$B$4+H750*D750</f>
        <v>16</v>
      </c>
      <c r="J750" s="24" t="n">
        <f aca="false">Test1_Hand!$B$6*H750*D750+Test1_Hand!$B$7*MAX(0,I750-Test1_Hand!$B$5)+Test1_Hand!$B$14</f>
        <v>6000</v>
      </c>
    </row>
    <row r="751" customFormat="false" ht="15" hidden="false" customHeight="false" outlineLevel="0" collapsed="false">
      <c r="A751" s="2" t="n">
        <v>739</v>
      </c>
      <c r="B751" s="22" t="n">
        <v>0.581251777480848</v>
      </c>
      <c r="C751" s="22" t="n">
        <v>0.362118412549924</v>
      </c>
      <c r="D751" s="23" t="n">
        <f aca="false">BETAINV(C751,Test1_Hand!$B$21,Test1_Hand!$B$22,Test1_Hand!$B$9,Test1_Hand!$B$11)</f>
        <v>2.90561764497738</v>
      </c>
      <c r="E751" s="2" t="n">
        <f aca="false">IF(B751&lt;Test1_Hand!$B$12,1,0)</f>
        <v>0</v>
      </c>
      <c r="F751" s="23" t="n">
        <f aca="false">Test1_Hand!$B$4+E751*D751</f>
        <v>16</v>
      </c>
      <c r="G751" s="24" t="n">
        <f aca="false">Test1_Hand!$B$6*E751*D751+Test1_Hand!$B$7*MAX(0,F751-Test1_Hand!$B$5)</f>
        <v>0</v>
      </c>
      <c r="H751" s="2" t="n">
        <f aca="false">IF(B751&lt;Test1_Hand!$B$13,1,0)</f>
        <v>0</v>
      </c>
      <c r="I751" s="23" t="n">
        <f aca="false">Test1_Hand!$B$4+H751*D751</f>
        <v>16</v>
      </c>
      <c r="J751" s="24" t="n">
        <f aca="false">Test1_Hand!$B$6*H751*D751+Test1_Hand!$B$7*MAX(0,I751-Test1_Hand!$B$5)+Test1_Hand!$B$14</f>
        <v>6000</v>
      </c>
    </row>
    <row r="752" customFormat="false" ht="15" hidden="false" customHeight="false" outlineLevel="0" collapsed="false">
      <c r="A752" s="2" t="n">
        <v>740</v>
      </c>
      <c r="B752" s="22" t="n">
        <v>0.20081160402319</v>
      </c>
      <c r="C752" s="22" t="n">
        <v>0.478386536636212</v>
      </c>
      <c r="D752" s="23" t="n">
        <f aca="false">BETAINV(C752,Test1_Hand!$B$21,Test1_Hand!$B$22,Test1_Hand!$B$9,Test1_Hand!$B$11)</f>
        <v>3.30669834384522</v>
      </c>
      <c r="E752" s="2" t="n">
        <f aca="false">IF(B752&lt;Test1_Hand!$B$12,1,0)</f>
        <v>1</v>
      </c>
      <c r="F752" s="23" t="n">
        <f aca="false">Test1_Hand!$B$4+E752*D752</f>
        <v>19.3066983438452</v>
      </c>
      <c r="G752" s="24" t="n">
        <f aca="false">Test1_Hand!$B$6*E752*D752+Test1_Hand!$B$7*MAX(0,F752-Test1_Hand!$B$5)</f>
        <v>26453.5867507618</v>
      </c>
      <c r="H752" s="2" t="n">
        <f aca="false">IF(B752&lt;Test1_Hand!$B$13,1,0)</f>
        <v>0</v>
      </c>
      <c r="I752" s="23" t="n">
        <f aca="false">Test1_Hand!$B$4+H752*D752</f>
        <v>16</v>
      </c>
      <c r="J752" s="24" t="n">
        <f aca="false">Test1_Hand!$B$6*H752*D752+Test1_Hand!$B$7*MAX(0,I752-Test1_Hand!$B$5)+Test1_Hand!$B$14</f>
        <v>6000</v>
      </c>
    </row>
    <row r="753" customFormat="false" ht="15" hidden="false" customHeight="false" outlineLevel="0" collapsed="false">
      <c r="A753" s="2" t="n">
        <v>741</v>
      </c>
      <c r="B753" s="22" t="n">
        <v>0.626792467487796</v>
      </c>
      <c r="C753" s="22" t="n">
        <v>0.875714218472997</v>
      </c>
      <c r="D753" s="23" t="n">
        <f aca="false">BETAINV(C753,Test1_Hand!$B$21,Test1_Hand!$B$22,Test1_Hand!$B$9,Test1_Hand!$B$11)</f>
        <v>5.08824500283003</v>
      </c>
      <c r="E753" s="2" t="n">
        <f aca="false">IF(B753&lt;Test1_Hand!$B$12,1,0)</f>
        <v>0</v>
      </c>
      <c r="F753" s="23" t="n">
        <f aca="false">Test1_Hand!$B$4+E753*D753</f>
        <v>16</v>
      </c>
      <c r="G753" s="24" t="n">
        <f aca="false">Test1_Hand!$B$6*E753*D753+Test1_Hand!$B$7*MAX(0,F753-Test1_Hand!$B$5)</f>
        <v>0</v>
      </c>
      <c r="H753" s="2" t="n">
        <f aca="false">IF(B753&lt;Test1_Hand!$B$13,1,0)</f>
        <v>0</v>
      </c>
      <c r="I753" s="23" t="n">
        <f aca="false">Test1_Hand!$B$4+H753*D753</f>
        <v>16</v>
      </c>
      <c r="J753" s="24" t="n">
        <f aca="false">Test1_Hand!$B$6*H753*D753+Test1_Hand!$B$7*MAX(0,I753-Test1_Hand!$B$5)+Test1_Hand!$B$14</f>
        <v>6000</v>
      </c>
    </row>
    <row r="754" customFormat="false" ht="15" hidden="false" customHeight="false" outlineLevel="0" collapsed="false">
      <c r="A754" s="2" t="n">
        <v>742</v>
      </c>
      <c r="B754" s="22" t="n">
        <v>0.383670580304591</v>
      </c>
      <c r="C754" s="22" t="n">
        <v>0.197090023593498</v>
      </c>
      <c r="D754" s="23" t="n">
        <f aca="false">BETAINV(C754,Test1_Hand!$B$21,Test1_Hand!$B$22,Test1_Hand!$B$9,Test1_Hand!$B$11)</f>
        <v>2.31555438702798</v>
      </c>
      <c r="E754" s="2" t="n">
        <f aca="false">IF(B754&lt;Test1_Hand!$B$12,1,0)</f>
        <v>1</v>
      </c>
      <c r="F754" s="23" t="n">
        <f aca="false">Test1_Hand!$B$4+E754*D754</f>
        <v>18.315554387028</v>
      </c>
      <c r="G754" s="24" t="n">
        <f aca="false">Test1_Hand!$B$6*E754*D754+Test1_Hand!$B$7*MAX(0,F754-Test1_Hand!$B$5)</f>
        <v>18524.4350962238</v>
      </c>
      <c r="H754" s="2" t="n">
        <f aca="false">IF(B754&lt;Test1_Hand!$B$13,1,0)</f>
        <v>0</v>
      </c>
      <c r="I754" s="23" t="n">
        <f aca="false">Test1_Hand!$B$4+H754*D754</f>
        <v>16</v>
      </c>
      <c r="J754" s="24" t="n">
        <f aca="false">Test1_Hand!$B$6*H754*D754+Test1_Hand!$B$7*MAX(0,I754-Test1_Hand!$B$5)+Test1_Hand!$B$14</f>
        <v>6000</v>
      </c>
    </row>
    <row r="755" customFormat="false" ht="15" hidden="false" customHeight="false" outlineLevel="0" collapsed="false">
      <c r="A755" s="2" t="n">
        <v>743</v>
      </c>
      <c r="B755" s="22" t="n">
        <v>0.30533830447668</v>
      </c>
      <c r="C755" s="22" t="n">
        <v>0.572993322069083</v>
      </c>
      <c r="D755" s="23" t="n">
        <f aca="false">BETAINV(C755,Test1_Hand!$B$21,Test1_Hand!$B$22,Test1_Hand!$B$9,Test1_Hand!$B$11)</f>
        <v>3.6458942130814</v>
      </c>
      <c r="E755" s="2" t="n">
        <f aca="false">IF(B755&lt;Test1_Hand!$B$12,1,0)</f>
        <v>1</v>
      </c>
      <c r="F755" s="23" t="n">
        <f aca="false">Test1_Hand!$B$4+E755*D755</f>
        <v>19.6458942130814</v>
      </c>
      <c r="G755" s="24" t="n">
        <f aca="false">Test1_Hand!$B$6*E755*D755+Test1_Hand!$B$7*MAX(0,F755-Test1_Hand!$B$5)</f>
        <v>29167.1537046512</v>
      </c>
      <c r="H755" s="2" t="n">
        <f aca="false">IF(B755&lt;Test1_Hand!$B$13,1,0)</f>
        <v>0</v>
      </c>
      <c r="I755" s="23" t="n">
        <f aca="false">Test1_Hand!$B$4+H755*D755</f>
        <v>16</v>
      </c>
      <c r="J755" s="24" t="n">
        <f aca="false">Test1_Hand!$B$6*H755*D755+Test1_Hand!$B$7*MAX(0,I755-Test1_Hand!$B$5)+Test1_Hand!$B$14</f>
        <v>6000</v>
      </c>
    </row>
    <row r="756" customFormat="false" ht="15" hidden="false" customHeight="false" outlineLevel="0" collapsed="false">
      <c r="A756" s="2" t="n">
        <v>744</v>
      </c>
      <c r="B756" s="22" t="n">
        <v>0.628250989899949</v>
      </c>
      <c r="C756" s="22" t="n">
        <v>0.334330499270915</v>
      </c>
      <c r="D756" s="23" t="n">
        <f aca="false">BETAINV(C756,Test1_Hand!$B$21,Test1_Hand!$B$22,Test1_Hand!$B$9,Test1_Hand!$B$11)</f>
        <v>2.80979702117941</v>
      </c>
      <c r="E756" s="2" t="n">
        <f aca="false">IF(B756&lt;Test1_Hand!$B$12,1,0)</f>
        <v>0</v>
      </c>
      <c r="F756" s="23" t="n">
        <f aca="false">Test1_Hand!$B$4+E756*D756</f>
        <v>16</v>
      </c>
      <c r="G756" s="24" t="n">
        <f aca="false">Test1_Hand!$B$6*E756*D756+Test1_Hand!$B$7*MAX(0,F756-Test1_Hand!$B$5)</f>
        <v>0</v>
      </c>
      <c r="H756" s="2" t="n">
        <f aca="false">IF(B756&lt;Test1_Hand!$B$13,1,0)</f>
        <v>0</v>
      </c>
      <c r="I756" s="23" t="n">
        <f aca="false">Test1_Hand!$B$4+H756*D756</f>
        <v>16</v>
      </c>
      <c r="J756" s="24" t="n">
        <f aca="false">Test1_Hand!$B$6*H756*D756+Test1_Hand!$B$7*MAX(0,I756-Test1_Hand!$B$5)+Test1_Hand!$B$14</f>
        <v>6000</v>
      </c>
    </row>
    <row r="757" customFormat="false" ht="15" hidden="false" customHeight="false" outlineLevel="0" collapsed="false">
      <c r="A757" s="2" t="n">
        <v>745</v>
      </c>
      <c r="B757" s="22" t="n">
        <v>0.840706655997047</v>
      </c>
      <c r="C757" s="22" t="n">
        <v>0.423198529657575</v>
      </c>
      <c r="D757" s="23" t="n">
        <f aca="false">BETAINV(C757,Test1_Hand!$B$21,Test1_Hand!$B$22,Test1_Hand!$B$9,Test1_Hand!$B$11)</f>
        <v>3.11548496134548</v>
      </c>
      <c r="E757" s="2" t="n">
        <f aca="false">IF(B757&lt;Test1_Hand!$B$12,1,0)</f>
        <v>0</v>
      </c>
      <c r="F757" s="23" t="n">
        <f aca="false">Test1_Hand!$B$4+E757*D757</f>
        <v>16</v>
      </c>
      <c r="G757" s="24" t="n">
        <f aca="false">Test1_Hand!$B$6*E757*D757+Test1_Hand!$B$7*MAX(0,F757-Test1_Hand!$B$5)</f>
        <v>0</v>
      </c>
      <c r="H757" s="2" t="n">
        <f aca="false">IF(B757&lt;Test1_Hand!$B$13,1,0)</f>
        <v>0</v>
      </c>
      <c r="I757" s="23" t="n">
        <f aca="false">Test1_Hand!$B$4+H757*D757</f>
        <v>16</v>
      </c>
      <c r="J757" s="24" t="n">
        <f aca="false">Test1_Hand!$B$6*H757*D757+Test1_Hand!$B$7*MAX(0,I757-Test1_Hand!$B$5)+Test1_Hand!$B$14</f>
        <v>6000</v>
      </c>
    </row>
    <row r="758" customFormat="false" ht="15" hidden="false" customHeight="false" outlineLevel="0" collapsed="false">
      <c r="A758" s="2" t="n">
        <v>746</v>
      </c>
      <c r="B758" s="22" t="n">
        <v>0.559171524790464</v>
      </c>
      <c r="C758" s="22" t="n">
        <v>0.802989284642639</v>
      </c>
      <c r="D758" s="23" t="n">
        <f aca="false">BETAINV(C758,Test1_Hand!$B$21,Test1_Hand!$B$22,Test1_Hand!$B$9,Test1_Hand!$B$11)</f>
        <v>4.64194449247242</v>
      </c>
      <c r="E758" s="2" t="n">
        <f aca="false">IF(B758&lt;Test1_Hand!$B$12,1,0)</f>
        <v>0</v>
      </c>
      <c r="F758" s="23" t="n">
        <f aca="false">Test1_Hand!$B$4+E758*D758</f>
        <v>16</v>
      </c>
      <c r="G758" s="24" t="n">
        <f aca="false">Test1_Hand!$B$6*E758*D758+Test1_Hand!$B$7*MAX(0,F758-Test1_Hand!$B$5)</f>
        <v>0</v>
      </c>
      <c r="H758" s="2" t="n">
        <f aca="false">IF(B758&lt;Test1_Hand!$B$13,1,0)</f>
        <v>0</v>
      </c>
      <c r="I758" s="23" t="n">
        <f aca="false">Test1_Hand!$B$4+H758*D758</f>
        <v>16</v>
      </c>
      <c r="J758" s="24" t="n">
        <f aca="false">Test1_Hand!$B$6*H758*D758+Test1_Hand!$B$7*MAX(0,I758-Test1_Hand!$B$5)+Test1_Hand!$B$14</f>
        <v>6000</v>
      </c>
    </row>
    <row r="759" customFormat="false" ht="15" hidden="false" customHeight="false" outlineLevel="0" collapsed="false">
      <c r="A759" s="2" t="n">
        <v>747</v>
      </c>
      <c r="B759" s="22" t="n">
        <v>0.884277809524566</v>
      </c>
      <c r="C759" s="22" t="n">
        <v>0.472410888401965</v>
      </c>
      <c r="D759" s="23" t="n">
        <f aca="false">BETAINV(C759,Test1_Hand!$B$21,Test1_Hand!$B$22,Test1_Hand!$B$9,Test1_Hand!$B$11)</f>
        <v>3.28583731268792</v>
      </c>
      <c r="E759" s="2" t="n">
        <f aca="false">IF(B759&lt;Test1_Hand!$B$12,1,0)</f>
        <v>0</v>
      </c>
      <c r="F759" s="23" t="n">
        <f aca="false">Test1_Hand!$B$4+E759*D759</f>
        <v>16</v>
      </c>
      <c r="G759" s="24" t="n">
        <f aca="false">Test1_Hand!$B$6*E759*D759+Test1_Hand!$B$7*MAX(0,F759-Test1_Hand!$B$5)</f>
        <v>0</v>
      </c>
      <c r="H759" s="2" t="n">
        <f aca="false">IF(B759&lt;Test1_Hand!$B$13,1,0)</f>
        <v>0</v>
      </c>
      <c r="I759" s="23" t="n">
        <f aca="false">Test1_Hand!$B$4+H759*D759</f>
        <v>16</v>
      </c>
      <c r="J759" s="24" t="n">
        <f aca="false">Test1_Hand!$B$6*H759*D759+Test1_Hand!$B$7*MAX(0,I759-Test1_Hand!$B$5)+Test1_Hand!$B$14</f>
        <v>6000</v>
      </c>
    </row>
    <row r="760" customFormat="false" ht="15" hidden="false" customHeight="false" outlineLevel="0" collapsed="false">
      <c r="A760" s="2" t="n">
        <v>748</v>
      </c>
      <c r="B760" s="22" t="n">
        <v>0.0317234487350225</v>
      </c>
      <c r="C760" s="22" t="n">
        <v>0.75544568351765</v>
      </c>
      <c r="D760" s="23" t="n">
        <f aca="false">BETAINV(C760,Test1_Hand!$B$21,Test1_Hand!$B$22,Test1_Hand!$B$9,Test1_Hand!$B$11)</f>
        <v>4.40079116454755</v>
      </c>
      <c r="E760" s="2" t="n">
        <f aca="false">IF(B760&lt;Test1_Hand!$B$12,1,0)</f>
        <v>1</v>
      </c>
      <c r="F760" s="23" t="n">
        <f aca="false">Test1_Hand!$B$4+E760*D760</f>
        <v>20.4007911645476</v>
      </c>
      <c r="G760" s="24" t="n">
        <f aca="false">Test1_Hand!$B$6*E760*D760+Test1_Hand!$B$7*MAX(0,F760-Test1_Hand!$B$5)</f>
        <v>37210.2851391182</v>
      </c>
      <c r="H760" s="2" t="n">
        <f aca="false">IF(B760&lt;Test1_Hand!$B$13,1,0)</f>
        <v>1</v>
      </c>
      <c r="I760" s="23" t="n">
        <f aca="false">Test1_Hand!$B$4+H760*D760</f>
        <v>20.4007911645476</v>
      </c>
      <c r="J760" s="24" t="n">
        <f aca="false">Test1_Hand!$B$6*H760*D760+Test1_Hand!$B$7*MAX(0,I760-Test1_Hand!$B$5)+Test1_Hand!$B$14</f>
        <v>43210.2851391182</v>
      </c>
    </row>
    <row r="761" customFormat="false" ht="15" hidden="false" customHeight="false" outlineLevel="0" collapsed="false">
      <c r="A761" s="2" t="n">
        <v>749</v>
      </c>
      <c r="B761" s="22" t="n">
        <v>0.161513074269421</v>
      </c>
      <c r="C761" s="22" t="n">
        <v>0.581340434713464</v>
      </c>
      <c r="D761" s="23" t="n">
        <f aca="false">BETAINV(C761,Test1_Hand!$B$21,Test1_Hand!$B$22,Test1_Hand!$B$9,Test1_Hand!$B$11)</f>
        <v>3.67690491087731</v>
      </c>
      <c r="E761" s="2" t="n">
        <f aca="false">IF(B761&lt;Test1_Hand!$B$12,1,0)</f>
        <v>1</v>
      </c>
      <c r="F761" s="23" t="n">
        <f aca="false">Test1_Hand!$B$4+E761*D761</f>
        <v>19.6769049108773</v>
      </c>
      <c r="G761" s="24" t="n">
        <f aca="false">Test1_Hand!$B$6*E761*D761+Test1_Hand!$B$7*MAX(0,F761-Test1_Hand!$B$5)</f>
        <v>29415.2392870185</v>
      </c>
      <c r="H761" s="2" t="n">
        <f aca="false">IF(B761&lt;Test1_Hand!$B$13,1,0)</f>
        <v>1</v>
      </c>
      <c r="I761" s="23" t="n">
        <f aca="false">Test1_Hand!$B$4+H761*D761</f>
        <v>19.6769049108773</v>
      </c>
      <c r="J761" s="24" t="n">
        <f aca="false">Test1_Hand!$B$6*H761*D761+Test1_Hand!$B$7*MAX(0,I761-Test1_Hand!$B$5)+Test1_Hand!$B$14</f>
        <v>35415.2392870185</v>
      </c>
    </row>
    <row r="762" customFormat="false" ht="15" hidden="false" customHeight="false" outlineLevel="0" collapsed="false">
      <c r="A762" s="2" t="n">
        <v>750</v>
      </c>
      <c r="B762" s="22" t="n">
        <v>0.894692340757456</v>
      </c>
      <c r="C762" s="22" t="n">
        <v>0.608747811437864</v>
      </c>
      <c r="D762" s="23" t="n">
        <f aca="false">BETAINV(C762,Test1_Hand!$B$21,Test1_Hand!$B$22,Test1_Hand!$B$9,Test1_Hand!$B$11)</f>
        <v>3.78039154419542</v>
      </c>
      <c r="E762" s="2" t="n">
        <f aca="false">IF(B762&lt;Test1_Hand!$B$12,1,0)</f>
        <v>0</v>
      </c>
      <c r="F762" s="23" t="n">
        <f aca="false">Test1_Hand!$B$4+E762*D762</f>
        <v>16</v>
      </c>
      <c r="G762" s="24" t="n">
        <f aca="false">Test1_Hand!$B$6*E762*D762+Test1_Hand!$B$7*MAX(0,F762-Test1_Hand!$B$5)</f>
        <v>0</v>
      </c>
      <c r="H762" s="2" t="n">
        <f aca="false">IF(B762&lt;Test1_Hand!$B$13,1,0)</f>
        <v>0</v>
      </c>
      <c r="I762" s="23" t="n">
        <f aca="false">Test1_Hand!$B$4+H762*D762</f>
        <v>16</v>
      </c>
      <c r="J762" s="24" t="n">
        <f aca="false">Test1_Hand!$B$6*H762*D762+Test1_Hand!$B$7*MAX(0,I762-Test1_Hand!$B$5)+Test1_Hand!$B$14</f>
        <v>6000</v>
      </c>
    </row>
    <row r="763" customFormat="false" ht="15" hidden="false" customHeight="false" outlineLevel="0" collapsed="false">
      <c r="A763" s="2" t="n">
        <v>751</v>
      </c>
      <c r="B763" s="22" t="n">
        <v>0.863481698519859</v>
      </c>
      <c r="C763" s="22" t="n">
        <v>0.424325282570432</v>
      </c>
      <c r="D763" s="23" t="n">
        <f aca="false">BETAINV(C763,Test1_Hand!$B$21,Test1_Hand!$B$22,Test1_Hand!$B$9,Test1_Hand!$B$11)</f>
        <v>3.11936394745762</v>
      </c>
      <c r="E763" s="2" t="n">
        <f aca="false">IF(B763&lt;Test1_Hand!$B$12,1,0)</f>
        <v>0</v>
      </c>
      <c r="F763" s="23" t="n">
        <f aca="false">Test1_Hand!$B$4+E763*D763</f>
        <v>16</v>
      </c>
      <c r="G763" s="24" t="n">
        <f aca="false">Test1_Hand!$B$6*E763*D763+Test1_Hand!$B$7*MAX(0,F763-Test1_Hand!$B$5)</f>
        <v>0</v>
      </c>
      <c r="H763" s="2" t="n">
        <f aca="false">IF(B763&lt;Test1_Hand!$B$13,1,0)</f>
        <v>0</v>
      </c>
      <c r="I763" s="23" t="n">
        <f aca="false">Test1_Hand!$B$4+H763*D763</f>
        <v>16</v>
      </c>
      <c r="J763" s="24" t="n">
        <f aca="false">Test1_Hand!$B$6*H763*D763+Test1_Hand!$B$7*MAX(0,I763-Test1_Hand!$B$5)+Test1_Hand!$B$14</f>
        <v>6000</v>
      </c>
    </row>
    <row r="764" customFormat="false" ht="15" hidden="false" customHeight="false" outlineLevel="0" collapsed="false">
      <c r="A764" s="2" t="n">
        <v>752</v>
      </c>
      <c r="B764" s="22" t="n">
        <v>0.110784099296571</v>
      </c>
      <c r="C764" s="22" t="n">
        <v>0.427466632850286</v>
      </c>
      <c r="D764" s="23" t="n">
        <f aca="false">BETAINV(C764,Test1_Hand!$B$21,Test1_Hand!$B$22,Test1_Hand!$B$9,Test1_Hand!$B$11)</f>
        <v>3.13018217142784</v>
      </c>
      <c r="E764" s="2" t="n">
        <f aca="false">IF(B764&lt;Test1_Hand!$B$12,1,0)</f>
        <v>1</v>
      </c>
      <c r="F764" s="23" t="n">
        <f aca="false">Test1_Hand!$B$4+E764*D764</f>
        <v>19.1301821714278</v>
      </c>
      <c r="G764" s="24" t="n">
        <f aca="false">Test1_Hand!$B$6*E764*D764+Test1_Hand!$B$7*MAX(0,F764-Test1_Hand!$B$5)</f>
        <v>25041.4573714227</v>
      </c>
      <c r="H764" s="2" t="n">
        <f aca="false">IF(B764&lt;Test1_Hand!$B$13,1,0)</f>
        <v>1</v>
      </c>
      <c r="I764" s="23" t="n">
        <f aca="false">Test1_Hand!$B$4+H764*D764</f>
        <v>19.1301821714278</v>
      </c>
      <c r="J764" s="24" t="n">
        <f aca="false">Test1_Hand!$B$6*H764*D764+Test1_Hand!$B$7*MAX(0,I764-Test1_Hand!$B$5)+Test1_Hand!$B$14</f>
        <v>31041.4573714227</v>
      </c>
    </row>
    <row r="765" customFormat="false" ht="15" hidden="false" customHeight="false" outlineLevel="0" collapsed="false">
      <c r="A765" s="2" t="n">
        <v>753</v>
      </c>
      <c r="B765" s="22" t="n">
        <v>0.831514507614641</v>
      </c>
      <c r="C765" s="22" t="n">
        <v>0.25663195510041</v>
      </c>
      <c r="D765" s="23" t="n">
        <f aca="false">BETAINV(C765,Test1_Hand!$B$21,Test1_Hand!$B$22,Test1_Hand!$B$9,Test1_Hand!$B$11)</f>
        <v>2.53640414202685</v>
      </c>
      <c r="E765" s="2" t="n">
        <f aca="false">IF(B765&lt;Test1_Hand!$B$12,1,0)</f>
        <v>0</v>
      </c>
      <c r="F765" s="23" t="n">
        <f aca="false">Test1_Hand!$B$4+E765*D765</f>
        <v>16</v>
      </c>
      <c r="G765" s="24" t="n">
        <f aca="false">Test1_Hand!$B$6*E765*D765+Test1_Hand!$B$7*MAX(0,F765-Test1_Hand!$B$5)</f>
        <v>0</v>
      </c>
      <c r="H765" s="2" t="n">
        <f aca="false">IF(B765&lt;Test1_Hand!$B$13,1,0)</f>
        <v>0</v>
      </c>
      <c r="I765" s="23" t="n">
        <f aca="false">Test1_Hand!$B$4+H765*D765</f>
        <v>16</v>
      </c>
      <c r="J765" s="24" t="n">
        <f aca="false">Test1_Hand!$B$6*H765*D765+Test1_Hand!$B$7*MAX(0,I765-Test1_Hand!$B$5)+Test1_Hand!$B$14</f>
        <v>6000</v>
      </c>
    </row>
    <row r="766" customFormat="false" ht="15" hidden="false" customHeight="false" outlineLevel="0" collapsed="false">
      <c r="A766" s="2" t="n">
        <v>754</v>
      </c>
      <c r="B766" s="22" t="n">
        <v>0.957922282534816</v>
      </c>
      <c r="C766" s="22" t="n">
        <v>0.147385874599367</v>
      </c>
      <c r="D766" s="23" t="n">
        <f aca="false">BETAINV(C766,Test1_Hand!$B$21,Test1_Hand!$B$22,Test1_Hand!$B$9,Test1_Hand!$B$11)</f>
        <v>2.11657862360428</v>
      </c>
      <c r="E766" s="2" t="n">
        <f aca="false">IF(B766&lt;Test1_Hand!$B$12,1,0)</f>
        <v>0</v>
      </c>
      <c r="F766" s="23" t="n">
        <f aca="false">Test1_Hand!$B$4+E766*D766</f>
        <v>16</v>
      </c>
      <c r="G766" s="24" t="n">
        <f aca="false">Test1_Hand!$B$6*E766*D766+Test1_Hand!$B$7*MAX(0,F766-Test1_Hand!$B$5)</f>
        <v>0</v>
      </c>
      <c r="H766" s="2" t="n">
        <f aca="false">IF(B766&lt;Test1_Hand!$B$13,1,0)</f>
        <v>0</v>
      </c>
      <c r="I766" s="23" t="n">
        <f aca="false">Test1_Hand!$B$4+H766*D766</f>
        <v>16</v>
      </c>
      <c r="J766" s="24" t="n">
        <f aca="false">Test1_Hand!$B$6*H766*D766+Test1_Hand!$B$7*MAX(0,I766-Test1_Hand!$B$5)+Test1_Hand!$B$14</f>
        <v>6000</v>
      </c>
    </row>
    <row r="767" customFormat="false" ht="15" hidden="false" customHeight="false" outlineLevel="0" collapsed="false">
      <c r="A767" s="2" t="n">
        <v>755</v>
      </c>
      <c r="B767" s="22" t="n">
        <v>0.697207886092693</v>
      </c>
      <c r="C767" s="22" t="n">
        <v>0.798539076851029</v>
      </c>
      <c r="D767" s="23" t="n">
        <f aca="false">BETAINV(C767,Test1_Hand!$B$21,Test1_Hand!$B$22,Test1_Hand!$B$9,Test1_Hand!$B$11)</f>
        <v>4.61807814177146</v>
      </c>
      <c r="E767" s="2" t="n">
        <f aca="false">IF(B767&lt;Test1_Hand!$B$12,1,0)</f>
        <v>0</v>
      </c>
      <c r="F767" s="23" t="n">
        <f aca="false">Test1_Hand!$B$4+E767*D767</f>
        <v>16</v>
      </c>
      <c r="G767" s="24" t="n">
        <f aca="false">Test1_Hand!$B$6*E767*D767+Test1_Hand!$B$7*MAX(0,F767-Test1_Hand!$B$5)</f>
        <v>0</v>
      </c>
      <c r="H767" s="2" t="n">
        <f aca="false">IF(B767&lt;Test1_Hand!$B$13,1,0)</f>
        <v>0</v>
      </c>
      <c r="I767" s="23" t="n">
        <f aca="false">Test1_Hand!$B$4+H767*D767</f>
        <v>16</v>
      </c>
      <c r="J767" s="24" t="n">
        <f aca="false">Test1_Hand!$B$6*H767*D767+Test1_Hand!$B$7*MAX(0,I767-Test1_Hand!$B$5)+Test1_Hand!$B$14</f>
        <v>6000</v>
      </c>
    </row>
    <row r="768" customFormat="false" ht="15" hidden="false" customHeight="false" outlineLevel="0" collapsed="false">
      <c r="A768" s="2" t="n">
        <v>756</v>
      </c>
      <c r="B768" s="22" t="n">
        <v>0.239680492846949</v>
      </c>
      <c r="C768" s="22" t="n">
        <v>0.743653621176543</v>
      </c>
      <c r="D768" s="23" t="n">
        <f aca="false">BETAINV(C768,Test1_Hand!$B$21,Test1_Hand!$B$22,Test1_Hand!$B$9,Test1_Hand!$B$11)</f>
        <v>4.3450423853116</v>
      </c>
      <c r="E768" s="2" t="n">
        <f aca="false">IF(B768&lt;Test1_Hand!$B$12,1,0)</f>
        <v>1</v>
      </c>
      <c r="F768" s="23" t="n">
        <f aca="false">Test1_Hand!$B$4+E768*D768</f>
        <v>20.3450423853116</v>
      </c>
      <c r="G768" s="24" t="n">
        <f aca="false">Test1_Hand!$B$6*E768*D768+Test1_Hand!$B$7*MAX(0,F768-Test1_Hand!$B$5)</f>
        <v>36485.5510090508</v>
      </c>
      <c r="H768" s="2" t="n">
        <f aca="false">IF(B768&lt;Test1_Hand!$B$13,1,0)</f>
        <v>0</v>
      </c>
      <c r="I768" s="23" t="n">
        <f aca="false">Test1_Hand!$B$4+H768*D768</f>
        <v>16</v>
      </c>
      <c r="J768" s="24" t="n">
        <f aca="false">Test1_Hand!$B$6*H768*D768+Test1_Hand!$B$7*MAX(0,I768-Test1_Hand!$B$5)+Test1_Hand!$B$14</f>
        <v>6000</v>
      </c>
    </row>
    <row r="769" customFormat="false" ht="15" hidden="false" customHeight="false" outlineLevel="0" collapsed="false">
      <c r="A769" s="2" t="n">
        <v>757</v>
      </c>
      <c r="B769" s="22" t="n">
        <v>0.915990803500748</v>
      </c>
      <c r="C769" s="22" t="n">
        <v>0.330228656804817</v>
      </c>
      <c r="D769" s="23" t="n">
        <f aca="false">BETAINV(C769,Test1_Hand!$B$21,Test1_Hand!$B$22,Test1_Hand!$B$9,Test1_Hand!$B$11)</f>
        <v>2.7955990206321</v>
      </c>
      <c r="E769" s="2" t="n">
        <f aca="false">IF(B769&lt;Test1_Hand!$B$12,1,0)</f>
        <v>0</v>
      </c>
      <c r="F769" s="23" t="n">
        <f aca="false">Test1_Hand!$B$4+E769*D769</f>
        <v>16</v>
      </c>
      <c r="G769" s="24" t="n">
        <f aca="false">Test1_Hand!$B$6*E769*D769+Test1_Hand!$B$7*MAX(0,F769-Test1_Hand!$B$5)</f>
        <v>0</v>
      </c>
      <c r="H769" s="2" t="n">
        <f aca="false">IF(B769&lt;Test1_Hand!$B$13,1,0)</f>
        <v>0</v>
      </c>
      <c r="I769" s="23" t="n">
        <f aca="false">Test1_Hand!$B$4+H769*D769</f>
        <v>16</v>
      </c>
      <c r="J769" s="24" t="n">
        <f aca="false">Test1_Hand!$B$6*H769*D769+Test1_Hand!$B$7*MAX(0,I769-Test1_Hand!$B$5)+Test1_Hand!$B$14</f>
        <v>6000</v>
      </c>
    </row>
    <row r="770" customFormat="false" ht="15" hidden="false" customHeight="false" outlineLevel="0" collapsed="false">
      <c r="A770" s="2" t="n">
        <v>758</v>
      </c>
      <c r="B770" s="22" t="n">
        <v>0.261525642168427</v>
      </c>
      <c r="C770" s="22" t="n">
        <v>0.311108184096997</v>
      </c>
      <c r="D770" s="23" t="n">
        <f aca="false">BETAINV(C770,Test1_Hand!$B$21,Test1_Hand!$B$22,Test1_Hand!$B$9,Test1_Hand!$B$11)</f>
        <v>2.72916046674678</v>
      </c>
      <c r="E770" s="2" t="n">
        <f aca="false">IF(B770&lt;Test1_Hand!$B$12,1,0)</f>
        <v>1</v>
      </c>
      <c r="F770" s="23" t="n">
        <f aca="false">Test1_Hand!$B$4+E770*D770</f>
        <v>18.7291604667468</v>
      </c>
      <c r="G770" s="24" t="n">
        <f aca="false">Test1_Hand!$B$6*E770*D770+Test1_Hand!$B$7*MAX(0,F770-Test1_Hand!$B$5)</f>
        <v>21833.2837339743</v>
      </c>
      <c r="H770" s="2" t="n">
        <f aca="false">IF(B770&lt;Test1_Hand!$B$13,1,0)</f>
        <v>0</v>
      </c>
      <c r="I770" s="23" t="n">
        <f aca="false">Test1_Hand!$B$4+H770*D770</f>
        <v>16</v>
      </c>
      <c r="J770" s="24" t="n">
        <f aca="false">Test1_Hand!$B$6*H770*D770+Test1_Hand!$B$7*MAX(0,I770-Test1_Hand!$B$5)+Test1_Hand!$B$14</f>
        <v>6000</v>
      </c>
    </row>
    <row r="771" customFormat="false" ht="15" hidden="false" customHeight="false" outlineLevel="0" collapsed="false">
      <c r="A771" s="2" t="n">
        <v>759</v>
      </c>
      <c r="B771" s="22" t="n">
        <v>0.506441478544164</v>
      </c>
      <c r="C771" s="22" t="n">
        <v>0.886305528564947</v>
      </c>
      <c r="D771" s="23" t="n">
        <f aca="false">BETAINV(C771,Test1_Hand!$B$21,Test1_Hand!$B$22,Test1_Hand!$B$9,Test1_Hand!$B$11)</f>
        <v>5.16562260634361</v>
      </c>
      <c r="E771" s="2" t="n">
        <f aca="false">IF(B771&lt;Test1_Hand!$B$12,1,0)</f>
        <v>0</v>
      </c>
      <c r="F771" s="23" t="n">
        <f aca="false">Test1_Hand!$B$4+E771*D771</f>
        <v>16</v>
      </c>
      <c r="G771" s="24" t="n">
        <f aca="false">Test1_Hand!$B$6*E771*D771+Test1_Hand!$B$7*MAX(0,F771-Test1_Hand!$B$5)</f>
        <v>0</v>
      </c>
      <c r="H771" s="2" t="n">
        <f aca="false">IF(B771&lt;Test1_Hand!$B$13,1,0)</f>
        <v>0</v>
      </c>
      <c r="I771" s="23" t="n">
        <f aca="false">Test1_Hand!$B$4+H771*D771</f>
        <v>16</v>
      </c>
      <c r="J771" s="24" t="n">
        <f aca="false">Test1_Hand!$B$6*H771*D771+Test1_Hand!$B$7*MAX(0,I771-Test1_Hand!$B$5)+Test1_Hand!$B$14</f>
        <v>6000</v>
      </c>
    </row>
    <row r="772" customFormat="false" ht="15" hidden="false" customHeight="false" outlineLevel="0" collapsed="false">
      <c r="A772" s="2" t="n">
        <v>760</v>
      </c>
      <c r="B772" s="22" t="n">
        <v>0.333754601460548</v>
      </c>
      <c r="C772" s="22" t="n">
        <v>0.957026203309735</v>
      </c>
      <c r="D772" s="23" t="n">
        <f aca="false">BETAINV(C772,Test1_Hand!$B$21,Test1_Hand!$B$22,Test1_Hand!$B$9,Test1_Hand!$B$11)</f>
        <v>5.86863256766408</v>
      </c>
      <c r="E772" s="2" t="n">
        <f aca="false">IF(B772&lt;Test1_Hand!$B$12,1,0)</f>
        <v>1</v>
      </c>
      <c r="F772" s="23" t="n">
        <f aca="false">Test1_Hand!$B$4+E772*D772</f>
        <v>21.8686325676641</v>
      </c>
      <c r="G772" s="24" t="n">
        <f aca="false">Test1_Hand!$B$6*E772*D772+Test1_Hand!$B$7*MAX(0,F772-Test1_Hand!$B$5)</f>
        <v>56292.223379633</v>
      </c>
      <c r="H772" s="2" t="n">
        <f aca="false">IF(B772&lt;Test1_Hand!$B$13,1,0)</f>
        <v>0</v>
      </c>
      <c r="I772" s="23" t="n">
        <f aca="false">Test1_Hand!$B$4+H772*D772</f>
        <v>16</v>
      </c>
      <c r="J772" s="24" t="n">
        <f aca="false">Test1_Hand!$B$6*H772*D772+Test1_Hand!$B$7*MAX(0,I772-Test1_Hand!$B$5)+Test1_Hand!$B$14</f>
        <v>6000</v>
      </c>
    </row>
    <row r="773" customFormat="false" ht="15" hidden="false" customHeight="false" outlineLevel="0" collapsed="false">
      <c r="A773" s="2" t="n">
        <v>761</v>
      </c>
      <c r="B773" s="22" t="n">
        <v>0.775180538521019</v>
      </c>
      <c r="C773" s="22" t="n">
        <v>0.569433166191668</v>
      </c>
      <c r="D773" s="23" t="n">
        <f aca="false">BETAINV(C773,Test1_Hand!$B$21,Test1_Hand!$B$22,Test1_Hand!$B$9,Test1_Hand!$B$11)</f>
        <v>3.63273359974852</v>
      </c>
      <c r="E773" s="2" t="n">
        <f aca="false">IF(B773&lt;Test1_Hand!$B$12,1,0)</f>
        <v>0</v>
      </c>
      <c r="F773" s="23" t="n">
        <f aca="false">Test1_Hand!$B$4+E773*D773</f>
        <v>16</v>
      </c>
      <c r="G773" s="24" t="n">
        <f aca="false">Test1_Hand!$B$6*E773*D773+Test1_Hand!$B$7*MAX(0,F773-Test1_Hand!$B$5)</f>
        <v>0</v>
      </c>
      <c r="H773" s="2" t="n">
        <f aca="false">IF(B773&lt;Test1_Hand!$B$13,1,0)</f>
        <v>0</v>
      </c>
      <c r="I773" s="23" t="n">
        <f aca="false">Test1_Hand!$B$4+H773*D773</f>
        <v>16</v>
      </c>
      <c r="J773" s="24" t="n">
        <f aca="false">Test1_Hand!$B$6*H773*D773+Test1_Hand!$B$7*MAX(0,I773-Test1_Hand!$B$5)+Test1_Hand!$B$14</f>
        <v>6000</v>
      </c>
    </row>
    <row r="774" customFormat="false" ht="15" hidden="false" customHeight="false" outlineLevel="0" collapsed="false">
      <c r="A774" s="2" t="n">
        <v>762</v>
      </c>
      <c r="B774" s="22" t="n">
        <v>0.682346035720128</v>
      </c>
      <c r="C774" s="22" t="n">
        <v>0.964517790072727</v>
      </c>
      <c r="D774" s="23" t="n">
        <f aca="false">BETAINV(C774,Test1_Hand!$B$21,Test1_Hand!$B$22,Test1_Hand!$B$9,Test1_Hand!$B$11)</f>
        <v>5.98195136515325</v>
      </c>
      <c r="E774" s="2" t="n">
        <f aca="false">IF(B774&lt;Test1_Hand!$B$12,1,0)</f>
        <v>0</v>
      </c>
      <c r="F774" s="23" t="n">
        <f aca="false">Test1_Hand!$B$4+E774*D774</f>
        <v>16</v>
      </c>
      <c r="G774" s="24" t="n">
        <f aca="false">Test1_Hand!$B$6*E774*D774+Test1_Hand!$B$7*MAX(0,F774-Test1_Hand!$B$5)</f>
        <v>0</v>
      </c>
      <c r="H774" s="2" t="n">
        <f aca="false">IF(B774&lt;Test1_Hand!$B$13,1,0)</f>
        <v>0</v>
      </c>
      <c r="I774" s="23" t="n">
        <f aca="false">Test1_Hand!$B$4+H774*D774</f>
        <v>16</v>
      </c>
      <c r="J774" s="24" t="n">
        <f aca="false">Test1_Hand!$B$6*H774*D774+Test1_Hand!$B$7*MAX(0,I774-Test1_Hand!$B$5)+Test1_Hand!$B$14</f>
        <v>6000</v>
      </c>
    </row>
    <row r="775" customFormat="false" ht="15" hidden="false" customHeight="false" outlineLevel="0" collapsed="false">
      <c r="A775" s="2" t="n">
        <v>763</v>
      </c>
      <c r="B775" s="22" t="n">
        <v>0.128118968655793</v>
      </c>
      <c r="C775" s="22" t="n">
        <v>0.489050306773822</v>
      </c>
      <c r="D775" s="23" t="n">
        <f aca="false">BETAINV(C775,Test1_Hand!$B$21,Test1_Hand!$B$22,Test1_Hand!$B$9,Test1_Hand!$B$11)</f>
        <v>3.34405065676729</v>
      </c>
      <c r="E775" s="2" t="n">
        <f aca="false">IF(B775&lt;Test1_Hand!$B$12,1,0)</f>
        <v>1</v>
      </c>
      <c r="F775" s="23" t="n">
        <f aca="false">Test1_Hand!$B$4+E775*D775</f>
        <v>19.3440506567673</v>
      </c>
      <c r="G775" s="24" t="n">
        <f aca="false">Test1_Hand!$B$6*E775*D775+Test1_Hand!$B$7*MAX(0,F775-Test1_Hand!$B$5)</f>
        <v>26752.4052541383</v>
      </c>
      <c r="H775" s="2" t="n">
        <f aca="false">IF(B775&lt;Test1_Hand!$B$13,1,0)</f>
        <v>1</v>
      </c>
      <c r="I775" s="23" t="n">
        <f aca="false">Test1_Hand!$B$4+H775*D775</f>
        <v>19.3440506567673</v>
      </c>
      <c r="J775" s="24" t="n">
        <f aca="false">Test1_Hand!$B$6*H775*D775+Test1_Hand!$B$7*MAX(0,I775-Test1_Hand!$B$5)+Test1_Hand!$B$14</f>
        <v>32752.4052541383</v>
      </c>
    </row>
    <row r="776" customFormat="false" ht="15" hidden="false" customHeight="false" outlineLevel="0" collapsed="false">
      <c r="A776" s="2" t="n">
        <v>764</v>
      </c>
      <c r="B776" s="22" t="n">
        <v>0.323390862234645</v>
      </c>
      <c r="C776" s="22" t="n">
        <v>0.929209963645513</v>
      </c>
      <c r="D776" s="23" t="n">
        <f aca="false">BETAINV(C776,Test1_Hand!$B$21,Test1_Hand!$B$22,Test1_Hand!$B$9,Test1_Hand!$B$11)</f>
        <v>5.53749408472718</v>
      </c>
      <c r="E776" s="2" t="n">
        <f aca="false">IF(B776&lt;Test1_Hand!$B$12,1,0)</f>
        <v>1</v>
      </c>
      <c r="F776" s="23" t="n">
        <f aca="false">Test1_Hand!$B$4+E776*D776</f>
        <v>21.5374940847272</v>
      </c>
      <c r="G776" s="24" t="n">
        <f aca="false">Test1_Hand!$B$6*E776*D776+Test1_Hand!$B$7*MAX(0,F776-Test1_Hand!$B$5)</f>
        <v>51987.4231014533</v>
      </c>
      <c r="H776" s="2" t="n">
        <f aca="false">IF(B776&lt;Test1_Hand!$B$13,1,0)</f>
        <v>0</v>
      </c>
      <c r="I776" s="23" t="n">
        <f aca="false">Test1_Hand!$B$4+H776*D776</f>
        <v>16</v>
      </c>
      <c r="J776" s="24" t="n">
        <f aca="false">Test1_Hand!$B$6*H776*D776+Test1_Hand!$B$7*MAX(0,I776-Test1_Hand!$B$5)+Test1_Hand!$B$14</f>
        <v>6000</v>
      </c>
    </row>
    <row r="777" customFormat="false" ht="15" hidden="false" customHeight="false" outlineLevel="0" collapsed="false">
      <c r="A777" s="2" t="n">
        <v>765</v>
      </c>
      <c r="B777" s="22" t="n">
        <v>0.512930055874803</v>
      </c>
      <c r="C777" s="22" t="n">
        <v>0.339467866672647</v>
      </c>
      <c r="D777" s="23" t="n">
        <f aca="false">BETAINV(C777,Test1_Hand!$B$21,Test1_Hand!$B$22,Test1_Hand!$B$9,Test1_Hand!$B$11)</f>
        <v>2.82755650976655</v>
      </c>
      <c r="E777" s="2" t="n">
        <f aca="false">IF(B777&lt;Test1_Hand!$B$12,1,0)</f>
        <v>0</v>
      </c>
      <c r="F777" s="23" t="n">
        <f aca="false">Test1_Hand!$B$4+E777*D777</f>
        <v>16</v>
      </c>
      <c r="G777" s="24" t="n">
        <f aca="false">Test1_Hand!$B$6*E777*D777+Test1_Hand!$B$7*MAX(0,F777-Test1_Hand!$B$5)</f>
        <v>0</v>
      </c>
      <c r="H777" s="2" t="n">
        <f aca="false">IF(B777&lt;Test1_Hand!$B$13,1,0)</f>
        <v>0</v>
      </c>
      <c r="I777" s="23" t="n">
        <f aca="false">Test1_Hand!$B$4+H777*D777</f>
        <v>16</v>
      </c>
      <c r="J777" s="24" t="n">
        <f aca="false">Test1_Hand!$B$6*H777*D777+Test1_Hand!$B$7*MAX(0,I777-Test1_Hand!$B$5)+Test1_Hand!$B$14</f>
        <v>6000</v>
      </c>
    </row>
    <row r="778" customFormat="false" ht="15" hidden="false" customHeight="false" outlineLevel="0" collapsed="false">
      <c r="A778" s="2" t="n">
        <v>766</v>
      </c>
      <c r="B778" s="22" t="n">
        <v>0.104397129484592</v>
      </c>
      <c r="C778" s="22" t="n">
        <v>0.881184035212763</v>
      </c>
      <c r="D778" s="23" t="n">
        <f aca="false">BETAINV(C778,Test1_Hand!$B$21,Test1_Hand!$B$22,Test1_Hand!$B$9,Test1_Hand!$B$11)</f>
        <v>5.12766943537946</v>
      </c>
      <c r="E778" s="2" t="n">
        <f aca="false">IF(B778&lt;Test1_Hand!$B$12,1,0)</f>
        <v>1</v>
      </c>
      <c r="F778" s="23" t="n">
        <f aca="false">Test1_Hand!$B$4+E778*D778</f>
        <v>21.1276694353795</v>
      </c>
      <c r="G778" s="24" t="n">
        <f aca="false">Test1_Hand!$B$6*E778*D778+Test1_Hand!$B$7*MAX(0,F778-Test1_Hand!$B$5)</f>
        <v>46659.702659933</v>
      </c>
      <c r="H778" s="2" t="n">
        <f aca="false">IF(B778&lt;Test1_Hand!$B$13,1,0)</f>
        <v>1</v>
      </c>
      <c r="I778" s="23" t="n">
        <f aca="false">Test1_Hand!$B$4+H778*D778</f>
        <v>21.1276694353795</v>
      </c>
      <c r="J778" s="24" t="n">
        <f aca="false">Test1_Hand!$B$6*H778*D778+Test1_Hand!$B$7*MAX(0,I778-Test1_Hand!$B$5)+Test1_Hand!$B$14</f>
        <v>52659.702659933</v>
      </c>
    </row>
    <row r="779" customFormat="false" ht="15" hidden="false" customHeight="false" outlineLevel="0" collapsed="false">
      <c r="A779" s="2" t="n">
        <v>767</v>
      </c>
      <c r="B779" s="22" t="n">
        <v>0.12612572121137</v>
      </c>
      <c r="C779" s="22" t="n">
        <v>0.524921981286983</v>
      </c>
      <c r="D779" s="23" t="n">
        <f aca="false">BETAINV(C779,Test1_Hand!$B$21,Test1_Hand!$B$22,Test1_Hand!$B$9,Test1_Hand!$B$11)</f>
        <v>3.47111178762474</v>
      </c>
      <c r="E779" s="2" t="n">
        <f aca="false">IF(B779&lt;Test1_Hand!$B$12,1,0)</f>
        <v>1</v>
      </c>
      <c r="F779" s="23" t="n">
        <f aca="false">Test1_Hand!$B$4+E779*D779</f>
        <v>19.4711117876247</v>
      </c>
      <c r="G779" s="24" t="n">
        <f aca="false">Test1_Hand!$B$6*E779*D779+Test1_Hand!$B$7*MAX(0,F779-Test1_Hand!$B$5)</f>
        <v>27768.8943009979</v>
      </c>
      <c r="H779" s="2" t="n">
        <f aca="false">IF(B779&lt;Test1_Hand!$B$13,1,0)</f>
        <v>1</v>
      </c>
      <c r="I779" s="23" t="n">
        <f aca="false">Test1_Hand!$B$4+H779*D779</f>
        <v>19.4711117876247</v>
      </c>
      <c r="J779" s="24" t="n">
        <f aca="false">Test1_Hand!$B$6*H779*D779+Test1_Hand!$B$7*MAX(0,I779-Test1_Hand!$B$5)+Test1_Hand!$B$14</f>
        <v>33768.8943009979</v>
      </c>
    </row>
    <row r="780" customFormat="false" ht="15" hidden="false" customHeight="false" outlineLevel="0" collapsed="false">
      <c r="A780" s="2" t="n">
        <v>768</v>
      </c>
      <c r="B780" s="22" t="n">
        <v>0.822182395170077</v>
      </c>
      <c r="C780" s="22" t="n">
        <v>0.669257062260485</v>
      </c>
      <c r="D780" s="23" t="n">
        <f aca="false">BETAINV(C780,Test1_Hand!$B$21,Test1_Hand!$B$22,Test1_Hand!$B$9,Test1_Hand!$B$11)</f>
        <v>4.02006414613949</v>
      </c>
      <c r="E780" s="2" t="n">
        <f aca="false">IF(B780&lt;Test1_Hand!$B$12,1,0)</f>
        <v>0</v>
      </c>
      <c r="F780" s="23" t="n">
        <f aca="false">Test1_Hand!$B$4+E780*D780</f>
        <v>16</v>
      </c>
      <c r="G780" s="24" t="n">
        <f aca="false">Test1_Hand!$B$6*E780*D780+Test1_Hand!$B$7*MAX(0,F780-Test1_Hand!$B$5)</f>
        <v>0</v>
      </c>
      <c r="H780" s="2" t="n">
        <f aca="false">IF(B780&lt;Test1_Hand!$B$13,1,0)</f>
        <v>0</v>
      </c>
      <c r="I780" s="23" t="n">
        <f aca="false">Test1_Hand!$B$4+H780*D780</f>
        <v>16</v>
      </c>
      <c r="J780" s="24" t="n">
        <f aca="false">Test1_Hand!$B$6*H780*D780+Test1_Hand!$B$7*MAX(0,I780-Test1_Hand!$B$5)+Test1_Hand!$B$14</f>
        <v>6000</v>
      </c>
    </row>
    <row r="781" customFormat="false" ht="15" hidden="false" customHeight="false" outlineLevel="0" collapsed="false">
      <c r="A781" s="2" t="n">
        <v>769</v>
      </c>
      <c r="B781" s="22" t="n">
        <v>0.832188469234077</v>
      </c>
      <c r="C781" s="22" t="n">
        <v>0.585245618044727</v>
      </c>
      <c r="D781" s="23" t="n">
        <f aca="false">BETAINV(C781,Test1_Hand!$B$21,Test1_Hand!$B$22,Test1_Hand!$B$9,Test1_Hand!$B$11)</f>
        <v>3.69149026494754</v>
      </c>
      <c r="E781" s="2" t="n">
        <f aca="false">IF(B781&lt;Test1_Hand!$B$12,1,0)</f>
        <v>0</v>
      </c>
      <c r="F781" s="23" t="n">
        <f aca="false">Test1_Hand!$B$4+E781*D781</f>
        <v>16</v>
      </c>
      <c r="G781" s="24" t="n">
        <f aca="false">Test1_Hand!$B$6*E781*D781+Test1_Hand!$B$7*MAX(0,F781-Test1_Hand!$B$5)</f>
        <v>0</v>
      </c>
      <c r="H781" s="2" t="n">
        <f aca="false">IF(B781&lt;Test1_Hand!$B$13,1,0)</f>
        <v>0</v>
      </c>
      <c r="I781" s="23" t="n">
        <f aca="false">Test1_Hand!$B$4+H781*D781</f>
        <v>16</v>
      </c>
      <c r="J781" s="24" t="n">
        <f aca="false">Test1_Hand!$B$6*H781*D781+Test1_Hand!$B$7*MAX(0,I781-Test1_Hand!$B$5)+Test1_Hand!$B$14</f>
        <v>6000</v>
      </c>
    </row>
    <row r="782" customFormat="false" ht="15" hidden="false" customHeight="false" outlineLevel="0" collapsed="false">
      <c r="A782" s="2" t="n">
        <v>770</v>
      </c>
      <c r="B782" s="22" t="n">
        <v>0.743125844775305</v>
      </c>
      <c r="C782" s="22" t="n">
        <v>0.58046386321455</v>
      </c>
      <c r="D782" s="23" t="n">
        <f aca="false">BETAINV(C782,Test1_Hand!$B$21,Test1_Hand!$B$22,Test1_Hand!$B$9,Test1_Hand!$B$11)</f>
        <v>3.67363789287338</v>
      </c>
      <c r="E782" s="2" t="n">
        <f aca="false">IF(B782&lt;Test1_Hand!$B$12,1,0)</f>
        <v>0</v>
      </c>
      <c r="F782" s="23" t="n">
        <f aca="false">Test1_Hand!$B$4+E782*D782</f>
        <v>16</v>
      </c>
      <c r="G782" s="24" t="n">
        <f aca="false">Test1_Hand!$B$6*E782*D782+Test1_Hand!$B$7*MAX(0,F782-Test1_Hand!$B$5)</f>
        <v>0</v>
      </c>
      <c r="H782" s="2" t="n">
        <f aca="false">IF(B782&lt;Test1_Hand!$B$13,1,0)</f>
        <v>0</v>
      </c>
      <c r="I782" s="23" t="n">
        <f aca="false">Test1_Hand!$B$4+H782*D782</f>
        <v>16</v>
      </c>
      <c r="J782" s="24" t="n">
        <f aca="false">Test1_Hand!$B$6*H782*D782+Test1_Hand!$B$7*MAX(0,I782-Test1_Hand!$B$5)+Test1_Hand!$B$14</f>
        <v>6000</v>
      </c>
    </row>
    <row r="783" customFormat="false" ht="15" hidden="false" customHeight="false" outlineLevel="0" collapsed="false">
      <c r="A783" s="2" t="n">
        <v>771</v>
      </c>
      <c r="B783" s="22" t="n">
        <v>0.470168088632759</v>
      </c>
      <c r="C783" s="22" t="n">
        <v>0.785862775744491</v>
      </c>
      <c r="D783" s="23" t="n">
        <f aca="false">BETAINV(C783,Test1_Hand!$B$21,Test1_Hand!$B$22,Test1_Hand!$B$9,Test1_Hand!$B$11)</f>
        <v>4.55168764091295</v>
      </c>
      <c r="E783" s="2" t="n">
        <f aca="false">IF(B783&lt;Test1_Hand!$B$12,1,0)</f>
        <v>1</v>
      </c>
      <c r="F783" s="23" t="n">
        <f aca="false">Test1_Hand!$B$4+E783*D783</f>
        <v>20.551687640913</v>
      </c>
      <c r="G783" s="24" t="n">
        <f aca="false">Test1_Hand!$B$6*E783*D783+Test1_Hand!$B$7*MAX(0,F783-Test1_Hand!$B$5)</f>
        <v>39171.9393318684</v>
      </c>
      <c r="H783" s="2" t="n">
        <f aca="false">IF(B783&lt;Test1_Hand!$B$13,1,0)</f>
        <v>0</v>
      </c>
      <c r="I783" s="23" t="n">
        <f aca="false">Test1_Hand!$B$4+H783*D783</f>
        <v>16</v>
      </c>
      <c r="J783" s="24" t="n">
        <f aca="false">Test1_Hand!$B$6*H783*D783+Test1_Hand!$B$7*MAX(0,I783-Test1_Hand!$B$5)+Test1_Hand!$B$14</f>
        <v>6000</v>
      </c>
    </row>
    <row r="784" customFormat="false" ht="15" hidden="false" customHeight="false" outlineLevel="0" collapsed="false">
      <c r="A784" s="2" t="n">
        <v>772</v>
      </c>
      <c r="B784" s="22" t="n">
        <v>0.321932586787518</v>
      </c>
      <c r="C784" s="22" t="n">
        <v>0.17772214716602</v>
      </c>
      <c r="D784" s="23" t="n">
        <f aca="false">BETAINV(C784,Test1_Hand!$B$21,Test1_Hand!$B$22,Test1_Hand!$B$9,Test1_Hand!$B$11)</f>
        <v>2.24007705638672</v>
      </c>
      <c r="E784" s="2" t="n">
        <f aca="false">IF(B784&lt;Test1_Hand!$B$12,1,0)</f>
        <v>1</v>
      </c>
      <c r="F784" s="23" t="n">
        <f aca="false">Test1_Hand!$B$4+E784*D784</f>
        <v>18.2400770563867</v>
      </c>
      <c r="G784" s="24" t="n">
        <f aca="false">Test1_Hand!$B$6*E784*D784+Test1_Hand!$B$7*MAX(0,F784-Test1_Hand!$B$5)</f>
        <v>17920.6164510938</v>
      </c>
      <c r="H784" s="2" t="n">
        <f aca="false">IF(B784&lt;Test1_Hand!$B$13,1,0)</f>
        <v>0</v>
      </c>
      <c r="I784" s="23" t="n">
        <f aca="false">Test1_Hand!$B$4+H784*D784</f>
        <v>16</v>
      </c>
      <c r="J784" s="24" t="n">
        <f aca="false">Test1_Hand!$B$6*H784*D784+Test1_Hand!$B$7*MAX(0,I784-Test1_Hand!$B$5)+Test1_Hand!$B$14</f>
        <v>6000</v>
      </c>
    </row>
    <row r="785" customFormat="false" ht="15" hidden="false" customHeight="false" outlineLevel="0" collapsed="false">
      <c r="A785" s="2" t="n">
        <v>773</v>
      </c>
      <c r="B785" s="22" t="n">
        <v>0.116539681288886</v>
      </c>
      <c r="C785" s="22" t="n">
        <v>0.0930474137829017</v>
      </c>
      <c r="D785" s="23" t="n">
        <f aca="false">BETAINV(C785,Test1_Hand!$B$21,Test1_Hand!$B$22,Test1_Hand!$B$9,Test1_Hand!$B$11)</f>
        <v>1.87031819276918</v>
      </c>
      <c r="E785" s="2" t="n">
        <f aca="false">IF(B785&lt;Test1_Hand!$B$12,1,0)</f>
        <v>1</v>
      </c>
      <c r="F785" s="23" t="n">
        <f aca="false">Test1_Hand!$B$4+E785*D785</f>
        <v>17.8703181927692</v>
      </c>
      <c r="G785" s="24" t="n">
        <f aca="false">Test1_Hand!$B$6*E785*D785+Test1_Hand!$B$7*MAX(0,F785-Test1_Hand!$B$5)</f>
        <v>14962.5455421534</v>
      </c>
      <c r="H785" s="2" t="n">
        <f aca="false">IF(B785&lt;Test1_Hand!$B$13,1,0)</f>
        <v>1</v>
      </c>
      <c r="I785" s="23" t="n">
        <f aca="false">Test1_Hand!$B$4+H785*D785</f>
        <v>17.8703181927692</v>
      </c>
      <c r="J785" s="24" t="n">
        <f aca="false">Test1_Hand!$B$6*H785*D785+Test1_Hand!$B$7*MAX(0,I785-Test1_Hand!$B$5)+Test1_Hand!$B$14</f>
        <v>20962.5455421534</v>
      </c>
    </row>
    <row r="786" customFormat="false" ht="15" hidden="false" customHeight="false" outlineLevel="0" collapsed="false">
      <c r="A786" s="2" t="n">
        <v>774</v>
      </c>
      <c r="B786" s="22" t="n">
        <v>0.702715833511149</v>
      </c>
      <c r="C786" s="22" t="n">
        <v>0.268247883346594</v>
      </c>
      <c r="D786" s="23" t="n">
        <f aca="false">BETAINV(C786,Test1_Hand!$B$21,Test1_Hand!$B$22,Test1_Hand!$B$9,Test1_Hand!$B$11)</f>
        <v>2.57806280878792</v>
      </c>
      <c r="E786" s="2" t="n">
        <f aca="false">IF(B786&lt;Test1_Hand!$B$12,1,0)</f>
        <v>0</v>
      </c>
      <c r="F786" s="23" t="n">
        <f aca="false">Test1_Hand!$B$4+E786*D786</f>
        <v>16</v>
      </c>
      <c r="G786" s="24" t="n">
        <f aca="false">Test1_Hand!$B$6*E786*D786+Test1_Hand!$B$7*MAX(0,F786-Test1_Hand!$B$5)</f>
        <v>0</v>
      </c>
      <c r="H786" s="2" t="n">
        <f aca="false">IF(B786&lt;Test1_Hand!$B$13,1,0)</f>
        <v>0</v>
      </c>
      <c r="I786" s="23" t="n">
        <f aca="false">Test1_Hand!$B$4+H786*D786</f>
        <v>16</v>
      </c>
      <c r="J786" s="24" t="n">
        <f aca="false">Test1_Hand!$B$6*H786*D786+Test1_Hand!$B$7*MAX(0,I786-Test1_Hand!$B$5)+Test1_Hand!$B$14</f>
        <v>6000</v>
      </c>
    </row>
    <row r="787" customFormat="false" ht="15" hidden="false" customHeight="false" outlineLevel="0" collapsed="false">
      <c r="A787" s="2" t="n">
        <v>775</v>
      </c>
      <c r="B787" s="22" t="n">
        <v>0.911679571646689</v>
      </c>
      <c r="C787" s="22" t="n">
        <v>0.152989926226242</v>
      </c>
      <c r="D787" s="23" t="n">
        <f aca="false">BETAINV(C787,Test1_Hand!$B$21,Test1_Hand!$B$22,Test1_Hand!$B$9,Test1_Hand!$B$11)</f>
        <v>2.13996395397039</v>
      </c>
      <c r="E787" s="2" t="n">
        <f aca="false">IF(B787&lt;Test1_Hand!$B$12,1,0)</f>
        <v>0</v>
      </c>
      <c r="F787" s="23" t="n">
        <f aca="false">Test1_Hand!$B$4+E787*D787</f>
        <v>16</v>
      </c>
      <c r="G787" s="24" t="n">
        <f aca="false">Test1_Hand!$B$6*E787*D787+Test1_Hand!$B$7*MAX(0,F787-Test1_Hand!$B$5)</f>
        <v>0</v>
      </c>
      <c r="H787" s="2" t="n">
        <f aca="false">IF(B787&lt;Test1_Hand!$B$13,1,0)</f>
        <v>0</v>
      </c>
      <c r="I787" s="23" t="n">
        <f aca="false">Test1_Hand!$B$4+H787*D787</f>
        <v>16</v>
      </c>
      <c r="J787" s="24" t="n">
        <f aca="false">Test1_Hand!$B$6*H787*D787+Test1_Hand!$B$7*MAX(0,I787-Test1_Hand!$B$5)+Test1_Hand!$B$14</f>
        <v>6000</v>
      </c>
    </row>
    <row r="788" customFormat="false" ht="15" hidden="false" customHeight="false" outlineLevel="0" collapsed="false">
      <c r="A788" s="2" t="n">
        <v>776</v>
      </c>
      <c r="B788" s="22" t="n">
        <v>0.505219241976072</v>
      </c>
      <c r="C788" s="22" t="n">
        <v>0.801575532115836</v>
      </c>
      <c r="D788" s="23" t="n">
        <f aca="false">BETAINV(C788,Test1_Hand!$B$21,Test1_Hand!$B$22,Test1_Hand!$B$9,Test1_Hand!$B$11)</f>
        <v>4.63432958991528</v>
      </c>
      <c r="E788" s="2" t="n">
        <f aca="false">IF(B788&lt;Test1_Hand!$B$12,1,0)</f>
        <v>0</v>
      </c>
      <c r="F788" s="23" t="n">
        <f aca="false">Test1_Hand!$B$4+E788*D788</f>
        <v>16</v>
      </c>
      <c r="G788" s="24" t="n">
        <f aca="false">Test1_Hand!$B$6*E788*D788+Test1_Hand!$B$7*MAX(0,F788-Test1_Hand!$B$5)</f>
        <v>0</v>
      </c>
      <c r="H788" s="2" t="n">
        <f aca="false">IF(B788&lt;Test1_Hand!$B$13,1,0)</f>
        <v>0</v>
      </c>
      <c r="I788" s="23" t="n">
        <f aca="false">Test1_Hand!$B$4+H788*D788</f>
        <v>16</v>
      </c>
      <c r="J788" s="24" t="n">
        <f aca="false">Test1_Hand!$B$6*H788*D788+Test1_Hand!$B$7*MAX(0,I788-Test1_Hand!$B$5)+Test1_Hand!$B$14</f>
        <v>6000</v>
      </c>
    </row>
    <row r="789" customFormat="false" ht="15" hidden="false" customHeight="false" outlineLevel="0" collapsed="false">
      <c r="A789" s="2" t="n">
        <v>777</v>
      </c>
      <c r="B789" s="22" t="n">
        <v>0.711052717776666</v>
      </c>
      <c r="C789" s="22" t="n">
        <v>0.0227463020726295</v>
      </c>
      <c r="D789" s="23" t="n">
        <f aca="false">BETAINV(C789,Test1_Hand!$B$21,Test1_Hand!$B$22,Test1_Hand!$B$9,Test1_Hand!$B$11)</f>
        <v>1.42435849560875</v>
      </c>
      <c r="E789" s="2" t="n">
        <f aca="false">IF(B789&lt;Test1_Hand!$B$12,1,0)</f>
        <v>0</v>
      </c>
      <c r="F789" s="23" t="n">
        <f aca="false">Test1_Hand!$B$4+E789*D789</f>
        <v>16</v>
      </c>
      <c r="G789" s="24" t="n">
        <f aca="false">Test1_Hand!$B$6*E789*D789+Test1_Hand!$B$7*MAX(0,F789-Test1_Hand!$B$5)</f>
        <v>0</v>
      </c>
      <c r="H789" s="2" t="n">
        <f aca="false">IF(B789&lt;Test1_Hand!$B$13,1,0)</f>
        <v>0</v>
      </c>
      <c r="I789" s="23" t="n">
        <f aca="false">Test1_Hand!$B$4+H789*D789</f>
        <v>16</v>
      </c>
      <c r="J789" s="24" t="n">
        <f aca="false">Test1_Hand!$B$6*H789*D789+Test1_Hand!$B$7*MAX(0,I789-Test1_Hand!$B$5)+Test1_Hand!$B$14</f>
        <v>6000</v>
      </c>
    </row>
    <row r="790" customFormat="false" ht="15" hidden="false" customHeight="false" outlineLevel="0" collapsed="false">
      <c r="A790" s="2" t="n">
        <v>778</v>
      </c>
      <c r="B790" s="22" t="n">
        <v>0.757714036323581</v>
      </c>
      <c r="C790" s="22" t="n">
        <v>0.953417400539028</v>
      </c>
      <c r="D790" s="23" t="n">
        <f aca="false">BETAINV(C790,Test1_Hand!$B$21,Test1_Hand!$B$22,Test1_Hand!$B$9,Test1_Hand!$B$11)</f>
        <v>5.81878554177848</v>
      </c>
      <c r="E790" s="2" t="n">
        <f aca="false">IF(B790&lt;Test1_Hand!$B$12,1,0)</f>
        <v>0</v>
      </c>
      <c r="F790" s="23" t="n">
        <f aca="false">Test1_Hand!$B$4+E790*D790</f>
        <v>16</v>
      </c>
      <c r="G790" s="24" t="n">
        <f aca="false">Test1_Hand!$B$6*E790*D790+Test1_Hand!$B$7*MAX(0,F790-Test1_Hand!$B$5)</f>
        <v>0</v>
      </c>
      <c r="H790" s="2" t="n">
        <f aca="false">IF(B790&lt;Test1_Hand!$B$13,1,0)</f>
        <v>0</v>
      </c>
      <c r="I790" s="23" t="n">
        <f aca="false">Test1_Hand!$B$4+H790*D790</f>
        <v>16</v>
      </c>
      <c r="J790" s="24" t="n">
        <f aca="false">Test1_Hand!$B$6*H790*D790+Test1_Hand!$B$7*MAX(0,I790-Test1_Hand!$B$5)+Test1_Hand!$B$14</f>
        <v>6000</v>
      </c>
    </row>
    <row r="791" customFormat="false" ht="15" hidden="false" customHeight="false" outlineLevel="0" collapsed="false">
      <c r="A791" s="2" t="n">
        <v>779</v>
      </c>
      <c r="B791" s="22" t="n">
        <v>0.231498313807312</v>
      </c>
      <c r="C791" s="22" t="n">
        <v>0.831672185133371</v>
      </c>
      <c r="D791" s="23" t="n">
        <f aca="false">BETAINV(C791,Test1_Hand!$B$21,Test1_Hand!$B$22,Test1_Hand!$B$9,Test1_Hand!$B$11)</f>
        <v>4.80381915164923</v>
      </c>
      <c r="E791" s="2" t="n">
        <f aca="false">IF(B791&lt;Test1_Hand!$B$12,1,0)</f>
        <v>1</v>
      </c>
      <c r="F791" s="23" t="n">
        <f aca="false">Test1_Hand!$B$4+E791*D791</f>
        <v>20.8038191516492</v>
      </c>
      <c r="G791" s="24" t="n">
        <f aca="false">Test1_Hand!$B$6*E791*D791+Test1_Hand!$B$7*MAX(0,F791-Test1_Hand!$B$5)</f>
        <v>42449.64897144</v>
      </c>
      <c r="H791" s="2" t="n">
        <f aca="false">IF(B791&lt;Test1_Hand!$B$13,1,0)</f>
        <v>0</v>
      </c>
      <c r="I791" s="23" t="n">
        <f aca="false">Test1_Hand!$B$4+H791*D791</f>
        <v>16</v>
      </c>
      <c r="J791" s="24" t="n">
        <f aca="false">Test1_Hand!$B$6*H791*D791+Test1_Hand!$B$7*MAX(0,I791-Test1_Hand!$B$5)+Test1_Hand!$B$14</f>
        <v>6000</v>
      </c>
    </row>
    <row r="792" customFormat="false" ht="15" hidden="false" customHeight="false" outlineLevel="0" collapsed="false">
      <c r="A792" s="2" t="n">
        <v>780</v>
      </c>
      <c r="B792" s="22" t="n">
        <v>0.569727443863899</v>
      </c>
      <c r="C792" s="22" t="n">
        <v>0.231464284753797</v>
      </c>
      <c r="D792" s="23" t="n">
        <f aca="false">BETAINV(C792,Test1_Hand!$B$21,Test1_Hand!$B$22,Test1_Hand!$B$9,Test1_Hand!$B$11)</f>
        <v>2.44474604602422</v>
      </c>
      <c r="E792" s="2" t="n">
        <f aca="false">IF(B792&lt;Test1_Hand!$B$12,1,0)</f>
        <v>0</v>
      </c>
      <c r="F792" s="23" t="n">
        <f aca="false">Test1_Hand!$B$4+E792*D792</f>
        <v>16</v>
      </c>
      <c r="G792" s="24" t="n">
        <f aca="false">Test1_Hand!$B$6*E792*D792+Test1_Hand!$B$7*MAX(0,F792-Test1_Hand!$B$5)</f>
        <v>0</v>
      </c>
      <c r="H792" s="2" t="n">
        <f aca="false">IF(B792&lt;Test1_Hand!$B$13,1,0)</f>
        <v>0</v>
      </c>
      <c r="I792" s="23" t="n">
        <f aca="false">Test1_Hand!$B$4+H792*D792</f>
        <v>16</v>
      </c>
      <c r="J792" s="24" t="n">
        <f aca="false">Test1_Hand!$B$6*H792*D792+Test1_Hand!$B$7*MAX(0,I792-Test1_Hand!$B$5)+Test1_Hand!$B$14</f>
        <v>6000</v>
      </c>
    </row>
    <row r="793" customFormat="false" ht="15" hidden="false" customHeight="false" outlineLevel="0" collapsed="false">
      <c r="A793" s="2" t="n">
        <v>781</v>
      </c>
      <c r="B793" s="22" t="n">
        <v>0.978200428106324</v>
      </c>
      <c r="C793" s="22" t="n">
        <v>0.916082319867181</v>
      </c>
      <c r="D793" s="23" t="n">
        <f aca="false">BETAINV(C793,Test1_Hand!$B$21,Test1_Hand!$B$22,Test1_Hand!$B$9,Test1_Hand!$B$11)</f>
        <v>5.4111427240134</v>
      </c>
      <c r="E793" s="2" t="n">
        <f aca="false">IF(B793&lt;Test1_Hand!$B$12,1,0)</f>
        <v>0</v>
      </c>
      <c r="F793" s="23" t="n">
        <f aca="false">Test1_Hand!$B$4+E793*D793</f>
        <v>16</v>
      </c>
      <c r="G793" s="24" t="n">
        <f aca="false">Test1_Hand!$B$6*E793*D793+Test1_Hand!$B$7*MAX(0,F793-Test1_Hand!$B$5)</f>
        <v>0</v>
      </c>
      <c r="H793" s="2" t="n">
        <f aca="false">IF(B793&lt;Test1_Hand!$B$13,1,0)</f>
        <v>0</v>
      </c>
      <c r="I793" s="23" t="n">
        <f aca="false">Test1_Hand!$B$4+H793*D793</f>
        <v>16</v>
      </c>
      <c r="J793" s="24" t="n">
        <f aca="false">Test1_Hand!$B$6*H793*D793+Test1_Hand!$B$7*MAX(0,I793-Test1_Hand!$B$5)+Test1_Hand!$B$14</f>
        <v>6000</v>
      </c>
    </row>
    <row r="794" customFormat="false" ht="15" hidden="false" customHeight="false" outlineLevel="0" collapsed="false">
      <c r="A794" s="2" t="n">
        <v>782</v>
      </c>
      <c r="B794" s="22" t="n">
        <v>0.797745079111799</v>
      </c>
      <c r="C794" s="22" t="n">
        <v>0.00222441515994942</v>
      </c>
      <c r="D794" s="23" t="n">
        <f aca="false">BETAINV(C794,Test1_Hand!$B$21,Test1_Hand!$B$22,Test1_Hand!$B$9,Test1_Hand!$B$11)</f>
        <v>1.13805092778984</v>
      </c>
      <c r="E794" s="2" t="n">
        <f aca="false">IF(B794&lt;Test1_Hand!$B$12,1,0)</f>
        <v>0</v>
      </c>
      <c r="F794" s="23" t="n">
        <f aca="false">Test1_Hand!$B$4+E794*D794</f>
        <v>16</v>
      </c>
      <c r="G794" s="24" t="n">
        <f aca="false">Test1_Hand!$B$6*E794*D794+Test1_Hand!$B$7*MAX(0,F794-Test1_Hand!$B$5)</f>
        <v>0</v>
      </c>
      <c r="H794" s="2" t="n">
        <f aca="false">IF(B794&lt;Test1_Hand!$B$13,1,0)</f>
        <v>0</v>
      </c>
      <c r="I794" s="23" t="n">
        <f aca="false">Test1_Hand!$B$4+H794*D794</f>
        <v>16</v>
      </c>
      <c r="J794" s="24" t="n">
        <f aca="false">Test1_Hand!$B$6*H794*D794+Test1_Hand!$B$7*MAX(0,I794-Test1_Hand!$B$5)+Test1_Hand!$B$14</f>
        <v>6000</v>
      </c>
    </row>
    <row r="795" customFormat="false" ht="15" hidden="false" customHeight="false" outlineLevel="0" collapsed="false">
      <c r="A795" s="2" t="n">
        <v>783</v>
      </c>
      <c r="B795" s="22" t="n">
        <v>0.66604155185921</v>
      </c>
      <c r="C795" s="22" t="n">
        <v>0.445730757873774</v>
      </c>
      <c r="D795" s="23" t="n">
        <f aca="false">BETAINV(C795,Test1_Hand!$B$21,Test1_Hand!$B$22,Test1_Hand!$B$9,Test1_Hand!$B$11)</f>
        <v>3.19321201789095</v>
      </c>
      <c r="E795" s="2" t="n">
        <f aca="false">IF(B795&lt;Test1_Hand!$B$12,1,0)</f>
        <v>0</v>
      </c>
      <c r="F795" s="23" t="n">
        <f aca="false">Test1_Hand!$B$4+E795*D795</f>
        <v>16</v>
      </c>
      <c r="G795" s="24" t="n">
        <f aca="false">Test1_Hand!$B$6*E795*D795+Test1_Hand!$B$7*MAX(0,F795-Test1_Hand!$B$5)</f>
        <v>0</v>
      </c>
      <c r="H795" s="2" t="n">
        <f aca="false">IF(B795&lt;Test1_Hand!$B$13,1,0)</f>
        <v>0</v>
      </c>
      <c r="I795" s="23" t="n">
        <f aca="false">Test1_Hand!$B$4+H795*D795</f>
        <v>16</v>
      </c>
      <c r="J795" s="24" t="n">
        <f aca="false">Test1_Hand!$B$6*H795*D795+Test1_Hand!$B$7*MAX(0,I795-Test1_Hand!$B$5)+Test1_Hand!$B$14</f>
        <v>6000</v>
      </c>
    </row>
    <row r="796" customFormat="false" ht="15" hidden="false" customHeight="false" outlineLevel="0" collapsed="false">
      <c r="A796" s="2" t="n">
        <v>784</v>
      </c>
      <c r="B796" s="22" t="n">
        <v>0.265766898120517</v>
      </c>
      <c r="C796" s="22" t="n">
        <v>0.852165393328096</v>
      </c>
      <c r="D796" s="23" t="n">
        <f aca="false">BETAINV(C796,Test1_Hand!$B$21,Test1_Hand!$B$22,Test1_Hand!$B$9,Test1_Hand!$B$11)</f>
        <v>4.92972345021147</v>
      </c>
      <c r="E796" s="2" t="n">
        <f aca="false">IF(B796&lt;Test1_Hand!$B$12,1,0)</f>
        <v>1</v>
      </c>
      <c r="F796" s="23" t="n">
        <f aca="false">Test1_Hand!$B$4+E796*D796</f>
        <v>20.9297234502115</v>
      </c>
      <c r="G796" s="24" t="n">
        <f aca="false">Test1_Hand!$B$6*E796*D796+Test1_Hand!$B$7*MAX(0,F796-Test1_Hand!$B$5)</f>
        <v>44086.4048527491</v>
      </c>
      <c r="H796" s="2" t="n">
        <f aca="false">IF(B796&lt;Test1_Hand!$B$13,1,0)</f>
        <v>0</v>
      </c>
      <c r="I796" s="23" t="n">
        <f aca="false">Test1_Hand!$B$4+H796*D796</f>
        <v>16</v>
      </c>
      <c r="J796" s="24" t="n">
        <f aca="false">Test1_Hand!$B$6*H796*D796+Test1_Hand!$B$7*MAX(0,I796-Test1_Hand!$B$5)+Test1_Hand!$B$14</f>
        <v>6000</v>
      </c>
    </row>
    <row r="797" customFormat="false" ht="15" hidden="false" customHeight="false" outlineLevel="0" collapsed="false">
      <c r="A797" s="2" t="n">
        <v>785</v>
      </c>
      <c r="B797" s="22" t="n">
        <v>0.169286657519841</v>
      </c>
      <c r="C797" s="22" t="n">
        <v>0.123491915722625</v>
      </c>
      <c r="D797" s="23" t="n">
        <f aca="false">BETAINV(C797,Test1_Hand!$B$21,Test1_Hand!$B$22,Test1_Hand!$B$9,Test1_Hand!$B$11)</f>
        <v>2.01324708699404</v>
      </c>
      <c r="E797" s="2" t="n">
        <f aca="false">IF(B797&lt;Test1_Hand!$B$12,1,0)</f>
        <v>1</v>
      </c>
      <c r="F797" s="23" t="n">
        <f aca="false">Test1_Hand!$B$4+E797*D797</f>
        <v>18.013247086994</v>
      </c>
      <c r="G797" s="24" t="n">
        <f aca="false">Test1_Hand!$B$6*E797*D797+Test1_Hand!$B$7*MAX(0,F797-Test1_Hand!$B$5)</f>
        <v>16105.9766959523</v>
      </c>
      <c r="H797" s="2" t="n">
        <f aca="false">IF(B797&lt;Test1_Hand!$B$13,1,0)</f>
        <v>1</v>
      </c>
      <c r="I797" s="23" t="n">
        <f aca="false">Test1_Hand!$B$4+H797*D797</f>
        <v>18.013247086994</v>
      </c>
      <c r="J797" s="24" t="n">
        <f aca="false">Test1_Hand!$B$6*H797*D797+Test1_Hand!$B$7*MAX(0,I797-Test1_Hand!$B$5)+Test1_Hand!$B$14</f>
        <v>22105.9766959523</v>
      </c>
    </row>
    <row r="798" customFormat="false" ht="15" hidden="false" customHeight="false" outlineLevel="0" collapsed="false">
      <c r="A798" s="2" t="n">
        <v>786</v>
      </c>
      <c r="B798" s="22" t="n">
        <v>0.602292353811017</v>
      </c>
      <c r="C798" s="22" t="n">
        <v>0.633372349868936</v>
      </c>
      <c r="D798" s="23" t="n">
        <f aca="false">BETAINV(C798,Test1_Hand!$B$21,Test1_Hand!$B$22,Test1_Hand!$B$9,Test1_Hand!$B$11)</f>
        <v>3.87585604854282</v>
      </c>
      <c r="E798" s="2" t="n">
        <f aca="false">IF(B798&lt;Test1_Hand!$B$12,1,0)</f>
        <v>0</v>
      </c>
      <c r="F798" s="23" t="n">
        <f aca="false">Test1_Hand!$B$4+E798*D798</f>
        <v>16</v>
      </c>
      <c r="G798" s="24" t="n">
        <f aca="false">Test1_Hand!$B$6*E798*D798+Test1_Hand!$B$7*MAX(0,F798-Test1_Hand!$B$5)</f>
        <v>0</v>
      </c>
      <c r="H798" s="2" t="n">
        <f aca="false">IF(B798&lt;Test1_Hand!$B$13,1,0)</f>
        <v>0</v>
      </c>
      <c r="I798" s="23" t="n">
        <f aca="false">Test1_Hand!$B$4+H798*D798</f>
        <v>16</v>
      </c>
      <c r="J798" s="24" t="n">
        <f aca="false">Test1_Hand!$B$6*H798*D798+Test1_Hand!$B$7*MAX(0,I798-Test1_Hand!$B$5)+Test1_Hand!$B$14</f>
        <v>6000</v>
      </c>
    </row>
    <row r="799" customFormat="false" ht="15" hidden="false" customHeight="false" outlineLevel="0" collapsed="false">
      <c r="A799" s="2" t="n">
        <v>787</v>
      </c>
      <c r="B799" s="22" t="n">
        <v>0.780086997483376</v>
      </c>
      <c r="C799" s="22" t="n">
        <v>0.291257815927698</v>
      </c>
      <c r="D799" s="23" t="n">
        <f aca="false">BETAINV(C799,Test1_Hand!$B$21,Test1_Hand!$B$22,Test1_Hand!$B$9,Test1_Hand!$B$11)</f>
        <v>2.65962306362878</v>
      </c>
      <c r="E799" s="2" t="n">
        <f aca="false">IF(B799&lt;Test1_Hand!$B$12,1,0)</f>
        <v>0</v>
      </c>
      <c r="F799" s="23" t="n">
        <f aca="false">Test1_Hand!$B$4+E799*D799</f>
        <v>16</v>
      </c>
      <c r="G799" s="24" t="n">
        <f aca="false">Test1_Hand!$B$6*E799*D799+Test1_Hand!$B$7*MAX(0,F799-Test1_Hand!$B$5)</f>
        <v>0</v>
      </c>
      <c r="H799" s="2" t="n">
        <f aca="false">IF(B799&lt;Test1_Hand!$B$13,1,0)</f>
        <v>0</v>
      </c>
      <c r="I799" s="23" t="n">
        <f aca="false">Test1_Hand!$B$4+H799*D799</f>
        <v>16</v>
      </c>
      <c r="J799" s="24" t="n">
        <f aca="false">Test1_Hand!$B$6*H799*D799+Test1_Hand!$B$7*MAX(0,I799-Test1_Hand!$B$5)+Test1_Hand!$B$14</f>
        <v>6000</v>
      </c>
    </row>
    <row r="800" customFormat="false" ht="15" hidden="false" customHeight="false" outlineLevel="0" collapsed="false">
      <c r="A800" s="2" t="n">
        <v>788</v>
      </c>
      <c r="B800" s="22" t="n">
        <v>0.66093759288102</v>
      </c>
      <c r="C800" s="22" t="n">
        <v>0.733190099784054</v>
      </c>
      <c r="D800" s="23" t="n">
        <f aca="false">BETAINV(C800,Test1_Hand!$B$21,Test1_Hand!$B$22,Test1_Hand!$B$9,Test1_Hand!$B$11)</f>
        <v>4.29669623693736</v>
      </c>
      <c r="E800" s="2" t="n">
        <f aca="false">IF(B800&lt;Test1_Hand!$B$12,1,0)</f>
        <v>0</v>
      </c>
      <c r="F800" s="23" t="n">
        <f aca="false">Test1_Hand!$B$4+E800*D800</f>
        <v>16</v>
      </c>
      <c r="G800" s="24" t="n">
        <f aca="false">Test1_Hand!$B$6*E800*D800+Test1_Hand!$B$7*MAX(0,F800-Test1_Hand!$B$5)</f>
        <v>0</v>
      </c>
      <c r="H800" s="2" t="n">
        <f aca="false">IF(B800&lt;Test1_Hand!$B$13,1,0)</f>
        <v>0</v>
      </c>
      <c r="I800" s="23" t="n">
        <f aca="false">Test1_Hand!$B$4+H800*D800</f>
        <v>16</v>
      </c>
      <c r="J800" s="24" t="n">
        <f aca="false">Test1_Hand!$B$6*H800*D800+Test1_Hand!$B$7*MAX(0,I800-Test1_Hand!$B$5)+Test1_Hand!$B$14</f>
        <v>6000</v>
      </c>
    </row>
    <row r="801" customFormat="false" ht="15" hidden="false" customHeight="false" outlineLevel="0" collapsed="false">
      <c r="A801" s="2" t="n">
        <v>789</v>
      </c>
      <c r="B801" s="22" t="n">
        <v>0.964909240623458</v>
      </c>
      <c r="C801" s="22" t="n">
        <v>0.993015649772398</v>
      </c>
      <c r="D801" s="23" t="n">
        <f aca="false">BETAINV(C801,Test1_Hand!$B$21,Test1_Hand!$B$22,Test1_Hand!$B$9,Test1_Hand!$B$11)</f>
        <v>6.71542041790804</v>
      </c>
      <c r="E801" s="2" t="n">
        <f aca="false">IF(B801&lt;Test1_Hand!$B$12,1,0)</f>
        <v>0</v>
      </c>
      <c r="F801" s="23" t="n">
        <f aca="false">Test1_Hand!$B$4+E801*D801</f>
        <v>16</v>
      </c>
      <c r="G801" s="24" t="n">
        <f aca="false">Test1_Hand!$B$6*E801*D801+Test1_Hand!$B$7*MAX(0,F801-Test1_Hand!$B$5)</f>
        <v>0</v>
      </c>
      <c r="H801" s="2" t="n">
        <f aca="false">IF(B801&lt;Test1_Hand!$B$13,1,0)</f>
        <v>0</v>
      </c>
      <c r="I801" s="23" t="n">
        <f aca="false">Test1_Hand!$B$4+H801*D801</f>
        <v>16</v>
      </c>
      <c r="J801" s="24" t="n">
        <f aca="false">Test1_Hand!$B$6*H801*D801+Test1_Hand!$B$7*MAX(0,I801-Test1_Hand!$B$5)+Test1_Hand!$B$14</f>
        <v>6000</v>
      </c>
    </row>
    <row r="802" customFormat="false" ht="15" hidden="false" customHeight="false" outlineLevel="0" collapsed="false">
      <c r="A802" s="2" t="n">
        <v>790</v>
      </c>
      <c r="B802" s="22" t="n">
        <v>0.754924408065863</v>
      </c>
      <c r="C802" s="22" t="n">
        <v>0.289758965129995</v>
      </c>
      <c r="D802" s="23" t="n">
        <f aca="false">BETAINV(C802,Test1_Hand!$B$21,Test1_Hand!$B$22,Test1_Hand!$B$9,Test1_Hand!$B$11)</f>
        <v>2.65434433812368</v>
      </c>
      <c r="E802" s="2" t="n">
        <f aca="false">IF(B802&lt;Test1_Hand!$B$12,1,0)</f>
        <v>0</v>
      </c>
      <c r="F802" s="23" t="n">
        <f aca="false">Test1_Hand!$B$4+E802*D802</f>
        <v>16</v>
      </c>
      <c r="G802" s="24" t="n">
        <f aca="false">Test1_Hand!$B$6*E802*D802+Test1_Hand!$B$7*MAX(0,F802-Test1_Hand!$B$5)</f>
        <v>0</v>
      </c>
      <c r="H802" s="2" t="n">
        <f aca="false">IF(B802&lt;Test1_Hand!$B$13,1,0)</f>
        <v>0</v>
      </c>
      <c r="I802" s="23" t="n">
        <f aca="false">Test1_Hand!$B$4+H802*D802</f>
        <v>16</v>
      </c>
      <c r="J802" s="24" t="n">
        <f aca="false">Test1_Hand!$B$6*H802*D802+Test1_Hand!$B$7*MAX(0,I802-Test1_Hand!$B$5)+Test1_Hand!$B$14</f>
        <v>6000</v>
      </c>
    </row>
    <row r="803" customFormat="false" ht="15" hidden="false" customHeight="false" outlineLevel="0" collapsed="false">
      <c r="A803" s="2" t="n">
        <v>791</v>
      </c>
      <c r="B803" s="22" t="n">
        <v>0.440671685874538</v>
      </c>
      <c r="C803" s="22" t="n">
        <v>0.261161046842969</v>
      </c>
      <c r="D803" s="23" t="n">
        <f aca="false">BETAINV(C803,Test1_Hand!$B$21,Test1_Hand!$B$22,Test1_Hand!$B$9,Test1_Hand!$B$11)</f>
        <v>2.55269034490218</v>
      </c>
      <c r="E803" s="2" t="n">
        <f aca="false">IF(B803&lt;Test1_Hand!$B$12,1,0)</f>
        <v>1</v>
      </c>
      <c r="F803" s="23" t="n">
        <f aca="false">Test1_Hand!$B$4+E803*D803</f>
        <v>18.5526903449022</v>
      </c>
      <c r="G803" s="24" t="n">
        <f aca="false">Test1_Hand!$B$6*E803*D803+Test1_Hand!$B$7*MAX(0,F803-Test1_Hand!$B$5)</f>
        <v>20421.5227592174</v>
      </c>
      <c r="H803" s="2" t="n">
        <f aca="false">IF(B803&lt;Test1_Hand!$B$13,1,0)</f>
        <v>0</v>
      </c>
      <c r="I803" s="23" t="n">
        <f aca="false">Test1_Hand!$B$4+H803*D803</f>
        <v>16</v>
      </c>
      <c r="J803" s="24" t="n">
        <f aca="false">Test1_Hand!$B$6*H803*D803+Test1_Hand!$B$7*MAX(0,I803-Test1_Hand!$B$5)+Test1_Hand!$B$14</f>
        <v>6000</v>
      </c>
    </row>
    <row r="804" customFormat="false" ht="15" hidden="false" customHeight="false" outlineLevel="0" collapsed="false">
      <c r="A804" s="2" t="n">
        <v>792</v>
      </c>
      <c r="B804" s="22" t="n">
        <v>0.379257995951727</v>
      </c>
      <c r="C804" s="22" t="n">
        <v>0.156475702328004</v>
      </c>
      <c r="D804" s="23" t="n">
        <f aca="false">BETAINV(C804,Test1_Hand!$B$21,Test1_Hand!$B$22,Test1_Hand!$B$9,Test1_Hand!$B$11)</f>
        <v>2.15436827275656</v>
      </c>
      <c r="E804" s="2" t="n">
        <f aca="false">IF(B804&lt;Test1_Hand!$B$12,1,0)</f>
        <v>1</v>
      </c>
      <c r="F804" s="23" t="n">
        <f aca="false">Test1_Hand!$B$4+E804*D804</f>
        <v>18.1543682727566</v>
      </c>
      <c r="G804" s="24" t="n">
        <f aca="false">Test1_Hand!$B$6*E804*D804+Test1_Hand!$B$7*MAX(0,F804-Test1_Hand!$B$5)</f>
        <v>17234.9461820525</v>
      </c>
      <c r="H804" s="2" t="n">
        <f aca="false">IF(B804&lt;Test1_Hand!$B$13,1,0)</f>
        <v>0</v>
      </c>
      <c r="I804" s="23" t="n">
        <f aca="false">Test1_Hand!$B$4+H804*D804</f>
        <v>16</v>
      </c>
      <c r="J804" s="24" t="n">
        <f aca="false">Test1_Hand!$B$6*H804*D804+Test1_Hand!$B$7*MAX(0,I804-Test1_Hand!$B$5)+Test1_Hand!$B$14</f>
        <v>6000</v>
      </c>
    </row>
    <row r="805" customFormat="false" ht="15" hidden="false" customHeight="false" outlineLevel="0" collapsed="false">
      <c r="A805" s="2" t="n">
        <v>793</v>
      </c>
      <c r="B805" s="22" t="n">
        <v>0.701225233948309</v>
      </c>
      <c r="C805" s="22" t="n">
        <v>0.156562542142462</v>
      </c>
      <c r="D805" s="23" t="n">
        <f aca="false">BETAINV(C805,Test1_Hand!$B$21,Test1_Hand!$B$22,Test1_Hand!$B$9,Test1_Hand!$B$11)</f>
        <v>2.15472578596527</v>
      </c>
      <c r="E805" s="2" t="n">
        <f aca="false">IF(B805&lt;Test1_Hand!$B$12,1,0)</f>
        <v>0</v>
      </c>
      <c r="F805" s="23" t="n">
        <f aca="false">Test1_Hand!$B$4+E805*D805</f>
        <v>16</v>
      </c>
      <c r="G805" s="24" t="n">
        <f aca="false">Test1_Hand!$B$6*E805*D805+Test1_Hand!$B$7*MAX(0,F805-Test1_Hand!$B$5)</f>
        <v>0</v>
      </c>
      <c r="H805" s="2" t="n">
        <f aca="false">IF(B805&lt;Test1_Hand!$B$13,1,0)</f>
        <v>0</v>
      </c>
      <c r="I805" s="23" t="n">
        <f aca="false">Test1_Hand!$B$4+H805*D805</f>
        <v>16</v>
      </c>
      <c r="J805" s="24" t="n">
        <f aca="false">Test1_Hand!$B$6*H805*D805+Test1_Hand!$B$7*MAX(0,I805-Test1_Hand!$B$5)+Test1_Hand!$B$14</f>
        <v>6000</v>
      </c>
    </row>
    <row r="806" customFormat="false" ht="15" hidden="false" customHeight="false" outlineLevel="0" collapsed="false">
      <c r="A806" s="2" t="n">
        <v>794</v>
      </c>
      <c r="B806" s="22" t="n">
        <v>0.779547341897466</v>
      </c>
      <c r="C806" s="22" t="n">
        <v>0.413578473226414</v>
      </c>
      <c r="D806" s="23" t="n">
        <f aca="false">BETAINV(C806,Test1_Hand!$B$21,Test1_Hand!$B$22,Test1_Hand!$B$9,Test1_Hand!$B$11)</f>
        <v>3.08239184439095</v>
      </c>
      <c r="E806" s="2" t="n">
        <f aca="false">IF(B806&lt;Test1_Hand!$B$12,1,0)</f>
        <v>0</v>
      </c>
      <c r="F806" s="23" t="n">
        <f aca="false">Test1_Hand!$B$4+E806*D806</f>
        <v>16</v>
      </c>
      <c r="G806" s="24" t="n">
        <f aca="false">Test1_Hand!$B$6*E806*D806+Test1_Hand!$B$7*MAX(0,F806-Test1_Hand!$B$5)</f>
        <v>0</v>
      </c>
      <c r="H806" s="2" t="n">
        <f aca="false">IF(B806&lt;Test1_Hand!$B$13,1,0)</f>
        <v>0</v>
      </c>
      <c r="I806" s="23" t="n">
        <f aca="false">Test1_Hand!$B$4+H806*D806</f>
        <v>16</v>
      </c>
      <c r="J806" s="24" t="n">
        <f aca="false">Test1_Hand!$B$6*H806*D806+Test1_Hand!$B$7*MAX(0,I806-Test1_Hand!$B$5)+Test1_Hand!$B$14</f>
        <v>6000</v>
      </c>
    </row>
    <row r="807" customFormat="false" ht="15" hidden="false" customHeight="false" outlineLevel="0" collapsed="false">
      <c r="A807" s="2" t="n">
        <v>795</v>
      </c>
      <c r="B807" s="22" t="n">
        <v>0.445938428010887</v>
      </c>
      <c r="C807" s="22" t="n">
        <v>0.959269167678844</v>
      </c>
      <c r="D807" s="23" t="n">
        <f aca="false">BETAINV(C807,Test1_Hand!$B$21,Test1_Hand!$B$22,Test1_Hand!$B$9,Test1_Hand!$B$11)</f>
        <v>5.90105258098329</v>
      </c>
      <c r="E807" s="2" t="n">
        <f aca="false">IF(B807&lt;Test1_Hand!$B$12,1,0)</f>
        <v>1</v>
      </c>
      <c r="F807" s="23" t="n">
        <f aca="false">Test1_Hand!$B$4+E807*D807</f>
        <v>21.9010525809833</v>
      </c>
      <c r="G807" s="24" t="n">
        <f aca="false">Test1_Hand!$B$6*E807*D807+Test1_Hand!$B$7*MAX(0,F807-Test1_Hand!$B$5)</f>
        <v>56713.6835527827</v>
      </c>
      <c r="H807" s="2" t="n">
        <f aca="false">IF(B807&lt;Test1_Hand!$B$13,1,0)</f>
        <v>0</v>
      </c>
      <c r="I807" s="23" t="n">
        <f aca="false">Test1_Hand!$B$4+H807*D807</f>
        <v>16</v>
      </c>
      <c r="J807" s="24" t="n">
        <f aca="false">Test1_Hand!$B$6*H807*D807+Test1_Hand!$B$7*MAX(0,I807-Test1_Hand!$B$5)+Test1_Hand!$B$14</f>
        <v>6000</v>
      </c>
    </row>
    <row r="808" customFormat="false" ht="15" hidden="false" customHeight="false" outlineLevel="0" collapsed="false">
      <c r="A808" s="2" t="n">
        <v>796</v>
      </c>
      <c r="B808" s="22" t="n">
        <v>0.701847505761017</v>
      </c>
      <c r="C808" s="22" t="n">
        <v>0.0473268822195947</v>
      </c>
      <c r="D808" s="23" t="n">
        <f aca="false">BETAINV(C808,Test1_Hand!$B$21,Test1_Hand!$B$22,Test1_Hand!$B$9,Test1_Hand!$B$11)</f>
        <v>1.61275130901649</v>
      </c>
      <c r="E808" s="2" t="n">
        <f aca="false">IF(B808&lt;Test1_Hand!$B$12,1,0)</f>
        <v>0</v>
      </c>
      <c r="F808" s="23" t="n">
        <f aca="false">Test1_Hand!$B$4+E808*D808</f>
        <v>16</v>
      </c>
      <c r="G808" s="24" t="n">
        <f aca="false">Test1_Hand!$B$6*E808*D808+Test1_Hand!$B$7*MAX(0,F808-Test1_Hand!$B$5)</f>
        <v>0</v>
      </c>
      <c r="H808" s="2" t="n">
        <f aca="false">IF(B808&lt;Test1_Hand!$B$13,1,0)</f>
        <v>0</v>
      </c>
      <c r="I808" s="23" t="n">
        <f aca="false">Test1_Hand!$B$4+H808*D808</f>
        <v>16</v>
      </c>
      <c r="J808" s="24" t="n">
        <f aca="false">Test1_Hand!$B$6*H808*D808+Test1_Hand!$B$7*MAX(0,I808-Test1_Hand!$B$5)+Test1_Hand!$B$14</f>
        <v>6000</v>
      </c>
    </row>
    <row r="809" customFormat="false" ht="15" hidden="false" customHeight="false" outlineLevel="0" collapsed="false">
      <c r="A809" s="2" t="n">
        <v>797</v>
      </c>
      <c r="B809" s="22" t="n">
        <v>0.829975659438344</v>
      </c>
      <c r="C809" s="22" t="n">
        <v>0.592068047025641</v>
      </c>
      <c r="D809" s="23" t="n">
        <f aca="false">BETAINV(C809,Test1_Hand!$B$21,Test1_Hand!$B$22,Test1_Hand!$B$9,Test1_Hand!$B$11)</f>
        <v>3.7170941359095</v>
      </c>
      <c r="E809" s="2" t="n">
        <f aca="false">IF(B809&lt;Test1_Hand!$B$12,1,0)</f>
        <v>0</v>
      </c>
      <c r="F809" s="23" t="n">
        <f aca="false">Test1_Hand!$B$4+E809*D809</f>
        <v>16</v>
      </c>
      <c r="G809" s="24" t="n">
        <f aca="false">Test1_Hand!$B$6*E809*D809+Test1_Hand!$B$7*MAX(0,F809-Test1_Hand!$B$5)</f>
        <v>0</v>
      </c>
      <c r="H809" s="2" t="n">
        <f aca="false">IF(B809&lt;Test1_Hand!$B$13,1,0)</f>
        <v>0</v>
      </c>
      <c r="I809" s="23" t="n">
        <f aca="false">Test1_Hand!$B$4+H809*D809</f>
        <v>16</v>
      </c>
      <c r="J809" s="24" t="n">
        <f aca="false">Test1_Hand!$B$6*H809*D809+Test1_Hand!$B$7*MAX(0,I809-Test1_Hand!$B$5)+Test1_Hand!$B$14</f>
        <v>6000</v>
      </c>
    </row>
    <row r="810" customFormat="false" ht="15" hidden="false" customHeight="false" outlineLevel="0" collapsed="false">
      <c r="A810" s="2" t="n">
        <v>798</v>
      </c>
      <c r="B810" s="22" t="n">
        <v>0.795338580311771</v>
      </c>
      <c r="C810" s="22" t="n">
        <v>0.517757330758065</v>
      </c>
      <c r="D810" s="23" t="n">
        <f aca="false">BETAINV(C810,Test1_Hand!$B$21,Test1_Hand!$B$22,Test1_Hand!$B$9,Test1_Hand!$B$11)</f>
        <v>3.44553751328834</v>
      </c>
      <c r="E810" s="2" t="n">
        <f aca="false">IF(B810&lt;Test1_Hand!$B$12,1,0)</f>
        <v>0</v>
      </c>
      <c r="F810" s="23" t="n">
        <f aca="false">Test1_Hand!$B$4+E810*D810</f>
        <v>16</v>
      </c>
      <c r="G810" s="24" t="n">
        <f aca="false">Test1_Hand!$B$6*E810*D810+Test1_Hand!$B$7*MAX(0,F810-Test1_Hand!$B$5)</f>
        <v>0</v>
      </c>
      <c r="H810" s="2" t="n">
        <f aca="false">IF(B810&lt;Test1_Hand!$B$13,1,0)</f>
        <v>0</v>
      </c>
      <c r="I810" s="23" t="n">
        <f aca="false">Test1_Hand!$B$4+H810*D810</f>
        <v>16</v>
      </c>
      <c r="J810" s="24" t="n">
        <f aca="false">Test1_Hand!$B$6*H810*D810+Test1_Hand!$B$7*MAX(0,I810-Test1_Hand!$B$5)+Test1_Hand!$B$14</f>
        <v>6000</v>
      </c>
    </row>
    <row r="811" customFormat="false" ht="15" hidden="false" customHeight="false" outlineLevel="0" collapsed="false">
      <c r="A811" s="2" t="n">
        <v>799</v>
      </c>
      <c r="B811" s="22" t="n">
        <v>0.553153461398582</v>
      </c>
      <c r="C811" s="22" t="n">
        <v>0.771037851493655</v>
      </c>
      <c r="D811" s="23" t="n">
        <f aca="false">BETAINV(C811,Test1_Hand!$B$21,Test1_Hand!$B$22,Test1_Hand!$B$9,Test1_Hand!$B$11)</f>
        <v>4.47677075090999</v>
      </c>
      <c r="E811" s="2" t="n">
        <f aca="false">IF(B811&lt;Test1_Hand!$B$12,1,0)</f>
        <v>0</v>
      </c>
      <c r="F811" s="23" t="n">
        <f aca="false">Test1_Hand!$B$4+E811*D811</f>
        <v>16</v>
      </c>
      <c r="G811" s="24" t="n">
        <f aca="false">Test1_Hand!$B$6*E811*D811+Test1_Hand!$B$7*MAX(0,F811-Test1_Hand!$B$5)</f>
        <v>0</v>
      </c>
      <c r="H811" s="2" t="n">
        <f aca="false">IF(B811&lt;Test1_Hand!$B$13,1,0)</f>
        <v>0</v>
      </c>
      <c r="I811" s="23" t="n">
        <f aca="false">Test1_Hand!$B$4+H811*D811</f>
        <v>16</v>
      </c>
      <c r="J811" s="24" t="n">
        <f aca="false">Test1_Hand!$B$6*H811*D811+Test1_Hand!$B$7*MAX(0,I811-Test1_Hand!$B$5)+Test1_Hand!$B$14</f>
        <v>6000</v>
      </c>
    </row>
    <row r="812" customFormat="false" ht="15" hidden="false" customHeight="false" outlineLevel="0" collapsed="false">
      <c r="A812" s="2" t="n">
        <v>800</v>
      </c>
      <c r="B812" s="22" t="n">
        <v>0.603472641672203</v>
      </c>
      <c r="C812" s="22" t="n">
        <v>0.137566628993241</v>
      </c>
      <c r="D812" s="23" t="n">
        <f aca="false">BETAINV(C812,Test1_Hand!$B$21,Test1_Hand!$B$22,Test1_Hand!$B$9,Test1_Hand!$B$11)</f>
        <v>2.07487207247417</v>
      </c>
      <c r="E812" s="2" t="n">
        <f aca="false">IF(B812&lt;Test1_Hand!$B$12,1,0)</f>
        <v>0</v>
      </c>
      <c r="F812" s="23" t="n">
        <f aca="false">Test1_Hand!$B$4+E812*D812</f>
        <v>16</v>
      </c>
      <c r="G812" s="24" t="n">
        <f aca="false">Test1_Hand!$B$6*E812*D812+Test1_Hand!$B$7*MAX(0,F812-Test1_Hand!$B$5)</f>
        <v>0</v>
      </c>
      <c r="H812" s="2" t="n">
        <f aca="false">IF(B812&lt;Test1_Hand!$B$13,1,0)</f>
        <v>0</v>
      </c>
      <c r="I812" s="23" t="n">
        <f aca="false">Test1_Hand!$B$4+H812*D812</f>
        <v>16</v>
      </c>
      <c r="J812" s="24" t="n">
        <f aca="false">Test1_Hand!$B$6*H812*D812+Test1_Hand!$B$7*MAX(0,I812-Test1_Hand!$B$5)+Test1_Hand!$B$14</f>
        <v>6000</v>
      </c>
    </row>
    <row r="813" customFormat="false" ht="15" hidden="false" customHeight="false" outlineLevel="0" collapsed="false">
      <c r="A813" s="2" t="n">
        <v>801</v>
      </c>
      <c r="B813" s="22" t="n">
        <v>0.784501106119655</v>
      </c>
      <c r="C813" s="22" t="n">
        <v>0.325740251911147</v>
      </c>
      <c r="D813" s="23" t="n">
        <f aca="false">BETAINV(C813,Test1_Hand!$B$21,Test1_Hand!$B$22,Test1_Hand!$B$9,Test1_Hand!$B$11)</f>
        <v>2.78004269945306</v>
      </c>
      <c r="E813" s="2" t="n">
        <f aca="false">IF(B813&lt;Test1_Hand!$B$12,1,0)</f>
        <v>0</v>
      </c>
      <c r="F813" s="23" t="n">
        <f aca="false">Test1_Hand!$B$4+E813*D813</f>
        <v>16</v>
      </c>
      <c r="G813" s="24" t="n">
        <f aca="false">Test1_Hand!$B$6*E813*D813+Test1_Hand!$B$7*MAX(0,F813-Test1_Hand!$B$5)</f>
        <v>0</v>
      </c>
      <c r="H813" s="2" t="n">
        <f aca="false">IF(B813&lt;Test1_Hand!$B$13,1,0)</f>
        <v>0</v>
      </c>
      <c r="I813" s="23" t="n">
        <f aca="false">Test1_Hand!$B$4+H813*D813</f>
        <v>16</v>
      </c>
      <c r="J813" s="24" t="n">
        <f aca="false">Test1_Hand!$B$6*H813*D813+Test1_Hand!$B$7*MAX(0,I813-Test1_Hand!$B$5)+Test1_Hand!$B$14</f>
        <v>6000</v>
      </c>
    </row>
    <row r="814" customFormat="false" ht="15" hidden="false" customHeight="false" outlineLevel="0" collapsed="false">
      <c r="A814" s="2" t="n">
        <v>802</v>
      </c>
      <c r="B814" s="22" t="n">
        <v>0.205976313187346</v>
      </c>
      <c r="C814" s="22" t="n">
        <v>0.563852108138695</v>
      </c>
      <c r="D814" s="23" t="n">
        <f aca="false">BETAINV(C814,Test1_Hand!$B$21,Test1_Hand!$B$22,Test1_Hand!$B$9,Test1_Hand!$B$11)</f>
        <v>3.6121785955907</v>
      </c>
      <c r="E814" s="2" t="n">
        <f aca="false">IF(B814&lt;Test1_Hand!$B$12,1,0)</f>
        <v>1</v>
      </c>
      <c r="F814" s="23" t="n">
        <f aca="false">Test1_Hand!$B$4+E814*D814</f>
        <v>19.6121785955907</v>
      </c>
      <c r="G814" s="24" t="n">
        <f aca="false">Test1_Hand!$B$6*E814*D814+Test1_Hand!$B$7*MAX(0,F814-Test1_Hand!$B$5)</f>
        <v>28897.4287647256</v>
      </c>
      <c r="H814" s="2" t="n">
        <f aca="false">IF(B814&lt;Test1_Hand!$B$13,1,0)</f>
        <v>0</v>
      </c>
      <c r="I814" s="23" t="n">
        <f aca="false">Test1_Hand!$B$4+H814*D814</f>
        <v>16</v>
      </c>
      <c r="J814" s="24" t="n">
        <f aca="false">Test1_Hand!$B$6*H814*D814+Test1_Hand!$B$7*MAX(0,I814-Test1_Hand!$B$5)+Test1_Hand!$B$14</f>
        <v>6000</v>
      </c>
    </row>
    <row r="815" customFormat="false" ht="15" hidden="false" customHeight="false" outlineLevel="0" collapsed="false">
      <c r="A815" s="2" t="n">
        <v>803</v>
      </c>
      <c r="B815" s="22" t="n">
        <v>0.301384134315943</v>
      </c>
      <c r="C815" s="22" t="n">
        <v>0.811303544283122</v>
      </c>
      <c r="D815" s="23" t="n">
        <f aca="false">BETAINV(C815,Test1_Hand!$B$21,Test1_Hand!$B$22,Test1_Hand!$B$9,Test1_Hand!$B$11)</f>
        <v>4.68737409924184</v>
      </c>
      <c r="E815" s="2" t="n">
        <f aca="false">IF(B815&lt;Test1_Hand!$B$12,1,0)</f>
        <v>1</v>
      </c>
      <c r="F815" s="23" t="n">
        <f aca="false">Test1_Hand!$B$4+E815*D815</f>
        <v>20.6873740992418</v>
      </c>
      <c r="G815" s="24" t="n">
        <f aca="false">Test1_Hand!$B$6*E815*D815+Test1_Hand!$B$7*MAX(0,F815-Test1_Hand!$B$5)</f>
        <v>40935.8632901439</v>
      </c>
      <c r="H815" s="2" t="n">
        <f aca="false">IF(B815&lt;Test1_Hand!$B$13,1,0)</f>
        <v>0</v>
      </c>
      <c r="I815" s="23" t="n">
        <f aca="false">Test1_Hand!$B$4+H815*D815</f>
        <v>16</v>
      </c>
      <c r="J815" s="24" t="n">
        <f aca="false">Test1_Hand!$B$6*H815*D815+Test1_Hand!$B$7*MAX(0,I815-Test1_Hand!$B$5)+Test1_Hand!$B$14</f>
        <v>6000</v>
      </c>
    </row>
    <row r="816" customFormat="false" ht="15" hidden="false" customHeight="false" outlineLevel="0" collapsed="false">
      <c r="A816" s="2" t="n">
        <v>804</v>
      </c>
      <c r="B816" s="22" t="n">
        <v>0.780405563939088</v>
      </c>
      <c r="C816" s="22" t="n">
        <v>0.961859707254272</v>
      </c>
      <c r="D816" s="23" t="n">
        <f aca="false">BETAINV(C816,Test1_Hand!$B$21,Test1_Hand!$B$22,Test1_Hand!$B$9,Test1_Hand!$B$11)</f>
        <v>5.94003636324406</v>
      </c>
      <c r="E816" s="2" t="n">
        <f aca="false">IF(B816&lt;Test1_Hand!$B$12,1,0)</f>
        <v>0</v>
      </c>
      <c r="F816" s="23" t="n">
        <f aca="false">Test1_Hand!$B$4+E816*D816</f>
        <v>16</v>
      </c>
      <c r="G816" s="24" t="n">
        <f aca="false">Test1_Hand!$B$6*E816*D816+Test1_Hand!$B$7*MAX(0,F816-Test1_Hand!$B$5)</f>
        <v>0</v>
      </c>
      <c r="H816" s="2" t="n">
        <f aca="false">IF(B816&lt;Test1_Hand!$B$13,1,0)</f>
        <v>0</v>
      </c>
      <c r="I816" s="23" t="n">
        <f aca="false">Test1_Hand!$B$4+H816*D816</f>
        <v>16</v>
      </c>
      <c r="J816" s="24" t="n">
        <f aca="false">Test1_Hand!$B$6*H816*D816+Test1_Hand!$B$7*MAX(0,I816-Test1_Hand!$B$5)+Test1_Hand!$B$14</f>
        <v>6000</v>
      </c>
    </row>
    <row r="817" customFormat="false" ht="15" hidden="false" customHeight="false" outlineLevel="0" collapsed="false">
      <c r="A817" s="2" t="n">
        <v>805</v>
      </c>
      <c r="B817" s="22" t="n">
        <v>0.0928589337660528</v>
      </c>
      <c r="C817" s="22" t="n">
        <v>0.720043070473095</v>
      </c>
      <c r="D817" s="23" t="n">
        <f aca="false">BETAINV(C817,Test1_Hand!$B$21,Test1_Hand!$B$22,Test1_Hand!$B$9,Test1_Hand!$B$11)</f>
        <v>4.23732205984542</v>
      </c>
      <c r="E817" s="2" t="n">
        <f aca="false">IF(B817&lt;Test1_Hand!$B$12,1,0)</f>
        <v>1</v>
      </c>
      <c r="F817" s="23" t="n">
        <f aca="false">Test1_Hand!$B$4+E817*D817</f>
        <v>20.2373220598454</v>
      </c>
      <c r="G817" s="24" t="n">
        <f aca="false">Test1_Hand!$B$6*E817*D817+Test1_Hand!$B$7*MAX(0,F817-Test1_Hand!$B$5)</f>
        <v>35085.1867779905</v>
      </c>
      <c r="H817" s="2" t="n">
        <f aca="false">IF(B817&lt;Test1_Hand!$B$13,1,0)</f>
        <v>1</v>
      </c>
      <c r="I817" s="23" t="n">
        <f aca="false">Test1_Hand!$B$4+H817*D817</f>
        <v>20.2373220598454</v>
      </c>
      <c r="J817" s="24" t="n">
        <f aca="false">Test1_Hand!$B$6*H817*D817+Test1_Hand!$B$7*MAX(0,I817-Test1_Hand!$B$5)+Test1_Hand!$B$14</f>
        <v>41085.1867779905</v>
      </c>
    </row>
    <row r="818" customFormat="false" ht="15" hidden="false" customHeight="false" outlineLevel="0" collapsed="false">
      <c r="A818" s="2" t="n">
        <v>806</v>
      </c>
      <c r="B818" s="22" t="n">
        <v>0.324197712950383</v>
      </c>
      <c r="C818" s="22" t="n">
        <v>0.889210410118766</v>
      </c>
      <c r="D818" s="23" t="n">
        <f aca="false">BETAINV(C818,Test1_Hand!$B$21,Test1_Hand!$B$22,Test1_Hand!$B$9,Test1_Hand!$B$11)</f>
        <v>5.18762713853258</v>
      </c>
      <c r="E818" s="2" t="n">
        <f aca="false">IF(B818&lt;Test1_Hand!$B$12,1,0)</f>
        <v>1</v>
      </c>
      <c r="F818" s="23" t="n">
        <f aca="false">Test1_Hand!$B$4+E818*D818</f>
        <v>21.1876271385326</v>
      </c>
      <c r="G818" s="24" t="n">
        <f aca="false">Test1_Hand!$B$6*E818*D818+Test1_Hand!$B$7*MAX(0,F818-Test1_Hand!$B$5)</f>
        <v>47439.1528009236</v>
      </c>
      <c r="H818" s="2" t="n">
        <f aca="false">IF(B818&lt;Test1_Hand!$B$13,1,0)</f>
        <v>0</v>
      </c>
      <c r="I818" s="23" t="n">
        <f aca="false">Test1_Hand!$B$4+H818*D818</f>
        <v>16</v>
      </c>
      <c r="J818" s="24" t="n">
        <f aca="false">Test1_Hand!$B$6*H818*D818+Test1_Hand!$B$7*MAX(0,I818-Test1_Hand!$B$5)+Test1_Hand!$B$14</f>
        <v>6000</v>
      </c>
    </row>
    <row r="819" customFormat="false" ht="15" hidden="false" customHeight="false" outlineLevel="0" collapsed="false">
      <c r="A819" s="2" t="n">
        <v>807</v>
      </c>
      <c r="B819" s="22" t="n">
        <v>0.0383638765032915</v>
      </c>
      <c r="C819" s="22" t="n">
        <v>0.366013644091254</v>
      </c>
      <c r="D819" s="23" t="n">
        <f aca="false">BETAINV(C819,Test1_Hand!$B$21,Test1_Hand!$B$22,Test1_Hand!$B$9,Test1_Hand!$B$11)</f>
        <v>2.91901234812156</v>
      </c>
      <c r="E819" s="2" t="n">
        <f aca="false">IF(B819&lt;Test1_Hand!$B$12,1,0)</f>
        <v>1</v>
      </c>
      <c r="F819" s="23" t="n">
        <f aca="false">Test1_Hand!$B$4+E819*D819</f>
        <v>18.9190123481216</v>
      </c>
      <c r="G819" s="24" t="n">
        <f aca="false">Test1_Hand!$B$6*E819*D819+Test1_Hand!$B$7*MAX(0,F819-Test1_Hand!$B$5)</f>
        <v>23352.0987849725</v>
      </c>
      <c r="H819" s="2" t="n">
        <f aca="false">IF(B819&lt;Test1_Hand!$B$13,1,0)</f>
        <v>1</v>
      </c>
      <c r="I819" s="23" t="n">
        <f aca="false">Test1_Hand!$B$4+H819*D819</f>
        <v>18.9190123481216</v>
      </c>
      <c r="J819" s="24" t="n">
        <f aca="false">Test1_Hand!$B$6*H819*D819+Test1_Hand!$B$7*MAX(0,I819-Test1_Hand!$B$5)+Test1_Hand!$B$14</f>
        <v>29352.0987849725</v>
      </c>
    </row>
    <row r="820" customFormat="false" ht="15" hidden="false" customHeight="false" outlineLevel="0" collapsed="false">
      <c r="A820" s="2" t="n">
        <v>808</v>
      </c>
      <c r="B820" s="22" t="n">
        <v>0.404516489819323</v>
      </c>
      <c r="C820" s="22" t="n">
        <v>0.709068463728857</v>
      </c>
      <c r="D820" s="23" t="n">
        <f aca="false">BETAINV(C820,Test1_Hand!$B$21,Test1_Hand!$B$22,Test1_Hand!$B$9,Test1_Hand!$B$11)</f>
        <v>4.18883564899245</v>
      </c>
      <c r="E820" s="2" t="n">
        <f aca="false">IF(B820&lt;Test1_Hand!$B$12,1,0)</f>
        <v>1</v>
      </c>
      <c r="F820" s="23" t="n">
        <f aca="false">Test1_Hand!$B$4+E820*D820</f>
        <v>20.1888356489924</v>
      </c>
      <c r="G820" s="24" t="n">
        <f aca="false">Test1_Hand!$B$6*E820*D820+Test1_Hand!$B$7*MAX(0,F820-Test1_Hand!$B$5)</f>
        <v>34454.8634369018</v>
      </c>
      <c r="H820" s="2" t="n">
        <f aca="false">IF(B820&lt;Test1_Hand!$B$13,1,0)</f>
        <v>0</v>
      </c>
      <c r="I820" s="23" t="n">
        <f aca="false">Test1_Hand!$B$4+H820*D820</f>
        <v>16</v>
      </c>
      <c r="J820" s="24" t="n">
        <f aca="false">Test1_Hand!$B$6*H820*D820+Test1_Hand!$B$7*MAX(0,I820-Test1_Hand!$B$5)+Test1_Hand!$B$14</f>
        <v>6000</v>
      </c>
    </row>
    <row r="821" customFormat="false" ht="15" hidden="false" customHeight="false" outlineLevel="0" collapsed="false">
      <c r="A821" s="2" t="n">
        <v>809</v>
      </c>
      <c r="B821" s="22" t="n">
        <v>0.168611313477682</v>
      </c>
      <c r="C821" s="22" t="n">
        <v>0.75418836628096</v>
      </c>
      <c r="D821" s="23" t="n">
        <f aca="false">BETAINV(C821,Test1_Hand!$B$21,Test1_Hand!$B$22,Test1_Hand!$B$9,Test1_Hand!$B$11)</f>
        <v>4.3947797745243</v>
      </c>
      <c r="E821" s="2" t="n">
        <f aca="false">IF(B821&lt;Test1_Hand!$B$12,1,0)</f>
        <v>1</v>
      </c>
      <c r="F821" s="23" t="n">
        <f aca="false">Test1_Hand!$B$4+E821*D821</f>
        <v>20.3947797745243</v>
      </c>
      <c r="G821" s="24" t="n">
        <f aca="false">Test1_Hand!$B$6*E821*D821+Test1_Hand!$B$7*MAX(0,F821-Test1_Hand!$B$5)</f>
        <v>37132.1370688159</v>
      </c>
      <c r="H821" s="2" t="n">
        <f aca="false">IF(B821&lt;Test1_Hand!$B$13,1,0)</f>
        <v>1</v>
      </c>
      <c r="I821" s="23" t="n">
        <f aca="false">Test1_Hand!$B$4+H821*D821</f>
        <v>20.3947797745243</v>
      </c>
      <c r="J821" s="24" t="n">
        <f aca="false">Test1_Hand!$B$6*H821*D821+Test1_Hand!$B$7*MAX(0,I821-Test1_Hand!$B$5)+Test1_Hand!$B$14</f>
        <v>43132.1370688159</v>
      </c>
    </row>
    <row r="822" customFormat="false" ht="15" hidden="false" customHeight="false" outlineLevel="0" collapsed="false">
      <c r="A822" s="2" t="n">
        <v>810</v>
      </c>
      <c r="B822" s="22" t="n">
        <v>0.0874219104496502</v>
      </c>
      <c r="C822" s="22" t="n">
        <v>0.542706192529075</v>
      </c>
      <c r="D822" s="23" t="n">
        <f aca="false">BETAINV(C822,Test1_Hand!$B$21,Test1_Hand!$B$22,Test1_Hand!$B$9,Test1_Hand!$B$11)</f>
        <v>3.53508466497598</v>
      </c>
      <c r="E822" s="2" t="n">
        <f aca="false">IF(B822&lt;Test1_Hand!$B$12,1,0)</f>
        <v>1</v>
      </c>
      <c r="F822" s="23" t="n">
        <f aca="false">Test1_Hand!$B$4+E822*D822</f>
        <v>19.535084664976</v>
      </c>
      <c r="G822" s="24" t="n">
        <f aca="false">Test1_Hand!$B$6*E822*D822+Test1_Hand!$B$7*MAX(0,F822-Test1_Hand!$B$5)</f>
        <v>28280.6773198078</v>
      </c>
      <c r="H822" s="2" t="n">
        <f aca="false">IF(B822&lt;Test1_Hand!$B$13,1,0)</f>
        <v>1</v>
      </c>
      <c r="I822" s="23" t="n">
        <f aca="false">Test1_Hand!$B$4+H822*D822</f>
        <v>19.535084664976</v>
      </c>
      <c r="J822" s="24" t="n">
        <f aca="false">Test1_Hand!$B$6*H822*D822+Test1_Hand!$B$7*MAX(0,I822-Test1_Hand!$B$5)+Test1_Hand!$B$14</f>
        <v>34280.6773198078</v>
      </c>
    </row>
    <row r="823" customFormat="false" ht="15" hidden="false" customHeight="false" outlineLevel="0" collapsed="false">
      <c r="A823" s="2" t="n">
        <v>811</v>
      </c>
      <c r="B823" s="22" t="n">
        <v>0.867803333703581</v>
      </c>
      <c r="C823" s="22" t="n">
        <v>0.597631199280634</v>
      </c>
      <c r="D823" s="23" t="n">
        <f aca="false">BETAINV(C823,Test1_Hand!$B$21,Test1_Hand!$B$22,Test1_Hand!$B$9,Test1_Hand!$B$11)</f>
        <v>3.7380921013672</v>
      </c>
      <c r="E823" s="2" t="n">
        <f aca="false">IF(B823&lt;Test1_Hand!$B$12,1,0)</f>
        <v>0</v>
      </c>
      <c r="F823" s="23" t="n">
        <f aca="false">Test1_Hand!$B$4+E823*D823</f>
        <v>16</v>
      </c>
      <c r="G823" s="24" t="n">
        <f aca="false">Test1_Hand!$B$6*E823*D823+Test1_Hand!$B$7*MAX(0,F823-Test1_Hand!$B$5)</f>
        <v>0</v>
      </c>
      <c r="H823" s="2" t="n">
        <f aca="false">IF(B823&lt;Test1_Hand!$B$13,1,0)</f>
        <v>0</v>
      </c>
      <c r="I823" s="23" t="n">
        <f aca="false">Test1_Hand!$B$4+H823*D823</f>
        <v>16</v>
      </c>
      <c r="J823" s="24" t="n">
        <f aca="false">Test1_Hand!$B$6*H823*D823+Test1_Hand!$B$7*MAX(0,I823-Test1_Hand!$B$5)+Test1_Hand!$B$14</f>
        <v>6000</v>
      </c>
    </row>
    <row r="824" customFormat="false" ht="15" hidden="false" customHeight="false" outlineLevel="0" collapsed="false">
      <c r="A824" s="2" t="n">
        <v>812</v>
      </c>
      <c r="B824" s="22" t="n">
        <v>0.654990736955877</v>
      </c>
      <c r="C824" s="22" t="n">
        <v>0.737282234885812</v>
      </c>
      <c r="D824" s="23" t="n">
        <f aca="false">BETAINV(C824,Test1_Hand!$B$21,Test1_Hand!$B$22,Test1_Hand!$B$9,Test1_Hand!$B$11)</f>
        <v>4.31548372401941</v>
      </c>
      <c r="E824" s="2" t="n">
        <f aca="false">IF(B824&lt;Test1_Hand!$B$12,1,0)</f>
        <v>0</v>
      </c>
      <c r="F824" s="23" t="n">
        <f aca="false">Test1_Hand!$B$4+E824*D824</f>
        <v>16</v>
      </c>
      <c r="G824" s="24" t="n">
        <f aca="false">Test1_Hand!$B$6*E824*D824+Test1_Hand!$B$7*MAX(0,F824-Test1_Hand!$B$5)</f>
        <v>0</v>
      </c>
      <c r="H824" s="2" t="n">
        <f aca="false">IF(B824&lt;Test1_Hand!$B$13,1,0)</f>
        <v>0</v>
      </c>
      <c r="I824" s="23" t="n">
        <f aca="false">Test1_Hand!$B$4+H824*D824</f>
        <v>16</v>
      </c>
      <c r="J824" s="24" t="n">
        <f aca="false">Test1_Hand!$B$6*H824*D824+Test1_Hand!$B$7*MAX(0,I824-Test1_Hand!$B$5)+Test1_Hand!$B$14</f>
        <v>6000</v>
      </c>
    </row>
    <row r="825" customFormat="false" ht="15" hidden="false" customHeight="false" outlineLevel="0" collapsed="false">
      <c r="A825" s="2" t="n">
        <v>813</v>
      </c>
      <c r="B825" s="22" t="n">
        <v>0.307504451439319</v>
      </c>
      <c r="C825" s="22" t="n">
        <v>0.415837348125568</v>
      </c>
      <c r="D825" s="23" t="n">
        <f aca="false">BETAINV(C825,Test1_Hand!$B$21,Test1_Hand!$B$22,Test1_Hand!$B$9,Test1_Hand!$B$11)</f>
        <v>3.09015872824872</v>
      </c>
      <c r="E825" s="2" t="n">
        <f aca="false">IF(B825&lt;Test1_Hand!$B$12,1,0)</f>
        <v>1</v>
      </c>
      <c r="F825" s="23" t="n">
        <f aca="false">Test1_Hand!$B$4+E825*D825</f>
        <v>19.0901587282487</v>
      </c>
      <c r="G825" s="24" t="n">
        <f aca="false">Test1_Hand!$B$6*E825*D825+Test1_Hand!$B$7*MAX(0,F825-Test1_Hand!$B$5)</f>
        <v>24721.2698259898</v>
      </c>
      <c r="H825" s="2" t="n">
        <f aca="false">IF(B825&lt;Test1_Hand!$B$13,1,0)</f>
        <v>0</v>
      </c>
      <c r="I825" s="23" t="n">
        <f aca="false">Test1_Hand!$B$4+H825*D825</f>
        <v>16</v>
      </c>
      <c r="J825" s="24" t="n">
        <f aca="false">Test1_Hand!$B$6*H825*D825+Test1_Hand!$B$7*MAX(0,I825-Test1_Hand!$B$5)+Test1_Hand!$B$14</f>
        <v>6000</v>
      </c>
    </row>
    <row r="826" customFormat="false" ht="15" hidden="false" customHeight="false" outlineLevel="0" collapsed="false">
      <c r="A826" s="2" t="n">
        <v>814</v>
      </c>
      <c r="B826" s="22" t="n">
        <v>0.577596551735075</v>
      </c>
      <c r="C826" s="22" t="n">
        <v>0.367120650789753</v>
      </c>
      <c r="D826" s="23" t="n">
        <f aca="false">BETAINV(C826,Test1_Hand!$B$21,Test1_Hand!$B$22,Test1_Hand!$B$9,Test1_Hand!$B$11)</f>
        <v>2.92281792883323</v>
      </c>
      <c r="E826" s="2" t="n">
        <f aca="false">IF(B826&lt;Test1_Hand!$B$12,1,0)</f>
        <v>0</v>
      </c>
      <c r="F826" s="23" t="n">
        <f aca="false">Test1_Hand!$B$4+E826*D826</f>
        <v>16</v>
      </c>
      <c r="G826" s="24" t="n">
        <f aca="false">Test1_Hand!$B$6*E826*D826+Test1_Hand!$B$7*MAX(0,F826-Test1_Hand!$B$5)</f>
        <v>0</v>
      </c>
      <c r="H826" s="2" t="n">
        <f aca="false">IF(B826&lt;Test1_Hand!$B$13,1,0)</f>
        <v>0</v>
      </c>
      <c r="I826" s="23" t="n">
        <f aca="false">Test1_Hand!$B$4+H826*D826</f>
        <v>16</v>
      </c>
      <c r="J826" s="24" t="n">
        <f aca="false">Test1_Hand!$B$6*H826*D826+Test1_Hand!$B$7*MAX(0,I826-Test1_Hand!$B$5)+Test1_Hand!$B$14</f>
        <v>6000</v>
      </c>
    </row>
    <row r="827" customFormat="false" ht="15" hidden="false" customHeight="false" outlineLevel="0" collapsed="false">
      <c r="A827" s="2" t="n">
        <v>815</v>
      </c>
      <c r="B827" s="22" t="n">
        <v>0.313096359043893</v>
      </c>
      <c r="C827" s="22" t="n">
        <v>0.982121621949539</v>
      </c>
      <c r="D827" s="23" t="n">
        <f aca="false">BETAINV(C827,Test1_Hand!$B$21,Test1_Hand!$B$22,Test1_Hand!$B$9,Test1_Hand!$B$11)</f>
        <v>6.33566832516108</v>
      </c>
      <c r="E827" s="2" t="n">
        <f aca="false">IF(B827&lt;Test1_Hand!$B$12,1,0)</f>
        <v>1</v>
      </c>
      <c r="F827" s="23" t="n">
        <f aca="false">Test1_Hand!$B$4+E827*D827</f>
        <v>22.3356683251611</v>
      </c>
      <c r="G827" s="24" t="n">
        <f aca="false">Test1_Hand!$B$6*E827*D827+Test1_Hand!$B$7*MAX(0,F827-Test1_Hand!$B$5)</f>
        <v>62363.688227094</v>
      </c>
      <c r="H827" s="2" t="n">
        <f aca="false">IF(B827&lt;Test1_Hand!$B$13,1,0)</f>
        <v>0</v>
      </c>
      <c r="I827" s="23" t="n">
        <f aca="false">Test1_Hand!$B$4+H827*D827</f>
        <v>16</v>
      </c>
      <c r="J827" s="24" t="n">
        <f aca="false">Test1_Hand!$B$6*H827*D827+Test1_Hand!$B$7*MAX(0,I827-Test1_Hand!$B$5)+Test1_Hand!$B$14</f>
        <v>6000</v>
      </c>
    </row>
    <row r="828" customFormat="false" ht="15" hidden="false" customHeight="false" outlineLevel="0" collapsed="false">
      <c r="A828" s="2" t="n">
        <v>816</v>
      </c>
      <c r="B828" s="22" t="n">
        <v>0.00188394568184214</v>
      </c>
      <c r="C828" s="22" t="n">
        <v>0.27754887969599</v>
      </c>
      <c r="D828" s="23" t="n">
        <f aca="false">BETAINV(C828,Test1_Hand!$B$21,Test1_Hand!$B$22,Test1_Hand!$B$9,Test1_Hand!$B$11)</f>
        <v>2.61117227659075</v>
      </c>
      <c r="E828" s="2" t="n">
        <f aca="false">IF(B828&lt;Test1_Hand!$B$12,1,0)</f>
        <v>1</v>
      </c>
      <c r="F828" s="23" t="n">
        <f aca="false">Test1_Hand!$B$4+E828*D828</f>
        <v>18.6111722765908</v>
      </c>
      <c r="G828" s="24" t="n">
        <f aca="false">Test1_Hand!$B$6*E828*D828+Test1_Hand!$B$7*MAX(0,F828-Test1_Hand!$B$5)</f>
        <v>20889.378212726</v>
      </c>
      <c r="H828" s="2" t="n">
        <f aca="false">IF(B828&lt;Test1_Hand!$B$13,1,0)</f>
        <v>1</v>
      </c>
      <c r="I828" s="23" t="n">
        <f aca="false">Test1_Hand!$B$4+H828*D828</f>
        <v>18.6111722765908</v>
      </c>
      <c r="J828" s="24" t="n">
        <f aca="false">Test1_Hand!$B$6*H828*D828+Test1_Hand!$B$7*MAX(0,I828-Test1_Hand!$B$5)+Test1_Hand!$B$14</f>
        <v>26889.378212726</v>
      </c>
    </row>
    <row r="829" customFormat="false" ht="15" hidden="false" customHeight="false" outlineLevel="0" collapsed="false">
      <c r="A829" s="2" t="n">
        <v>817</v>
      </c>
      <c r="B829" s="22" t="n">
        <v>0.154218062099688</v>
      </c>
      <c r="C829" s="22" t="n">
        <v>0.418361291195155</v>
      </c>
      <c r="D829" s="23" t="n">
        <f aca="false">BETAINV(C829,Test1_Hand!$B$21,Test1_Hand!$B$22,Test1_Hand!$B$9,Test1_Hand!$B$11)</f>
        <v>3.09883953534658</v>
      </c>
      <c r="E829" s="2" t="n">
        <f aca="false">IF(B829&lt;Test1_Hand!$B$12,1,0)</f>
        <v>1</v>
      </c>
      <c r="F829" s="23" t="n">
        <f aca="false">Test1_Hand!$B$4+E829*D829</f>
        <v>19.0988395353466</v>
      </c>
      <c r="G829" s="24" t="n">
        <f aca="false">Test1_Hand!$B$6*E829*D829+Test1_Hand!$B$7*MAX(0,F829-Test1_Hand!$B$5)</f>
        <v>24790.7162827726</v>
      </c>
      <c r="H829" s="2" t="n">
        <f aca="false">IF(B829&lt;Test1_Hand!$B$13,1,0)</f>
        <v>1</v>
      </c>
      <c r="I829" s="23" t="n">
        <f aca="false">Test1_Hand!$B$4+H829*D829</f>
        <v>19.0988395353466</v>
      </c>
      <c r="J829" s="24" t="n">
        <f aca="false">Test1_Hand!$B$6*H829*D829+Test1_Hand!$B$7*MAX(0,I829-Test1_Hand!$B$5)+Test1_Hand!$B$14</f>
        <v>30790.7162827726</v>
      </c>
    </row>
    <row r="830" customFormat="false" ht="15" hidden="false" customHeight="false" outlineLevel="0" collapsed="false">
      <c r="A830" s="2" t="n">
        <v>818</v>
      </c>
      <c r="B830" s="22" t="n">
        <v>0.878382111137552</v>
      </c>
      <c r="C830" s="22" t="n">
        <v>0.630536324313578</v>
      </c>
      <c r="D830" s="23" t="n">
        <f aca="false">BETAINV(C830,Test1_Hand!$B$21,Test1_Hand!$B$22,Test1_Hand!$B$9,Test1_Hand!$B$11)</f>
        <v>3.86472831175305</v>
      </c>
      <c r="E830" s="2" t="n">
        <f aca="false">IF(B830&lt;Test1_Hand!$B$12,1,0)</f>
        <v>0</v>
      </c>
      <c r="F830" s="23" t="n">
        <f aca="false">Test1_Hand!$B$4+E830*D830</f>
        <v>16</v>
      </c>
      <c r="G830" s="24" t="n">
        <f aca="false">Test1_Hand!$B$6*E830*D830+Test1_Hand!$B$7*MAX(0,F830-Test1_Hand!$B$5)</f>
        <v>0</v>
      </c>
      <c r="H830" s="2" t="n">
        <f aca="false">IF(B830&lt;Test1_Hand!$B$13,1,0)</f>
        <v>0</v>
      </c>
      <c r="I830" s="23" t="n">
        <f aca="false">Test1_Hand!$B$4+H830*D830</f>
        <v>16</v>
      </c>
      <c r="J830" s="24" t="n">
        <f aca="false">Test1_Hand!$B$6*H830*D830+Test1_Hand!$B$7*MAX(0,I830-Test1_Hand!$B$5)+Test1_Hand!$B$14</f>
        <v>6000</v>
      </c>
    </row>
    <row r="831" customFormat="false" ht="15" hidden="false" customHeight="false" outlineLevel="0" collapsed="false">
      <c r="A831" s="2" t="n">
        <v>819</v>
      </c>
      <c r="B831" s="22" t="n">
        <v>0.935761573518697</v>
      </c>
      <c r="C831" s="22" t="n">
        <v>0.0915208270469801</v>
      </c>
      <c r="D831" s="23" t="n">
        <f aca="false">BETAINV(C831,Test1_Hand!$B$21,Test1_Hand!$B$22,Test1_Hand!$B$9,Test1_Hand!$B$11)</f>
        <v>1.86271400970575</v>
      </c>
      <c r="E831" s="2" t="n">
        <f aca="false">IF(B831&lt;Test1_Hand!$B$12,1,0)</f>
        <v>0</v>
      </c>
      <c r="F831" s="23" t="n">
        <f aca="false">Test1_Hand!$B$4+E831*D831</f>
        <v>16</v>
      </c>
      <c r="G831" s="24" t="n">
        <f aca="false">Test1_Hand!$B$6*E831*D831+Test1_Hand!$B$7*MAX(0,F831-Test1_Hand!$B$5)</f>
        <v>0</v>
      </c>
      <c r="H831" s="2" t="n">
        <f aca="false">IF(B831&lt;Test1_Hand!$B$13,1,0)</f>
        <v>0</v>
      </c>
      <c r="I831" s="23" t="n">
        <f aca="false">Test1_Hand!$B$4+H831*D831</f>
        <v>16</v>
      </c>
      <c r="J831" s="24" t="n">
        <f aca="false">Test1_Hand!$B$6*H831*D831+Test1_Hand!$B$7*MAX(0,I831-Test1_Hand!$B$5)+Test1_Hand!$B$14</f>
        <v>6000</v>
      </c>
    </row>
    <row r="832" customFormat="false" ht="15" hidden="false" customHeight="false" outlineLevel="0" collapsed="false">
      <c r="A832" s="2" t="n">
        <v>820</v>
      </c>
      <c r="B832" s="22" t="n">
        <v>0.98528871082151</v>
      </c>
      <c r="C832" s="22" t="n">
        <v>0.835445237264231</v>
      </c>
      <c r="D832" s="23" t="n">
        <f aca="false">BETAINV(C832,Test1_Hand!$B$21,Test1_Hand!$B$22,Test1_Hand!$B$9,Test1_Hand!$B$11)</f>
        <v>4.82628357506827</v>
      </c>
      <c r="E832" s="2" t="n">
        <f aca="false">IF(B832&lt;Test1_Hand!$B$12,1,0)</f>
        <v>0</v>
      </c>
      <c r="F832" s="23" t="n">
        <f aca="false">Test1_Hand!$B$4+E832*D832</f>
        <v>16</v>
      </c>
      <c r="G832" s="24" t="n">
        <f aca="false">Test1_Hand!$B$6*E832*D832+Test1_Hand!$B$7*MAX(0,F832-Test1_Hand!$B$5)</f>
        <v>0</v>
      </c>
      <c r="H832" s="2" t="n">
        <f aca="false">IF(B832&lt;Test1_Hand!$B$13,1,0)</f>
        <v>0</v>
      </c>
      <c r="I832" s="23" t="n">
        <f aca="false">Test1_Hand!$B$4+H832*D832</f>
        <v>16</v>
      </c>
      <c r="J832" s="24" t="n">
        <f aca="false">Test1_Hand!$B$6*H832*D832+Test1_Hand!$B$7*MAX(0,I832-Test1_Hand!$B$5)+Test1_Hand!$B$14</f>
        <v>6000</v>
      </c>
    </row>
    <row r="833" customFormat="false" ht="15" hidden="false" customHeight="false" outlineLevel="0" collapsed="false">
      <c r="A833" s="2" t="n">
        <v>821</v>
      </c>
      <c r="B833" s="22" t="n">
        <v>0.885685145472334</v>
      </c>
      <c r="C833" s="22" t="n">
        <v>0.451986702294349</v>
      </c>
      <c r="D833" s="23" t="n">
        <f aca="false">BETAINV(C833,Test1_Hand!$B$21,Test1_Hand!$B$22,Test1_Hand!$B$9,Test1_Hand!$B$11)</f>
        <v>3.21486392247181</v>
      </c>
      <c r="E833" s="2" t="n">
        <f aca="false">IF(B833&lt;Test1_Hand!$B$12,1,0)</f>
        <v>0</v>
      </c>
      <c r="F833" s="23" t="n">
        <f aca="false">Test1_Hand!$B$4+E833*D833</f>
        <v>16</v>
      </c>
      <c r="G833" s="24" t="n">
        <f aca="false">Test1_Hand!$B$6*E833*D833+Test1_Hand!$B$7*MAX(0,F833-Test1_Hand!$B$5)</f>
        <v>0</v>
      </c>
      <c r="H833" s="2" t="n">
        <f aca="false">IF(B833&lt;Test1_Hand!$B$13,1,0)</f>
        <v>0</v>
      </c>
      <c r="I833" s="23" t="n">
        <f aca="false">Test1_Hand!$B$4+H833*D833</f>
        <v>16</v>
      </c>
      <c r="J833" s="24" t="n">
        <f aca="false">Test1_Hand!$B$6*H833*D833+Test1_Hand!$B$7*MAX(0,I833-Test1_Hand!$B$5)+Test1_Hand!$B$14</f>
        <v>6000</v>
      </c>
    </row>
    <row r="834" customFormat="false" ht="15" hidden="false" customHeight="false" outlineLevel="0" collapsed="false">
      <c r="A834" s="2" t="n">
        <v>822</v>
      </c>
      <c r="B834" s="22" t="n">
        <v>0.102060327740117</v>
      </c>
      <c r="C834" s="22" t="n">
        <v>0.724186908864641</v>
      </c>
      <c r="D834" s="23" t="n">
        <f aca="false">BETAINV(C834,Test1_Hand!$B$21,Test1_Hand!$B$22,Test1_Hand!$B$9,Test1_Hand!$B$11)</f>
        <v>4.25587914476853</v>
      </c>
      <c r="E834" s="2" t="n">
        <f aca="false">IF(B834&lt;Test1_Hand!$B$12,1,0)</f>
        <v>1</v>
      </c>
      <c r="F834" s="23" t="n">
        <f aca="false">Test1_Hand!$B$4+E834*D834</f>
        <v>20.2558791447685</v>
      </c>
      <c r="G834" s="24" t="n">
        <f aca="false">Test1_Hand!$B$6*E834*D834+Test1_Hand!$B$7*MAX(0,F834-Test1_Hand!$B$5)</f>
        <v>35326.4288819908</v>
      </c>
      <c r="H834" s="2" t="n">
        <f aca="false">IF(B834&lt;Test1_Hand!$B$13,1,0)</f>
        <v>1</v>
      </c>
      <c r="I834" s="23" t="n">
        <f aca="false">Test1_Hand!$B$4+H834*D834</f>
        <v>20.2558791447685</v>
      </c>
      <c r="J834" s="24" t="n">
        <f aca="false">Test1_Hand!$B$6*H834*D834+Test1_Hand!$B$7*MAX(0,I834-Test1_Hand!$B$5)+Test1_Hand!$B$14</f>
        <v>41326.4288819908</v>
      </c>
    </row>
    <row r="835" customFormat="false" ht="15" hidden="false" customHeight="false" outlineLevel="0" collapsed="false">
      <c r="A835" s="2" t="n">
        <v>823</v>
      </c>
      <c r="B835" s="22" t="n">
        <v>0.099915517783123</v>
      </c>
      <c r="C835" s="22" t="n">
        <v>0.991142603165711</v>
      </c>
      <c r="D835" s="23" t="n">
        <f aca="false">BETAINV(C835,Test1_Hand!$B$21,Test1_Hand!$B$22,Test1_Hand!$B$9,Test1_Hand!$B$11)</f>
        <v>6.62914238751148</v>
      </c>
      <c r="E835" s="2" t="n">
        <f aca="false">IF(B835&lt;Test1_Hand!$B$12,1,0)</f>
        <v>1</v>
      </c>
      <c r="F835" s="23" t="n">
        <f aca="false">Test1_Hand!$B$4+E835*D835</f>
        <v>22.6291423875115</v>
      </c>
      <c r="G835" s="24" t="n">
        <f aca="false">Test1_Hand!$B$6*E835*D835+Test1_Hand!$B$7*MAX(0,F835-Test1_Hand!$B$5)</f>
        <v>66178.8510376492</v>
      </c>
      <c r="H835" s="2" t="n">
        <f aca="false">IF(B835&lt;Test1_Hand!$B$13,1,0)</f>
        <v>1</v>
      </c>
      <c r="I835" s="23" t="n">
        <f aca="false">Test1_Hand!$B$4+H835*D835</f>
        <v>22.6291423875115</v>
      </c>
      <c r="J835" s="24" t="n">
        <f aca="false">Test1_Hand!$B$6*H835*D835+Test1_Hand!$B$7*MAX(0,I835-Test1_Hand!$B$5)+Test1_Hand!$B$14</f>
        <v>72178.8510376492</v>
      </c>
    </row>
    <row r="836" customFormat="false" ht="15" hidden="false" customHeight="false" outlineLevel="0" collapsed="false">
      <c r="A836" s="2" t="n">
        <v>824</v>
      </c>
      <c r="B836" s="22" t="n">
        <v>0.147479430131053</v>
      </c>
      <c r="C836" s="22" t="n">
        <v>0.479333671733871</v>
      </c>
      <c r="D836" s="23" t="n">
        <f aca="false">BETAINV(C836,Test1_Hand!$B$21,Test1_Hand!$B$22,Test1_Hand!$B$9,Test1_Hand!$B$11)</f>
        <v>3.31000925072359</v>
      </c>
      <c r="E836" s="2" t="n">
        <f aca="false">IF(B836&lt;Test1_Hand!$B$12,1,0)</f>
        <v>1</v>
      </c>
      <c r="F836" s="23" t="n">
        <f aca="false">Test1_Hand!$B$4+E836*D836</f>
        <v>19.3100092507236</v>
      </c>
      <c r="G836" s="24" t="n">
        <f aca="false">Test1_Hand!$B$6*E836*D836+Test1_Hand!$B$7*MAX(0,F836-Test1_Hand!$B$5)</f>
        <v>26480.0740057887</v>
      </c>
      <c r="H836" s="2" t="n">
        <f aca="false">IF(B836&lt;Test1_Hand!$B$13,1,0)</f>
        <v>1</v>
      </c>
      <c r="I836" s="23" t="n">
        <f aca="false">Test1_Hand!$B$4+H836*D836</f>
        <v>19.3100092507236</v>
      </c>
      <c r="J836" s="24" t="n">
        <f aca="false">Test1_Hand!$B$6*H836*D836+Test1_Hand!$B$7*MAX(0,I836-Test1_Hand!$B$5)+Test1_Hand!$B$14</f>
        <v>32480.0740057887</v>
      </c>
    </row>
    <row r="837" customFormat="false" ht="15" hidden="false" customHeight="false" outlineLevel="0" collapsed="false">
      <c r="A837" s="2" t="n">
        <v>825</v>
      </c>
      <c r="B837" s="22" t="n">
        <v>0.454423655761687</v>
      </c>
      <c r="C837" s="22" t="n">
        <v>0.139147457146079</v>
      </c>
      <c r="D837" s="23" t="n">
        <f aca="false">BETAINV(C837,Test1_Hand!$B$21,Test1_Hand!$B$22,Test1_Hand!$B$9,Test1_Hand!$B$11)</f>
        <v>2.08165314007197</v>
      </c>
      <c r="E837" s="2" t="n">
        <f aca="false">IF(B837&lt;Test1_Hand!$B$12,1,0)</f>
        <v>1</v>
      </c>
      <c r="F837" s="23" t="n">
        <f aca="false">Test1_Hand!$B$4+E837*D837</f>
        <v>18.081653140072</v>
      </c>
      <c r="G837" s="24" t="n">
        <f aca="false">Test1_Hand!$B$6*E837*D837+Test1_Hand!$B$7*MAX(0,F837-Test1_Hand!$B$5)</f>
        <v>16653.2251205757</v>
      </c>
      <c r="H837" s="2" t="n">
        <f aca="false">IF(B837&lt;Test1_Hand!$B$13,1,0)</f>
        <v>0</v>
      </c>
      <c r="I837" s="23" t="n">
        <f aca="false">Test1_Hand!$B$4+H837*D837</f>
        <v>16</v>
      </c>
      <c r="J837" s="24" t="n">
        <f aca="false">Test1_Hand!$B$6*H837*D837+Test1_Hand!$B$7*MAX(0,I837-Test1_Hand!$B$5)+Test1_Hand!$B$14</f>
        <v>6000</v>
      </c>
    </row>
    <row r="838" customFormat="false" ht="15" hidden="false" customHeight="false" outlineLevel="0" collapsed="false">
      <c r="A838" s="2" t="n">
        <v>826</v>
      </c>
      <c r="B838" s="22" t="n">
        <v>0.149471734081361</v>
      </c>
      <c r="C838" s="22" t="n">
        <v>0.439481023791888</v>
      </c>
      <c r="D838" s="23" t="n">
        <f aca="false">BETAINV(C838,Test1_Hand!$B$21,Test1_Hand!$B$22,Test1_Hand!$B$9,Test1_Hand!$B$11)</f>
        <v>3.17161586924295</v>
      </c>
      <c r="E838" s="2" t="n">
        <f aca="false">IF(B838&lt;Test1_Hand!$B$12,1,0)</f>
        <v>1</v>
      </c>
      <c r="F838" s="23" t="n">
        <f aca="false">Test1_Hand!$B$4+E838*D838</f>
        <v>19.171615869243</v>
      </c>
      <c r="G838" s="24" t="n">
        <f aca="false">Test1_Hand!$B$6*E838*D838+Test1_Hand!$B$7*MAX(0,F838-Test1_Hand!$B$5)</f>
        <v>25372.9269539436</v>
      </c>
      <c r="H838" s="2" t="n">
        <f aca="false">IF(B838&lt;Test1_Hand!$B$13,1,0)</f>
        <v>1</v>
      </c>
      <c r="I838" s="23" t="n">
        <f aca="false">Test1_Hand!$B$4+H838*D838</f>
        <v>19.171615869243</v>
      </c>
      <c r="J838" s="24" t="n">
        <f aca="false">Test1_Hand!$B$6*H838*D838+Test1_Hand!$B$7*MAX(0,I838-Test1_Hand!$B$5)+Test1_Hand!$B$14</f>
        <v>31372.9269539436</v>
      </c>
    </row>
    <row r="839" customFormat="false" ht="15" hidden="false" customHeight="false" outlineLevel="0" collapsed="false">
      <c r="A839" s="2" t="n">
        <v>827</v>
      </c>
      <c r="B839" s="22" t="n">
        <v>0.329407032634252</v>
      </c>
      <c r="C839" s="22" t="n">
        <v>0.538780998790407</v>
      </c>
      <c r="D839" s="23" t="n">
        <f aca="false">BETAINV(C839,Test1_Hand!$B$21,Test1_Hand!$B$22,Test1_Hand!$B$9,Test1_Hand!$B$11)</f>
        <v>3.52090133510978</v>
      </c>
      <c r="E839" s="2" t="n">
        <f aca="false">IF(B839&lt;Test1_Hand!$B$12,1,0)</f>
        <v>1</v>
      </c>
      <c r="F839" s="23" t="n">
        <f aca="false">Test1_Hand!$B$4+E839*D839</f>
        <v>19.5209013351098</v>
      </c>
      <c r="G839" s="24" t="n">
        <f aca="false">Test1_Hand!$B$6*E839*D839+Test1_Hand!$B$7*MAX(0,F839-Test1_Hand!$B$5)</f>
        <v>28167.2106808782</v>
      </c>
      <c r="H839" s="2" t="n">
        <f aca="false">IF(B839&lt;Test1_Hand!$B$13,1,0)</f>
        <v>0</v>
      </c>
      <c r="I839" s="23" t="n">
        <f aca="false">Test1_Hand!$B$4+H839*D839</f>
        <v>16</v>
      </c>
      <c r="J839" s="24" t="n">
        <f aca="false">Test1_Hand!$B$6*H839*D839+Test1_Hand!$B$7*MAX(0,I839-Test1_Hand!$B$5)+Test1_Hand!$B$14</f>
        <v>6000</v>
      </c>
    </row>
    <row r="840" customFormat="false" ht="15" hidden="false" customHeight="false" outlineLevel="0" collapsed="false">
      <c r="A840" s="2" t="n">
        <v>828</v>
      </c>
      <c r="B840" s="22" t="n">
        <v>0.574894124915474</v>
      </c>
      <c r="C840" s="22" t="n">
        <v>0.731461268133098</v>
      </c>
      <c r="D840" s="23" t="n">
        <f aca="false">BETAINV(C840,Test1_Hand!$B$21,Test1_Hand!$B$22,Test1_Hand!$B$9,Test1_Hand!$B$11)</f>
        <v>4.28880392054077</v>
      </c>
      <c r="E840" s="2" t="n">
        <f aca="false">IF(B840&lt;Test1_Hand!$B$12,1,0)</f>
        <v>0</v>
      </c>
      <c r="F840" s="23" t="n">
        <f aca="false">Test1_Hand!$B$4+E840*D840</f>
        <v>16</v>
      </c>
      <c r="G840" s="24" t="n">
        <f aca="false">Test1_Hand!$B$6*E840*D840+Test1_Hand!$B$7*MAX(0,F840-Test1_Hand!$B$5)</f>
        <v>0</v>
      </c>
      <c r="H840" s="2" t="n">
        <f aca="false">IF(B840&lt;Test1_Hand!$B$13,1,0)</f>
        <v>0</v>
      </c>
      <c r="I840" s="23" t="n">
        <f aca="false">Test1_Hand!$B$4+H840*D840</f>
        <v>16</v>
      </c>
      <c r="J840" s="24" t="n">
        <f aca="false">Test1_Hand!$B$6*H840*D840+Test1_Hand!$B$7*MAX(0,I840-Test1_Hand!$B$5)+Test1_Hand!$B$14</f>
        <v>6000</v>
      </c>
    </row>
    <row r="841" customFormat="false" ht="15" hidden="false" customHeight="false" outlineLevel="0" collapsed="false">
      <c r="A841" s="2" t="n">
        <v>829</v>
      </c>
      <c r="B841" s="22" t="n">
        <v>0.616731104415921</v>
      </c>
      <c r="C841" s="22" t="n">
        <v>0.463714763251036</v>
      </c>
      <c r="D841" s="23" t="n">
        <f aca="false">BETAINV(C841,Test1_Hand!$B$21,Test1_Hand!$B$22,Test1_Hand!$B$9,Test1_Hand!$B$11)</f>
        <v>3.25556048061197</v>
      </c>
      <c r="E841" s="2" t="n">
        <f aca="false">IF(B841&lt;Test1_Hand!$B$12,1,0)</f>
        <v>0</v>
      </c>
      <c r="F841" s="23" t="n">
        <f aca="false">Test1_Hand!$B$4+E841*D841</f>
        <v>16</v>
      </c>
      <c r="G841" s="24" t="n">
        <f aca="false">Test1_Hand!$B$6*E841*D841+Test1_Hand!$B$7*MAX(0,F841-Test1_Hand!$B$5)</f>
        <v>0</v>
      </c>
      <c r="H841" s="2" t="n">
        <f aca="false">IF(B841&lt;Test1_Hand!$B$13,1,0)</f>
        <v>0</v>
      </c>
      <c r="I841" s="23" t="n">
        <f aca="false">Test1_Hand!$B$4+H841*D841</f>
        <v>16</v>
      </c>
      <c r="J841" s="24" t="n">
        <f aca="false">Test1_Hand!$B$6*H841*D841+Test1_Hand!$B$7*MAX(0,I841-Test1_Hand!$B$5)+Test1_Hand!$B$14</f>
        <v>6000</v>
      </c>
    </row>
    <row r="842" customFormat="false" ht="15" hidden="false" customHeight="false" outlineLevel="0" collapsed="false">
      <c r="A842" s="2" t="n">
        <v>830</v>
      </c>
      <c r="B842" s="22" t="n">
        <v>0.559367243656603</v>
      </c>
      <c r="C842" s="22" t="n">
        <v>0.675494921322319</v>
      </c>
      <c r="D842" s="23" t="n">
        <f aca="false">BETAINV(C842,Test1_Hand!$B$21,Test1_Hand!$B$22,Test1_Hand!$B$9,Test1_Hand!$B$11)</f>
        <v>4.0458414378713</v>
      </c>
      <c r="E842" s="2" t="n">
        <f aca="false">IF(B842&lt;Test1_Hand!$B$12,1,0)</f>
        <v>0</v>
      </c>
      <c r="F842" s="23" t="n">
        <f aca="false">Test1_Hand!$B$4+E842*D842</f>
        <v>16</v>
      </c>
      <c r="G842" s="24" t="n">
        <f aca="false">Test1_Hand!$B$6*E842*D842+Test1_Hand!$B$7*MAX(0,F842-Test1_Hand!$B$5)</f>
        <v>0</v>
      </c>
      <c r="H842" s="2" t="n">
        <f aca="false">IF(B842&lt;Test1_Hand!$B$13,1,0)</f>
        <v>0</v>
      </c>
      <c r="I842" s="23" t="n">
        <f aca="false">Test1_Hand!$B$4+H842*D842</f>
        <v>16</v>
      </c>
      <c r="J842" s="24" t="n">
        <f aca="false">Test1_Hand!$B$6*H842*D842+Test1_Hand!$B$7*MAX(0,I842-Test1_Hand!$B$5)+Test1_Hand!$B$14</f>
        <v>6000</v>
      </c>
    </row>
    <row r="843" customFormat="false" ht="15" hidden="false" customHeight="false" outlineLevel="0" collapsed="false">
      <c r="A843" s="2" t="n">
        <v>831</v>
      </c>
      <c r="B843" s="22" t="n">
        <v>0.258528847120913</v>
      </c>
      <c r="C843" s="22" t="n">
        <v>0.73384410339522</v>
      </c>
      <c r="D843" s="23" t="n">
        <f aca="false">BETAINV(C843,Test1_Hand!$B$21,Test1_Hand!$B$22,Test1_Hand!$B$9,Test1_Hand!$B$11)</f>
        <v>4.29968874313425</v>
      </c>
      <c r="E843" s="2" t="n">
        <f aca="false">IF(B843&lt;Test1_Hand!$B$12,1,0)</f>
        <v>1</v>
      </c>
      <c r="F843" s="23" t="n">
        <f aca="false">Test1_Hand!$B$4+E843*D843</f>
        <v>20.2996887431343</v>
      </c>
      <c r="G843" s="24" t="n">
        <f aca="false">Test1_Hand!$B$6*E843*D843+Test1_Hand!$B$7*MAX(0,F843-Test1_Hand!$B$5)</f>
        <v>35895.9536607453</v>
      </c>
      <c r="H843" s="2" t="n">
        <f aca="false">IF(B843&lt;Test1_Hand!$B$13,1,0)</f>
        <v>0</v>
      </c>
      <c r="I843" s="23" t="n">
        <f aca="false">Test1_Hand!$B$4+H843*D843</f>
        <v>16</v>
      </c>
      <c r="J843" s="24" t="n">
        <f aca="false">Test1_Hand!$B$6*H843*D843+Test1_Hand!$B$7*MAX(0,I843-Test1_Hand!$B$5)+Test1_Hand!$B$14</f>
        <v>6000</v>
      </c>
    </row>
    <row r="844" customFormat="false" ht="15" hidden="false" customHeight="false" outlineLevel="0" collapsed="false">
      <c r="A844" s="2" t="n">
        <v>832</v>
      </c>
      <c r="B844" s="22" t="n">
        <v>0.67586776367096</v>
      </c>
      <c r="C844" s="22" t="n">
        <v>0.651552960220129</v>
      </c>
      <c r="D844" s="23" t="n">
        <f aca="false">BETAINV(C844,Test1_Hand!$B$21,Test1_Hand!$B$22,Test1_Hand!$B$9,Test1_Hand!$B$11)</f>
        <v>3.94809251451734</v>
      </c>
      <c r="E844" s="2" t="n">
        <f aca="false">IF(B844&lt;Test1_Hand!$B$12,1,0)</f>
        <v>0</v>
      </c>
      <c r="F844" s="23" t="n">
        <f aca="false">Test1_Hand!$B$4+E844*D844</f>
        <v>16</v>
      </c>
      <c r="G844" s="24" t="n">
        <f aca="false">Test1_Hand!$B$6*E844*D844+Test1_Hand!$B$7*MAX(0,F844-Test1_Hand!$B$5)</f>
        <v>0</v>
      </c>
      <c r="H844" s="2" t="n">
        <f aca="false">IF(B844&lt;Test1_Hand!$B$13,1,0)</f>
        <v>0</v>
      </c>
      <c r="I844" s="23" t="n">
        <f aca="false">Test1_Hand!$B$4+H844*D844</f>
        <v>16</v>
      </c>
      <c r="J844" s="24" t="n">
        <f aca="false">Test1_Hand!$B$6*H844*D844+Test1_Hand!$B$7*MAX(0,I844-Test1_Hand!$B$5)+Test1_Hand!$B$14</f>
        <v>6000</v>
      </c>
    </row>
    <row r="845" customFormat="false" ht="15" hidden="false" customHeight="false" outlineLevel="0" collapsed="false">
      <c r="A845" s="2" t="n">
        <v>833</v>
      </c>
      <c r="B845" s="22" t="n">
        <v>0.266946748527205</v>
      </c>
      <c r="C845" s="22" t="n">
        <v>0.306268754449309</v>
      </c>
      <c r="D845" s="23" t="n">
        <f aca="false">BETAINV(C845,Test1_Hand!$B$21,Test1_Hand!$B$22,Test1_Hand!$B$9,Test1_Hand!$B$11)</f>
        <v>2.71226677451693</v>
      </c>
      <c r="E845" s="2" t="n">
        <f aca="false">IF(B845&lt;Test1_Hand!$B$12,1,0)</f>
        <v>1</v>
      </c>
      <c r="F845" s="23" t="n">
        <f aca="false">Test1_Hand!$B$4+E845*D845</f>
        <v>18.7122667745169</v>
      </c>
      <c r="G845" s="24" t="n">
        <f aca="false">Test1_Hand!$B$6*E845*D845+Test1_Hand!$B$7*MAX(0,F845-Test1_Hand!$B$5)</f>
        <v>21698.1341961355</v>
      </c>
      <c r="H845" s="2" t="n">
        <f aca="false">IF(B845&lt;Test1_Hand!$B$13,1,0)</f>
        <v>0</v>
      </c>
      <c r="I845" s="23" t="n">
        <f aca="false">Test1_Hand!$B$4+H845*D845</f>
        <v>16</v>
      </c>
      <c r="J845" s="24" t="n">
        <f aca="false">Test1_Hand!$B$6*H845*D845+Test1_Hand!$B$7*MAX(0,I845-Test1_Hand!$B$5)+Test1_Hand!$B$14</f>
        <v>6000</v>
      </c>
    </row>
    <row r="846" customFormat="false" ht="15" hidden="false" customHeight="false" outlineLevel="0" collapsed="false">
      <c r="A846" s="2" t="n">
        <v>834</v>
      </c>
      <c r="B846" s="22" t="n">
        <v>0.668005068880293</v>
      </c>
      <c r="C846" s="22" t="n">
        <v>0.0549833595858802</v>
      </c>
      <c r="D846" s="23" t="n">
        <f aca="false">BETAINV(C846,Test1_Hand!$B$21,Test1_Hand!$B$22,Test1_Hand!$B$9,Test1_Hand!$B$11)</f>
        <v>1.66155574973272</v>
      </c>
      <c r="E846" s="2" t="n">
        <f aca="false">IF(B846&lt;Test1_Hand!$B$12,1,0)</f>
        <v>0</v>
      </c>
      <c r="F846" s="23" t="n">
        <f aca="false">Test1_Hand!$B$4+E846*D846</f>
        <v>16</v>
      </c>
      <c r="G846" s="24" t="n">
        <f aca="false">Test1_Hand!$B$6*E846*D846+Test1_Hand!$B$7*MAX(0,F846-Test1_Hand!$B$5)</f>
        <v>0</v>
      </c>
      <c r="H846" s="2" t="n">
        <f aca="false">IF(B846&lt;Test1_Hand!$B$13,1,0)</f>
        <v>0</v>
      </c>
      <c r="I846" s="23" t="n">
        <f aca="false">Test1_Hand!$B$4+H846*D846</f>
        <v>16</v>
      </c>
      <c r="J846" s="24" t="n">
        <f aca="false">Test1_Hand!$B$6*H846*D846+Test1_Hand!$B$7*MAX(0,I846-Test1_Hand!$B$5)+Test1_Hand!$B$14</f>
        <v>6000</v>
      </c>
    </row>
    <row r="847" customFormat="false" ht="15" hidden="false" customHeight="false" outlineLevel="0" collapsed="false">
      <c r="A847" s="2" t="n">
        <v>835</v>
      </c>
      <c r="B847" s="22" t="n">
        <v>0.330559499930987</v>
      </c>
      <c r="C847" s="22" t="n">
        <v>0.383005534980259</v>
      </c>
      <c r="D847" s="23" t="n">
        <f aca="false">BETAINV(C847,Test1_Hand!$B$21,Test1_Hand!$B$22,Test1_Hand!$B$9,Test1_Hand!$B$11)</f>
        <v>2.97738656930384</v>
      </c>
      <c r="E847" s="2" t="n">
        <f aca="false">IF(B847&lt;Test1_Hand!$B$12,1,0)</f>
        <v>1</v>
      </c>
      <c r="F847" s="23" t="n">
        <f aca="false">Test1_Hand!$B$4+E847*D847</f>
        <v>18.9773865693038</v>
      </c>
      <c r="G847" s="24" t="n">
        <f aca="false">Test1_Hand!$B$6*E847*D847+Test1_Hand!$B$7*MAX(0,F847-Test1_Hand!$B$5)</f>
        <v>23819.0925544307</v>
      </c>
      <c r="H847" s="2" t="n">
        <f aca="false">IF(B847&lt;Test1_Hand!$B$13,1,0)</f>
        <v>0</v>
      </c>
      <c r="I847" s="23" t="n">
        <f aca="false">Test1_Hand!$B$4+H847*D847</f>
        <v>16</v>
      </c>
      <c r="J847" s="24" t="n">
        <f aca="false">Test1_Hand!$B$6*H847*D847+Test1_Hand!$B$7*MAX(0,I847-Test1_Hand!$B$5)+Test1_Hand!$B$14</f>
        <v>6000</v>
      </c>
    </row>
    <row r="848" customFormat="false" ht="15" hidden="false" customHeight="false" outlineLevel="0" collapsed="false">
      <c r="A848" s="2" t="n">
        <v>836</v>
      </c>
      <c r="B848" s="22" t="n">
        <v>0.126567292664198</v>
      </c>
      <c r="C848" s="22" t="n">
        <v>0.631777631669702</v>
      </c>
      <c r="D848" s="23" t="n">
        <f aca="false">BETAINV(C848,Test1_Hand!$B$21,Test1_Hand!$B$22,Test1_Hand!$B$9,Test1_Hand!$B$11)</f>
        <v>3.86959436619426</v>
      </c>
      <c r="E848" s="2" t="n">
        <f aca="false">IF(B848&lt;Test1_Hand!$B$12,1,0)</f>
        <v>1</v>
      </c>
      <c r="F848" s="23" t="n">
        <f aca="false">Test1_Hand!$B$4+E848*D848</f>
        <v>19.8695943661943</v>
      </c>
      <c r="G848" s="24" t="n">
        <f aca="false">Test1_Hand!$B$6*E848*D848+Test1_Hand!$B$7*MAX(0,F848-Test1_Hand!$B$5)</f>
        <v>30956.7549295541</v>
      </c>
      <c r="H848" s="2" t="n">
        <f aca="false">IF(B848&lt;Test1_Hand!$B$13,1,0)</f>
        <v>1</v>
      </c>
      <c r="I848" s="23" t="n">
        <f aca="false">Test1_Hand!$B$4+H848*D848</f>
        <v>19.8695943661943</v>
      </c>
      <c r="J848" s="24" t="n">
        <f aca="false">Test1_Hand!$B$6*H848*D848+Test1_Hand!$B$7*MAX(0,I848-Test1_Hand!$B$5)+Test1_Hand!$B$14</f>
        <v>36956.7549295541</v>
      </c>
    </row>
    <row r="849" customFormat="false" ht="15" hidden="false" customHeight="false" outlineLevel="0" collapsed="false">
      <c r="A849" s="2" t="n">
        <v>837</v>
      </c>
      <c r="B849" s="22" t="n">
        <v>0.985878947381886</v>
      </c>
      <c r="C849" s="22" t="n">
        <v>0.923268592220739</v>
      </c>
      <c r="D849" s="23" t="n">
        <f aca="false">BETAINV(C849,Test1_Hand!$B$21,Test1_Hand!$B$22,Test1_Hand!$B$9,Test1_Hand!$B$11)</f>
        <v>5.47857080838723</v>
      </c>
      <c r="E849" s="2" t="n">
        <f aca="false">IF(B849&lt;Test1_Hand!$B$12,1,0)</f>
        <v>0</v>
      </c>
      <c r="F849" s="23" t="n">
        <f aca="false">Test1_Hand!$B$4+E849*D849</f>
        <v>16</v>
      </c>
      <c r="G849" s="24" t="n">
        <f aca="false">Test1_Hand!$B$6*E849*D849+Test1_Hand!$B$7*MAX(0,F849-Test1_Hand!$B$5)</f>
        <v>0</v>
      </c>
      <c r="H849" s="2" t="n">
        <f aca="false">IF(B849&lt;Test1_Hand!$B$13,1,0)</f>
        <v>0</v>
      </c>
      <c r="I849" s="23" t="n">
        <f aca="false">Test1_Hand!$B$4+H849*D849</f>
        <v>16</v>
      </c>
      <c r="J849" s="24" t="n">
        <f aca="false">Test1_Hand!$B$6*H849*D849+Test1_Hand!$B$7*MAX(0,I849-Test1_Hand!$B$5)+Test1_Hand!$B$14</f>
        <v>6000</v>
      </c>
    </row>
    <row r="850" customFormat="false" ht="15" hidden="false" customHeight="false" outlineLevel="0" collapsed="false">
      <c r="A850" s="2" t="n">
        <v>838</v>
      </c>
      <c r="B850" s="22" t="n">
        <v>0.0674274320085161</v>
      </c>
      <c r="C850" s="22" t="n">
        <v>0.533677433499768</v>
      </c>
      <c r="D850" s="23" t="n">
        <f aca="false">BETAINV(C850,Test1_Hand!$B$21,Test1_Hand!$B$22,Test1_Hand!$B$9,Test1_Hand!$B$11)</f>
        <v>3.50251526783661</v>
      </c>
      <c r="E850" s="2" t="n">
        <f aca="false">IF(B850&lt;Test1_Hand!$B$12,1,0)</f>
        <v>1</v>
      </c>
      <c r="F850" s="23" t="n">
        <f aca="false">Test1_Hand!$B$4+E850*D850</f>
        <v>19.5025152678366</v>
      </c>
      <c r="G850" s="24" t="n">
        <f aca="false">Test1_Hand!$B$6*E850*D850+Test1_Hand!$B$7*MAX(0,F850-Test1_Hand!$B$5)</f>
        <v>28020.1221426929</v>
      </c>
      <c r="H850" s="2" t="n">
        <f aca="false">IF(B850&lt;Test1_Hand!$B$13,1,0)</f>
        <v>1</v>
      </c>
      <c r="I850" s="23" t="n">
        <f aca="false">Test1_Hand!$B$4+H850*D850</f>
        <v>19.5025152678366</v>
      </c>
      <c r="J850" s="24" t="n">
        <f aca="false">Test1_Hand!$B$6*H850*D850+Test1_Hand!$B$7*MAX(0,I850-Test1_Hand!$B$5)+Test1_Hand!$B$14</f>
        <v>34020.1221426929</v>
      </c>
    </row>
    <row r="851" customFormat="false" ht="15" hidden="false" customHeight="false" outlineLevel="0" collapsed="false">
      <c r="A851" s="2" t="n">
        <v>839</v>
      </c>
      <c r="B851" s="22" t="n">
        <v>0.340480833711909</v>
      </c>
      <c r="C851" s="22" t="n">
        <v>0.981314331408241</v>
      </c>
      <c r="D851" s="23" t="n">
        <f aca="false">BETAINV(C851,Test1_Hand!$B$21,Test1_Hand!$B$22,Test1_Hand!$B$9,Test1_Hand!$B$11)</f>
        <v>6.31506457781951</v>
      </c>
      <c r="E851" s="2" t="n">
        <f aca="false">IF(B851&lt;Test1_Hand!$B$12,1,0)</f>
        <v>1</v>
      </c>
      <c r="F851" s="23" t="n">
        <f aca="false">Test1_Hand!$B$4+E851*D851</f>
        <v>22.3150645778195</v>
      </c>
      <c r="G851" s="24" t="n">
        <f aca="false">Test1_Hand!$B$6*E851*D851+Test1_Hand!$B$7*MAX(0,F851-Test1_Hand!$B$5)</f>
        <v>62095.8395116537</v>
      </c>
      <c r="H851" s="2" t="n">
        <f aca="false">IF(B851&lt;Test1_Hand!$B$13,1,0)</f>
        <v>0</v>
      </c>
      <c r="I851" s="23" t="n">
        <f aca="false">Test1_Hand!$B$4+H851*D851</f>
        <v>16</v>
      </c>
      <c r="J851" s="24" t="n">
        <f aca="false">Test1_Hand!$B$6*H851*D851+Test1_Hand!$B$7*MAX(0,I851-Test1_Hand!$B$5)+Test1_Hand!$B$14</f>
        <v>6000</v>
      </c>
    </row>
    <row r="852" customFormat="false" ht="15" hidden="false" customHeight="false" outlineLevel="0" collapsed="false">
      <c r="A852" s="2" t="n">
        <v>840</v>
      </c>
      <c r="B852" s="22" t="n">
        <v>0.646384618784356</v>
      </c>
      <c r="C852" s="22" t="n">
        <v>0.803122419101355</v>
      </c>
      <c r="D852" s="23" t="n">
        <f aca="false">BETAINV(C852,Test1_Hand!$B$21,Test1_Hand!$B$22,Test1_Hand!$B$9,Test1_Hand!$B$11)</f>
        <v>4.64266319990731</v>
      </c>
      <c r="E852" s="2" t="n">
        <f aca="false">IF(B852&lt;Test1_Hand!$B$12,1,0)</f>
        <v>0</v>
      </c>
      <c r="F852" s="23" t="n">
        <f aca="false">Test1_Hand!$B$4+E852*D852</f>
        <v>16</v>
      </c>
      <c r="G852" s="24" t="n">
        <f aca="false">Test1_Hand!$B$6*E852*D852+Test1_Hand!$B$7*MAX(0,F852-Test1_Hand!$B$5)</f>
        <v>0</v>
      </c>
      <c r="H852" s="2" t="n">
        <f aca="false">IF(B852&lt;Test1_Hand!$B$13,1,0)</f>
        <v>0</v>
      </c>
      <c r="I852" s="23" t="n">
        <f aca="false">Test1_Hand!$B$4+H852*D852</f>
        <v>16</v>
      </c>
      <c r="J852" s="24" t="n">
        <f aca="false">Test1_Hand!$B$6*H852*D852+Test1_Hand!$B$7*MAX(0,I852-Test1_Hand!$B$5)+Test1_Hand!$B$14</f>
        <v>6000</v>
      </c>
    </row>
    <row r="853" customFormat="false" ht="15" hidden="false" customHeight="false" outlineLevel="0" collapsed="false">
      <c r="A853" s="2" t="n">
        <v>841</v>
      </c>
      <c r="B853" s="22" t="n">
        <v>0.0292669136410949</v>
      </c>
      <c r="C853" s="22" t="n">
        <v>0.563743247267769</v>
      </c>
      <c r="D853" s="23" t="n">
        <f aca="false">BETAINV(C853,Test1_Hand!$B$21,Test1_Hand!$B$22,Test1_Hand!$B$9,Test1_Hand!$B$11)</f>
        <v>3.6117785666565</v>
      </c>
      <c r="E853" s="2" t="n">
        <f aca="false">IF(B853&lt;Test1_Hand!$B$12,1,0)</f>
        <v>1</v>
      </c>
      <c r="F853" s="23" t="n">
        <f aca="false">Test1_Hand!$B$4+E853*D853</f>
        <v>19.6117785666565</v>
      </c>
      <c r="G853" s="24" t="n">
        <f aca="false">Test1_Hand!$B$6*E853*D853+Test1_Hand!$B$7*MAX(0,F853-Test1_Hand!$B$5)</f>
        <v>28894.228533252</v>
      </c>
      <c r="H853" s="2" t="n">
        <f aca="false">IF(B853&lt;Test1_Hand!$B$13,1,0)</f>
        <v>1</v>
      </c>
      <c r="I853" s="23" t="n">
        <f aca="false">Test1_Hand!$B$4+H853*D853</f>
        <v>19.6117785666565</v>
      </c>
      <c r="J853" s="24" t="n">
        <f aca="false">Test1_Hand!$B$6*H853*D853+Test1_Hand!$B$7*MAX(0,I853-Test1_Hand!$B$5)+Test1_Hand!$B$14</f>
        <v>34894.228533252</v>
      </c>
    </row>
    <row r="854" customFormat="false" ht="15" hidden="false" customHeight="false" outlineLevel="0" collapsed="false">
      <c r="A854" s="2" t="n">
        <v>842</v>
      </c>
      <c r="B854" s="22" t="n">
        <v>0.233527754767885</v>
      </c>
      <c r="C854" s="22" t="n">
        <v>0.389779729453791</v>
      </c>
      <c r="D854" s="23" t="n">
        <f aca="false">BETAINV(C854,Test1_Hand!$B$21,Test1_Hand!$B$22,Test1_Hand!$B$9,Test1_Hand!$B$11)</f>
        <v>3.00064554078044</v>
      </c>
      <c r="E854" s="2" t="n">
        <f aca="false">IF(B854&lt;Test1_Hand!$B$12,1,0)</f>
        <v>1</v>
      </c>
      <c r="F854" s="23" t="n">
        <f aca="false">Test1_Hand!$B$4+E854*D854</f>
        <v>19.0006455407804</v>
      </c>
      <c r="G854" s="24" t="n">
        <f aca="false">Test1_Hand!$B$6*E854*D854+Test1_Hand!$B$7*MAX(0,F854-Test1_Hand!$B$5)</f>
        <v>24005.1643262436</v>
      </c>
      <c r="H854" s="2" t="n">
        <f aca="false">IF(B854&lt;Test1_Hand!$B$13,1,0)</f>
        <v>0</v>
      </c>
      <c r="I854" s="23" t="n">
        <f aca="false">Test1_Hand!$B$4+H854*D854</f>
        <v>16</v>
      </c>
      <c r="J854" s="24" t="n">
        <f aca="false">Test1_Hand!$B$6*H854*D854+Test1_Hand!$B$7*MAX(0,I854-Test1_Hand!$B$5)+Test1_Hand!$B$14</f>
        <v>6000</v>
      </c>
    </row>
    <row r="855" customFormat="false" ht="15" hidden="false" customHeight="false" outlineLevel="0" collapsed="false">
      <c r="A855" s="2" t="n">
        <v>843</v>
      </c>
      <c r="B855" s="22" t="n">
        <v>0.482892992965691</v>
      </c>
      <c r="C855" s="22" t="n">
        <v>0.666778411052875</v>
      </c>
      <c r="D855" s="23" t="n">
        <f aca="false">BETAINV(C855,Test1_Hand!$B$21,Test1_Hand!$B$22,Test1_Hand!$B$9,Test1_Hand!$B$11)</f>
        <v>4.00988396812726</v>
      </c>
      <c r="E855" s="2" t="n">
        <f aca="false">IF(B855&lt;Test1_Hand!$B$12,1,0)</f>
        <v>1</v>
      </c>
      <c r="F855" s="23" t="n">
        <f aca="false">Test1_Hand!$B$4+E855*D855</f>
        <v>20.0098839681273</v>
      </c>
      <c r="G855" s="24" t="n">
        <f aca="false">Test1_Hand!$B$6*E855*D855+Test1_Hand!$B$7*MAX(0,F855-Test1_Hand!$B$5)</f>
        <v>32128.4915856544</v>
      </c>
      <c r="H855" s="2" t="n">
        <f aca="false">IF(B855&lt;Test1_Hand!$B$13,1,0)</f>
        <v>0</v>
      </c>
      <c r="I855" s="23" t="n">
        <f aca="false">Test1_Hand!$B$4+H855*D855</f>
        <v>16</v>
      </c>
      <c r="J855" s="24" t="n">
        <f aca="false">Test1_Hand!$B$6*H855*D855+Test1_Hand!$B$7*MAX(0,I855-Test1_Hand!$B$5)+Test1_Hand!$B$14</f>
        <v>6000</v>
      </c>
    </row>
    <row r="856" customFormat="false" ht="15" hidden="false" customHeight="false" outlineLevel="0" collapsed="false">
      <c r="A856" s="2" t="n">
        <v>844</v>
      </c>
      <c r="B856" s="22" t="n">
        <v>0.391003327817696</v>
      </c>
      <c r="C856" s="22" t="n">
        <v>0.827544975876258</v>
      </c>
      <c r="D856" s="23" t="n">
        <f aca="false">BETAINV(C856,Test1_Hand!$B$21,Test1_Hand!$B$22,Test1_Hand!$B$9,Test1_Hand!$B$11)</f>
        <v>4.7795841861128</v>
      </c>
      <c r="E856" s="2" t="n">
        <f aca="false">IF(B856&lt;Test1_Hand!$B$12,1,0)</f>
        <v>1</v>
      </c>
      <c r="F856" s="23" t="n">
        <f aca="false">Test1_Hand!$B$4+E856*D856</f>
        <v>20.7795841861128</v>
      </c>
      <c r="G856" s="24" t="n">
        <f aca="false">Test1_Hand!$B$6*E856*D856+Test1_Hand!$B$7*MAX(0,F856-Test1_Hand!$B$5)</f>
        <v>42134.5944194664</v>
      </c>
      <c r="H856" s="2" t="n">
        <f aca="false">IF(B856&lt;Test1_Hand!$B$13,1,0)</f>
        <v>0</v>
      </c>
      <c r="I856" s="23" t="n">
        <f aca="false">Test1_Hand!$B$4+H856*D856</f>
        <v>16</v>
      </c>
      <c r="J856" s="24" t="n">
        <f aca="false">Test1_Hand!$B$6*H856*D856+Test1_Hand!$B$7*MAX(0,I856-Test1_Hand!$B$5)+Test1_Hand!$B$14</f>
        <v>6000</v>
      </c>
    </row>
    <row r="857" customFormat="false" ht="15" hidden="false" customHeight="false" outlineLevel="0" collapsed="false">
      <c r="A857" s="2" t="n">
        <v>845</v>
      </c>
      <c r="B857" s="22" t="n">
        <v>0.361099163064982</v>
      </c>
      <c r="C857" s="22" t="n">
        <v>0.247056196631126</v>
      </c>
      <c r="D857" s="23" t="n">
        <f aca="false">BETAINV(C857,Test1_Hand!$B$21,Test1_Hand!$B$22,Test1_Hand!$B$9,Test1_Hand!$B$11)</f>
        <v>2.50177329074292</v>
      </c>
      <c r="E857" s="2" t="n">
        <f aca="false">IF(B857&lt;Test1_Hand!$B$12,1,0)</f>
        <v>1</v>
      </c>
      <c r="F857" s="23" t="n">
        <f aca="false">Test1_Hand!$B$4+E857*D857</f>
        <v>18.5017732907429</v>
      </c>
      <c r="G857" s="24" t="n">
        <f aca="false">Test1_Hand!$B$6*E857*D857+Test1_Hand!$B$7*MAX(0,F857-Test1_Hand!$B$5)</f>
        <v>20014.1863259434</v>
      </c>
      <c r="H857" s="2" t="n">
        <f aca="false">IF(B857&lt;Test1_Hand!$B$13,1,0)</f>
        <v>0</v>
      </c>
      <c r="I857" s="23" t="n">
        <f aca="false">Test1_Hand!$B$4+H857*D857</f>
        <v>16</v>
      </c>
      <c r="J857" s="24" t="n">
        <f aca="false">Test1_Hand!$B$6*H857*D857+Test1_Hand!$B$7*MAX(0,I857-Test1_Hand!$B$5)+Test1_Hand!$B$14</f>
        <v>6000</v>
      </c>
    </row>
    <row r="858" customFormat="false" ht="15" hidden="false" customHeight="false" outlineLevel="0" collapsed="false">
      <c r="A858" s="2" t="n">
        <v>846</v>
      </c>
      <c r="B858" s="22" t="n">
        <v>0.488291163499916</v>
      </c>
      <c r="C858" s="22" t="n">
        <v>0.883326875405121</v>
      </c>
      <c r="D858" s="23" t="n">
        <f aca="false">BETAINV(C858,Test1_Hand!$B$21,Test1_Hand!$B$22,Test1_Hand!$B$9,Test1_Hand!$B$11)</f>
        <v>5.14342218057058</v>
      </c>
      <c r="E858" s="2" t="n">
        <f aca="false">IF(B858&lt;Test1_Hand!$B$12,1,0)</f>
        <v>1</v>
      </c>
      <c r="F858" s="23" t="n">
        <f aca="false">Test1_Hand!$B$4+E858*D858</f>
        <v>21.1434221805706</v>
      </c>
      <c r="G858" s="24" t="n">
        <f aca="false">Test1_Hand!$B$6*E858*D858+Test1_Hand!$B$7*MAX(0,F858-Test1_Hand!$B$5)</f>
        <v>46864.4883474176</v>
      </c>
      <c r="H858" s="2" t="n">
        <f aca="false">IF(B858&lt;Test1_Hand!$B$13,1,0)</f>
        <v>0</v>
      </c>
      <c r="I858" s="23" t="n">
        <f aca="false">Test1_Hand!$B$4+H858*D858</f>
        <v>16</v>
      </c>
      <c r="J858" s="24" t="n">
        <f aca="false">Test1_Hand!$B$6*H858*D858+Test1_Hand!$B$7*MAX(0,I858-Test1_Hand!$B$5)+Test1_Hand!$B$14</f>
        <v>6000</v>
      </c>
    </row>
    <row r="859" customFormat="false" ht="15" hidden="false" customHeight="false" outlineLevel="0" collapsed="false">
      <c r="A859" s="2" t="n">
        <v>847</v>
      </c>
      <c r="B859" s="22" t="n">
        <v>0.971658469526425</v>
      </c>
      <c r="C859" s="22" t="n">
        <v>0.116697200780946</v>
      </c>
      <c r="D859" s="23" t="n">
        <f aca="false">BETAINV(C859,Test1_Hand!$B$21,Test1_Hand!$B$22,Test1_Hand!$B$9,Test1_Hand!$B$11)</f>
        <v>1.98260583384659</v>
      </c>
      <c r="E859" s="2" t="n">
        <f aca="false">IF(B859&lt;Test1_Hand!$B$12,1,0)</f>
        <v>0</v>
      </c>
      <c r="F859" s="23" t="n">
        <f aca="false">Test1_Hand!$B$4+E859*D859</f>
        <v>16</v>
      </c>
      <c r="G859" s="24" t="n">
        <f aca="false">Test1_Hand!$B$6*E859*D859+Test1_Hand!$B$7*MAX(0,F859-Test1_Hand!$B$5)</f>
        <v>0</v>
      </c>
      <c r="H859" s="2" t="n">
        <f aca="false">IF(B859&lt;Test1_Hand!$B$13,1,0)</f>
        <v>0</v>
      </c>
      <c r="I859" s="23" t="n">
        <f aca="false">Test1_Hand!$B$4+H859*D859</f>
        <v>16</v>
      </c>
      <c r="J859" s="24" t="n">
        <f aca="false">Test1_Hand!$B$6*H859*D859+Test1_Hand!$B$7*MAX(0,I859-Test1_Hand!$B$5)+Test1_Hand!$B$14</f>
        <v>6000</v>
      </c>
    </row>
    <row r="860" customFormat="false" ht="15" hidden="false" customHeight="false" outlineLevel="0" collapsed="false">
      <c r="A860" s="2" t="n">
        <v>848</v>
      </c>
      <c r="B860" s="22" t="n">
        <v>0.163732171840804</v>
      </c>
      <c r="C860" s="22" t="n">
        <v>0.0756756578894672</v>
      </c>
      <c r="D860" s="23" t="n">
        <f aca="false">BETAINV(C860,Test1_Hand!$B$21,Test1_Hand!$B$22,Test1_Hand!$B$9,Test1_Hand!$B$11)</f>
        <v>1.78054842916661</v>
      </c>
      <c r="E860" s="2" t="n">
        <f aca="false">IF(B860&lt;Test1_Hand!$B$12,1,0)</f>
        <v>1</v>
      </c>
      <c r="F860" s="23" t="n">
        <f aca="false">Test1_Hand!$B$4+E860*D860</f>
        <v>17.7805484291666</v>
      </c>
      <c r="G860" s="24" t="n">
        <f aca="false">Test1_Hand!$B$6*E860*D860+Test1_Hand!$B$7*MAX(0,F860-Test1_Hand!$B$5)</f>
        <v>14244.3874333329</v>
      </c>
      <c r="H860" s="2" t="n">
        <f aca="false">IF(B860&lt;Test1_Hand!$B$13,1,0)</f>
        <v>1</v>
      </c>
      <c r="I860" s="23" t="n">
        <f aca="false">Test1_Hand!$B$4+H860*D860</f>
        <v>17.7805484291666</v>
      </c>
      <c r="J860" s="24" t="n">
        <f aca="false">Test1_Hand!$B$6*H860*D860+Test1_Hand!$B$7*MAX(0,I860-Test1_Hand!$B$5)+Test1_Hand!$B$14</f>
        <v>20244.3874333329</v>
      </c>
    </row>
    <row r="861" customFormat="false" ht="15" hidden="false" customHeight="false" outlineLevel="0" collapsed="false">
      <c r="A861" s="2" t="n">
        <v>849</v>
      </c>
      <c r="B861" s="22" t="n">
        <v>0.147823800597712</v>
      </c>
      <c r="C861" s="22" t="n">
        <v>0.888346814301117</v>
      </c>
      <c r="D861" s="23" t="n">
        <f aca="false">BETAINV(C861,Test1_Hand!$B$21,Test1_Hand!$B$22,Test1_Hand!$B$9,Test1_Hand!$B$11)</f>
        <v>5.18104792822569</v>
      </c>
      <c r="E861" s="2" t="n">
        <f aca="false">IF(B861&lt;Test1_Hand!$B$12,1,0)</f>
        <v>1</v>
      </c>
      <c r="F861" s="23" t="n">
        <f aca="false">Test1_Hand!$B$4+E861*D861</f>
        <v>21.1810479282257</v>
      </c>
      <c r="G861" s="24" t="n">
        <f aca="false">Test1_Hand!$B$6*E861*D861+Test1_Hand!$B$7*MAX(0,F861-Test1_Hand!$B$5)</f>
        <v>47353.623066934</v>
      </c>
      <c r="H861" s="2" t="n">
        <f aca="false">IF(B861&lt;Test1_Hand!$B$13,1,0)</f>
        <v>1</v>
      </c>
      <c r="I861" s="23" t="n">
        <f aca="false">Test1_Hand!$B$4+H861*D861</f>
        <v>21.1810479282257</v>
      </c>
      <c r="J861" s="24" t="n">
        <f aca="false">Test1_Hand!$B$6*H861*D861+Test1_Hand!$B$7*MAX(0,I861-Test1_Hand!$B$5)+Test1_Hand!$B$14</f>
        <v>53353.623066934</v>
      </c>
    </row>
    <row r="862" customFormat="false" ht="15" hidden="false" customHeight="false" outlineLevel="0" collapsed="false">
      <c r="A862" s="2" t="n">
        <v>850</v>
      </c>
      <c r="B862" s="22" t="n">
        <v>0.715296289083329</v>
      </c>
      <c r="C862" s="22" t="n">
        <v>0.786244719580365</v>
      </c>
      <c r="D862" s="23" t="n">
        <f aca="false">BETAINV(C862,Test1_Hand!$B$21,Test1_Hand!$B$22,Test1_Hand!$B$9,Test1_Hand!$B$11)</f>
        <v>4.5536552498738</v>
      </c>
      <c r="E862" s="2" t="n">
        <f aca="false">IF(B862&lt;Test1_Hand!$B$12,1,0)</f>
        <v>0</v>
      </c>
      <c r="F862" s="23" t="n">
        <f aca="false">Test1_Hand!$B$4+E862*D862</f>
        <v>16</v>
      </c>
      <c r="G862" s="24" t="n">
        <f aca="false">Test1_Hand!$B$6*E862*D862+Test1_Hand!$B$7*MAX(0,F862-Test1_Hand!$B$5)</f>
        <v>0</v>
      </c>
      <c r="H862" s="2" t="n">
        <f aca="false">IF(B862&lt;Test1_Hand!$B$13,1,0)</f>
        <v>0</v>
      </c>
      <c r="I862" s="23" t="n">
        <f aca="false">Test1_Hand!$B$4+H862*D862</f>
        <v>16</v>
      </c>
      <c r="J862" s="24" t="n">
        <f aca="false">Test1_Hand!$B$6*H862*D862+Test1_Hand!$B$7*MAX(0,I862-Test1_Hand!$B$5)+Test1_Hand!$B$14</f>
        <v>6000</v>
      </c>
    </row>
    <row r="863" customFormat="false" ht="15" hidden="false" customHeight="false" outlineLevel="0" collapsed="false">
      <c r="A863" s="2" t="n">
        <v>851</v>
      </c>
      <c r="B863" s="22" t="n">
        <v>0.763599744940831</v>
      </c>
      <c r="C863" s="22" t="n">
        <v>0.326845353817577</v>
      </c>
      <c r="D863" s="23" t="n">
        <f aca="false">BETAINV(C863,Test1_Hand!$B$21,Test1_Hand!$B$22,Test1_Hand!$B$9,Test1_Hand!$B$11)</f>
        <v>2.78387492150727</v>
      </c>
      <c r="E863" s="2" t="n">
        <f aca="false">IF(B863&lt;Test1_Hand!$B$12,1,0)</f>
        <v>0</v>
      </c>
      <c r="F863" s="23" t="n">
        <f aca="false">Test1_Hand!$B$4+E863*D863</f>
        <v>16</v>
      </c>
      <c r="G863" s="24" t="n">
        <f aca="false">Test1_Hand!$B$6*E863*D863+Test1_Hand!$B$7*MAX(0,F863-Test1_Hand!$B$5)</f>
        <v>0</v>
      </c>
      <c r="H863" s="2" t="n">
        <f aca="false">IF(B863&lt;Test1_Hand!$B$13,1,0)</f>
        <v>0</v>
      </c>
      <c r="I863" s="23" t="n">
        <f aca="false">Test1_Hand!$B$4+H863*D863</f>
        <v>16</v>
      </c>
      <c r="J863" s="24" t="n">
        <f aca="false">Test1_Hand!$B$6*H863*D863+Test1_Hand!$B$7*MAX(0,I863-Test1_Hand!$B$5)+Test1_Hand!$B$14</f>
        <v>6000</v>
      </c>
    </row>
    <row r="864" customFormat="false" ht="15" hidden="false" customHeight="false" outlineLevel="0" collapsed="false">
      <c r="A864" s="2" t="n">
        <v>852</v>
      </c>
      <c r="B864" s="22" t="n">
        <v>0.401145470721262</v>
      </c>
      <c r="C864" s="22" t="n">
        <v>0.347326493954402</v>
      </c>
      <c r="D864" s="23" t="n">
        <f aca="false">BETAINV(C864,Test1_Hand!$B$21,Test1_Hand!$B$22,Test1_Hand!$B$9,Test1_Hand!$B$11)</f>
        <v>2.85467957896746</v>
      </c>
      <c r="E864" s="2" t="n">
        <f aca="false">IF(B864&lt;Test1_Hand!$B$12,1,0)</f>
        <v>1</v>
      </c>
      <c r="F864" s="23" t="n">
        <f aca="false">Test1_Hand!$B$4+E864*D864</f>
        <v>18.8546795789675</v>
      </c>
      <c r="G864" s="24" t="n">
        <f aca="false">Test1_Hand!$B$6*E864*D864+Test1_Hand!$B$7*MAX(0,F864-Test1_Hand!$B$5)</f>
        <v>22837.4366317397</v>
      </c>
      <c r="H864" s="2" t="n">
        <f aca="false">IF(B864&lt;Test1_Hand!$B$13,1,0)</f>
        <v>0</v>
      </c>
      <c r="I864" s="23" t="n">
        <f aca="false">Test1_Hand!$B$4+H864*D864</f>
        <v>16</v>
      </c>
      <c r="J864" s="24" t="n">
        <f aca="false">Test1_Hand!$B$6*H864*D864+Test1_Hand!$B$7*MAX(0,I864-Test1_Hand!$B$5)+Test1_Hand!$B$14</f>
        <v>6000</v>
      </c>
    </row>
    <row r="865" customFormat="false" ht="15" hidden="false" customHeight="false" outlineLevel="0" collapsed="false">
      <c r="A865" s="2" t="n">
        <v>853</v>
      </c>
      <c r="B865" s="22" t="n">
        <v>0.521766070172381</v>
      </c>
      <c r="C865" s="22" t="n">
        <v>0.0811360496471708</v>
      </c>
      <c r="D865" s="23" t="n">
        <f aca="false">BETAINV(C865,Test1_Hand!$B$21,Test1_Hand!$B$22,Test1_Hand!$B$9,Test1_Hand!$B$11)</f>
        <v>1.80958261133928</v>
      </c>
      <c r="E865" s="2" t="n">
        <f aca="false">IF(B865&lt;Test1_Hand!$B$12,1,0)</f>
        <v>0</v>
      </c>
      <c r="F865" s="23" t="n">
        <f aca="false">Test1_Hand!$B$4+E865*D865</f>
        <v>16</v>
      </c>
      <c r="G865" s="24" t="n">
        <f aca="false">Test1_Hand!$B$6*E865*D865+Test1_Hand!$B$7*MAX(0,F865-Test1_Hand!$B$5)</f>
        <v>0</v>
      </c>
      <c r="H865" s="2" t="n">
        <f aca="false">IF(B865&lt;Test1_Hand!$B$13,1,0)</f>
        <v>0</v>
      </c>
      <c r="I865" s="23" t="n">
        <f aca="false">Test1_Hand!$B$4+H865*D865</f>
        <v>16</v>
      </c>
      <c r="J865" s="24" t="n">
        <f aca="false">Test1_Hand!$B$6*H865*D865+Test1_Hand!$B$7*MAX(0,I865-Test1_Hand!$B$5)+Test1_Hand!$B$14</f>
        <v>6000</v>
      </c>
    </row>
    <row r="866" customFormat="false" ht="15" hidden="false" customHeight="false" outlineLevel="0" collapsed="false">
      <c r="A866" s="2" t="n">
        <v>854</v>
      </c>
      <c r="B866" s="22" t="n">
        <v>0.523383292842107</v>
      </c>
      <c r="C866" s="22" t="n">
        <v>0.441958853921568</v>
      </c>
      <c r="D866" s="23" t="n">
        <f aca="false">BETAINV(C866,Test1_Hand!$B$21,Test1_Hand!$B$22,Test1_Hand!$B$9,Test1_Hand!$B$11)</f>
        <v>3.18017423079307</v>
      </c>
      <c r="E866" s="2" t="n">
        <f aca="false">IF(B866&lt;Test1_Hand!$B$12,1,0)</f>
        <v>0</v>
      </c>
      <c r="F866" s="23" t="n">
        <f aca="false">Test1_Hand!$B$4+E866*D866</f>
        <v>16</v>
      </c>
      <c r="G866" s="24" t="n">
        <f aca="false">Test1_Hand!$B$6*E866*D866+Test1_Hand!$B$7*MAX(0,F866-Test1_Hand!$B$5)</f>
        <v>0</v>
      </c>
      <c r="H866" s="2" t="n">
        <f aca="false">IF(B866&lt;Test1_Hand!$B$13,1,0)</f>
        <v>0</v>
      </c>
      <c r="I866" s="23" t="n">
        <f aca="false">Test1_Hand!$B$4+H866*D866</f>
        <v>16</v>
      </c>
      <c r="J866" s="24" t="n">
        <f aca="false">Test1_Hand!$B$6*H866*D866+Test1_Hand!$B$7*MAX(0,I866-Test1_Hand!$B$5)+Test1_Hand!$B$14</f>
        <v>6000</v>
      </c>
    </row>
    <row r="867" customFormat="false" ht="15" hidden="false" customHeight="false" outlineLevel="0" collapsed="false">
      <c r="A867" s="2" t="n">
        <v>855</v>
      </c>
      <c r="B867" s="22" t="n">
        <v>0.574388313940108</v>
      </c>
      <c r="C867" s="22" t="n">
        <v>0.92128348405773</v>
      </c>
      <c r="D867" s="23" t="n">
        <f aca="false">BETAINV(C867,Test1_Hand!$B$21,Test1_Hand!$B$22,Test1_Hand!$B$9,Test1_Hand!$B$11)</f>
        <v>5.45954889533845</v>
      </c>
      <c r="E867" s="2" t="n">
        <f aca="false">IF(B867&lt;Test1_Hand!$B$12,1,0)</f>
        <v>0</v>
      </c>
      <c r="F867" s="23" t="n">
        <f aca="false">Test1_Hand!$B$4+E867*D867</f>
        <v>16</v>
      </c>
      <c r="G867" s="24" t="n">
        <f aca="false">Test1_Hand!$B$6*E867*D867+Test1_Hand!$B$7*MAX(0,F867-Test1_Hand!$B$5)</f>
        <v>0</v>
      </c>
      <c r="H867" s="2" t="n">
        <f aca="false">IF(B867&lt;Test1_Hand!$B$13,1,0)</f>
        <v>0</v>
      </c>
      <c r="I867" s="23" t="n">
        <f aca="false">Test1_Hand!$B$4+H867*D867</f>
        <v>16</v>
      </c>
      <c r="J867" s="24" t="n">
        <f aca="false">Test1_Hand!$B$6*H867*D867+Test1_Hand!$B$7*MAX(0,I867-Test1_Hand!$B$5)+Test1_Hand!$B$14</f>
        <v>6000</v>
      </c>
    </row>
    <row r="868" customFormat="false" ht="15" hidden="false" customHeight="false" outlineLevel="0" collapsed="false">
      <c r="A868" s="2" t="n">
        <v>856</v>
      </c>
      <c r="B868" s="22" t="n">
        <v>0.93812122948718</v>
      </c>
      <c r="C868" s="22" t="n">
        <v>0.409581227309293</v>
      </c>
      <c r="D868" s="23" t="n">
        <f aca="false">BETAINV(C868,Test1_Hand!$B$21,Test1_Hand!$B$22,Test1_Hand!$B$9,Test1_Hand!$B$11)</f>
        <v>3.06865241295237</v>
      </c>
      <c r="E868" s="2" t="n">
        <f aca="false">IF(B868&lt;Test1_Hand!$B$12,1,0)</f>
        <v>0</v>
      </c>
      <c r="F868" s="23" t="n">
        <f aca="false">Test1_Hand!$B$4+E868*D868</f>
        <v>16</v>
      </c>
      <c r="G868" s="24" t="n">
        <f aca="false">Test1_Hand!$B$6*E868*D868+Test1_Hand!$B$7*MAX(0,F868-Test1_Hand!$B$5)</f>
        <v>0</v>
      </c>
      <c r="H868" s="2" t="n">
        <f aca="false">IF(B868&lt;Test1_Hand!$B$13,1,0)</f>
        <v>0</v>
      </c>
      <c r="I868" s="23" t="n">
        <f aca="false">Test1_Hand!$B$4+H868*D868</f>
        <v>16</v>
      </c>
      <c r="J868" s="24" t="n">
        <f aca="false">Test1_Hand!$B$6*H868*D868+Test1_Hand!$B$7*MAX(0,I868-Test1_Hand!$B$5)+Test1_Hand!$B$14</f>
        <v>6000</v>
      </c>
    </row>
    <row r="869" customFormat="false" ht="15" hidden="false" customHeight="false" outlineLevel="0" collapsed="false">
      <c r="A869" s="2" t="n">
        <v>857</v>
      </c>
      <c r="B869" s="22" t="n">
        <v>0.0948953019630786</v>
      </c>
      <c r="C869" s="22" t="n">
        <v>0.972662426336418</v>
      </c>
      <c r="D869" s="23" t="n">
        <f aca="false">BETAINV(C869,Test1_Hand!$B$21,Test1_Hand!$B$22,Test1_Hand!$B$9,Test1_Hand!$B$11)</f>
        <v>6.12549295846139</v>
      </c>
      <c r="E869" s="2" t="n">
        <f aca="false">IF(B869&lt;Test1_Hand!$B$12,1,0)</f>
        <v>1</v>
      </c>
      <c r="F869" s="23" t="n">
        <f aca="false">Test1_Hand!$B$4+E869*D869</f>
        <v>22.1254929584614</v>
      </c>
      <c r="G869" s="24" t="n">
        <f aca="false">Test1_Hand!$B$6*E869*D869+Test1_Hand!$B$7*MAX(0,F869-Test1_Hand!$B$5)</f>
        <v>59631.4084599981</v>
      </c>
      <c r="H869" s="2" t="n">
        <f aca="false">IF(B869&lt;Test1_Hand!$B$13,1,0)</f>
        <v>1</v>
      </c>
      <c r="I869" s="23" t="n">
        <f aca="false">Test1_Hand!$B$4+H869*D869</f>
        <v>22.1254929584614</v>
      </c>
      <c r="J869" s="24" t="n">
        <f aca="false">Test1_Hand!$B$6*H869*D869+Test1_Hand!$B$7*MAX(0,I869-Test1_Hand!$B$5)+Test1_Hand!$B$14</f>
        <v>65631.4084599981</v>
      </c>
    </row>
    <row r="870" customFormat="false" ht="15" hidden="false" customHeight="false" outlineLevel="0" collapsed="false">
      <c r="A870" s="2" t="n">
        <v>858</v>
      </c>
      <c r="B870" s="22" t="n">
        <v>0.163410812979651</v>
      </c>
      <c r="C870" s="22" t="n">
        <v>0.911463681351268</v>
      </c>
      <c r="D870" s="23" t="n">
        <f aca="false">BETAINV(C870,Test1_Hand!$B$21,Test1_Hand!$B$22,Test1_Hand!$B$9,Test1_Hand!$B$11)</f>
        <v>5.36975859954136</v>
      </c>
      <c r="E870" s="2" t="n">
        <f aca="false">IF(B870&lt;Test1_Hand!$B$12,1,0)</f>
        <v>1</v>
      </c>
      <c r="F870" s="23" t="n">
        <f aca="false">Test1_Hand!$B$4+E870*D870</f>
        <v>21.3697585995414</v>
      </c>
      <c r="G870" s="24" t="n">
        <f aca="false">Test1_Hand!$B$6*E870*D870+Test1_Hand!$B$7*MAX(0,F870-Test1_Hand!$B$5)</f>
        <v>49806.8617940377</v>
      </c>
      <c r="H870" s="2" t="n">
        <f aca="false">IF(B870&lt;Test1_Hand!$B$13,1,0)</f>
        <v>1</v>
      </c>
      <c r="I870" s="23" t="n">
        <f aca="false">Test1_Hand!$B$4+H870*D870</f>
        <v>21.3697585995414</v>
      </c>
      <c r="J870" s="24" t="n">
        <f aca="false">Test1_Hand!$B$6*H870*D870+Test1_Hand!$B$7*MAX(0,I870-Test1_Hand!$B$5)+Test1_Hand!$B$14</f>
        <v>55806.8617940377</v>
      </c>
    </row>
    <row r="871" customFormat="false" ht="15" hidden="false" customHeight="false" outlineLevel="0" collapsed="false">
      <c r="A871" s="2" t="n">
        <v>859</v>
      </c>
      <c r="B871" s="22" t="n">
        <v>0.118227701776705</v>
      </c>
      <c r="C871" s="22" t="n">
        <v>0.448168382247388</v>
      </c>
      <c r="D871" s="23" t="n">
        <f aca="false">BETAINV(C871,Test1_Hand!$B$21,Test1_Hand!$B$22,Test1_Hand!$B$9,Test1_Hand!$B$11)</f>
        <v>3.20164437981624</v>
      </c>
      <c r="E871" s="2" t="n">
        <f aca="false">IF(B871&lt;Test1_Hand!$B$12,1,0)</f>
        <v>1</v>
      </c>
      <c r="F871" s="23" t="n">
        <f aca="false">Test1_Hand!$B$4+E871*D871</f>
        <v>19.2016443798162</v>
      </c>
      <c r="G871" s="24" t="n">
        <f aca="false">Test1_Hand!$B$6*E871*D871+Test1_Hand!$B$7*MAX(0,F871-Test1_Hand!$B$5)</f>
        <v>25613.1550385299</v>
      </c>
      <c r="H871" s="2" t="n">
        <f aca="false">IF(B871&lt;Test1_Hand!$B$13,1,0)</f>
        <v>1</v>
      </c>
      <c r="I871" s="23" t="n">
        <f aca="false">Test1_Hand!$B$4+H871*D871</f>
        <v>19.2016443798162</v>
      </c>
      <c r="J871" s="24" t="n">
        <f aca="false">Test1_Hand!$B$6*H871*D871+Test1_Hand!$B$7*MAX(0,I871-Test1_Hand!$B$5)+Test1_Hand!$B$14</f>
        <v>31613.1550385299</v>
      </c>
    </row>
    <row r="872" customFormat="false" ht="15" hidden="false" customHeight="false" outlineLevel="0" collapsed="false">
      <c r="A872" s="2" t="n">
        <v>860</v>
      </c>
      <c r="B872" s="22" t="n">
        <v>0.291926178115819</v>
      </c>
      <c r="C872" s="22" t="n">
        <v>0.263776630055107</v>
      </c>
      <c r="D872" s="23" t="n">
        <f aca="false">BETAINV(C872,Test1_Hand!$B$21,Test1_Hand!$B$22,Test1_Hand!$B$9,Test1_Hand!$B$11)</f>
        <v>2.56207009028261</v>
      </c>
      <c r="E872" s="2" t="n">
        <f aca="false">IF(B872&lt;Test1_Hand!$B$12,1,0)</f>
        <v>1</v>
      </c>
      <c r="F872" s="23" t="n">
        <f aca="false">Test1_Hand!$B$4+E872*D872</f>
        <v>18.5620700902826</v>
      </c>
      <c r="G872" s="24" t="n">
        <f aca="false">Test1_Hand!$B$6*E872*D872+Test1_Hand!$B$7*MAX(0,F872-Test1_Hand!$B$5)</f>
        <v>20496.5607222609</v>
      </c>
      <c r="H872" s="2" t="n">
        <f aca="false">IF(B872&lt;Test1_Hand!$B$13,1,0)</f>
        <v>0</v>
      </c>
      <c r="I872" s="23" t="n">
        <f aca="false">Test1_Hand!$B$4+H872*D872</f>
        <v>16</v>
      </c>
      <c r="J872" s="24" t="n">
        <f aca="false">Test1_Hand!$B$6*H872*D872+Test1_Hand!$B$7*MAX(0,I872-Test1_Hand!$B$5)+Test1_Hand!$B$14</f>
        <v>6000</v>
      </c>
    </row>
    <row r="873" customFormat="false" ht="15" hidden="false" customHeight="false" outlineLevel="0" collapsed="false">
      <c r="A873" s="2" t="n">
        <v>861</v>
      </c>
      <c r="B873" s="22" t="n">
        <v>0.514258815146986</v>
      </c>
      <c r="C873" s="22" t="n">
        <v>0.524360071443839</v>
      </c>
      <c r="D873" s="23" t="n">
        <f aca="false">BETAINV(C873,Test1_Hand!$B$21,Test1_Hand!$B$22,Test1_Hand!$B$9,Test1_Hand!$B$11)</f>
        <v>3.46910213268125</v>
      </c>
      <c r="E873" s="2" t="n">
        <f aca="false">IF(B873&lt;Test1_Hand!$B$12,1,0)</f>
        <v>0</v>
      </c>
      <c r="F873" s="23" t="n">
        <f aca="false">Test1_Hand!$B$4+E873*D873</f>
        <v>16</v>
      </c>
      <c r="G873" s="24" t="n">
        <f aca="false">Test1_Hand!$B$6*E873*D873+Test1_Hand!$B$7*MAX(0,F873-Test1_Hand!$B$5)</f>
        <v>0</v>
      </c>
      <c r="H873" s="2" t="n">
        <f aca="false">IF(B873&lt;Test1_Hand!$B$13,1,0)</f>
        <v>0</v>
      </c>
      <c r="I873" s="23" t="n">
        <f aca="false">Test1_Hand!$B$4+H873*D873</f>
        <v>16</v>
      </c>
      <c r="J873" s="24" t="n">
        <f aca="false">Test1_Hand!$B$6*H873*D873+Test1_Hand!$B$7*MAX(0,I873-Test1_Hand!$B$5)+Test1_Hand!$B$14</f>
        <v>6000</v>
      </c>
    </row>
    <row r="874" customFormat="false" ht="15" hidden="false" customHeight="false" outlineLevel="0" collapsed="false">
      <c r="A874" s="2" t="n">
        <v>862</v>
      </c>
      <c r="B874" s="22" t="n">
        <v>0.782538092774812</v>
      </c>
      <c r="C874" s="22" t="n">
        <v>0.532495109056956</v>
      </c>
      <c r="D874" s="23" t="n">
        <f aca="false">BETAINV(C874,Test1_Hand!$B$21,Test1_Hand!$B$22,Test1_Hand!$B$9,Test1_Hand!$B$11)</f>
        <v>3.4982645070525</v>
      </c>
      <c r="E874" s="2" t="n">
        <f aca="false">IF(B874&lt;Test1_Hand!$B$12,1,0)</f>
        <v>0</v>
      </c>
      <c r="F874" s="23" t="n">
        <f aca="false">Test1_Hand!$B$4+E874*D874</f>
        <v>16</v>
      </c>
      <c r="G874" s="24" t="n">
        <f aca="false">Test1_Hand!$B$6*E874*D874+Test1_Hand!$B$7*MAX(0,F874-Test1_Hand!$B$5)</f>
        <v>0</v>
      </c>
      <c r="H874" s="2" t="n">
        <f aca="false">IF(B874&lt;Test1_Hand!$B$13,1,0)</f>
        <v>0</v>
      </c>
      <c r="I874" s="23" t="n">
        <f aca="false">Test1_Hand!$B$4+H874*D874</f>
        <v>16</v>
      </c>
      <c r="J874" s="24" t="n">
        <f aca="false">Test1_Hand!$B$6*H874*D874+Test1_Hand!$B$7*MAX(0,I874-Test1_Hand!$B$5)+Test1_Hand!$B$14</f>
        <v>6000</v>
      </c>
    </row>
    <row r="875" customFormat="false" ht="15" hidden="false" customHeight="false" outlineLevel="0" collapsed="false">
      <c r="A875" s="2" t="n">
        <v>863</v>
      </c>
      <c r="B875" s="22" t="n">
        <v>0.962512552414979</v>
      </c>
      <c r="C875" s="22" t="n">
        <v>0.672200785386557</v>
      </c>
      <c r="D875" s="23" t="n">
        <f aca="false">BETAINV(C875,Test1_Hand!$B$21,Test1_Hand!$B$22,Test1_Hand!$B$9,Test1_Hand!$B$11)</f>
        <v>4.03220034857722</v>
      </c>
      <c r="E875" s="2" t="n">
        <f aca="false">IF(B875&lt;Test1_Hand!$B$12,1,0)</f>
        <v>0</v>
      </c>
      <c r="F875" s="23" t="n">
        <f aca="false">Test1_Hand!$B$4+E875*D875</f>
        <v>16</v>
      </c>
      <c r="G875" s="24" t="n">
        <f aca="false">Test1_Hand!$B$6*E875*D875+Test1_Hand!$B$7*MAX(0,F875-Test1_Hand!$B$5)</f>
        <v>0</v>
      </c>
      <c r="H875" s="2" t="n">
        <f aca="false">IF(B875&lt;Test1_Hand!$B$13,1,0)</f>
        <v>0</v>
      </c>
      <c r="I875" s="23" t="n">
        <f aca="false">Test1_Hand!$B$4+H875*D875</f>
        <v>16</v>
      </c>
      <c r="J875" s="24" t="n">
        <f aca="false">Test1_Hand!$B$6*H875*D875+Test1_Hand!$B$7*MAX(0,I875-Test1_Hand!$B$5)+Test1_Hand!$B$14</f>
        <v>6000</v>
      </c>
    </row>
    <row r="876" customFormat="false" ht="15" hidden="false" customHeight="false" outlineLevel="0" collapsed="false">
      <c r="A876" s="2" t="n">
        <v>864</v>
      </c>
      <c r="B876" s="22" t="n">
        <v>0.546514168006648</v>
      </c>
      <c r="C876" s="22" t="n">
        <v>0.83903910197252</v>
      </c>
      <c r="D876" s="23" t="n">
        <f aca="false">BETAINV(C876,Test1_Hand!$B$21,Test1_Hand!$B$22,Test1_Hand!$B$9,Test1_Hand!$B$11)</f>
        <v>4.84796712885058</v>
      </c>
      <c r="E876" s="2" t="n">
        <f aca="false">IF(B876&lt;Test1_Hand!$B$12,1,0)</f>
        <v>0</v>
      </c>
      <c r="F876" s="23" t="n">
        <f aca="false">Test1_Hand!$B$4+E876*D876</f>
        <v>16</v>
      </c>
      <c r="G876" s="24" t="n">
        <f aca="false">Test1_Hand!$B$6*E876*D876+Test1_Hand!$B$7*MAX(0,F876-Test1_Hand!$B$5)</f>
        <v>0</v>
      </c>
      <c r="H876" s="2" t="n">
        <f aca="false">IF(B876&lt;Test1_Hand!$B$13,1,0)</f>
        <v>0</v>
      </c>
      <c r="I876" s="23" t="n">
        <f aca="false">Test1_Hand!$B$4+H876*D876</f>
        <v>16</v>
      </c>
      <c r="J876" s="24" t="n">
        <f aca="false">Test1_Hand!$B$6*H876*D876+Test1_Hand!$B$7*MAX(0,I876-Test1_Hand!$B$5)+Test1_Hand!$B$14</f>
        <v>6000</v>
      </c>
    </row>
    <row r="877" customFormat="false" ht="15" hidden="false" customHeight="false" outlineLevel="0" collapsed="false">
      <c r="A877" s="2" t="n">
        <v>865</v>
      </c>
      <c r="B877" s="22" t="n">
        <v>0.950082654314468</v>
      </c>
      <c r="C877" s="22" t="n">
        <v>0.197910195155127</v>
      </c>
      <c r="D877" s="23" t="n">
        <f aca="false">BETAINV(C877,Test1_Hand!$B$21,Test1_Hand!$B$22,Test1_Hand!$B$9,Test1_Hand!$B$11)</f>
        <v>2.31870277798512</v>
      </c>
      <c r="E877" s="2" t="n">
        <f aca="false">IF(B877&lt;Test1_Hand!$B$12,1,0)</f>
        <v>0</v>
      </c>
      <c r="F877" s="23" t="n">
        <f aca="false">Test1_Hand!$B$4+E877*D877</f>
        <v>16</v>
      </c>
      <c r="G877" s="24" t="n">
        <f aca="false">Test1_Hand!$B$6*E877*D877+Test1_Hand!$B$7*MAX(0,F877-Test1_Hand!$B$5)</f>
        <v>0</v>
      </c>
      <c r="H877" s="2" t="n">
        <f aca="false">IF(B877&lt;Test1_Hand!$B$13,1,0)</f>
        <v>0</v>
      </c>
      <c r="I877" s="23" t="n">
        <f aca="false">Test1_Hand!$B$4+H877*D877</f>
        <v>16</v>
      </c>
      <c r="J877" s="24" t="n">
        <f aca="false">Test1_Hand!$B$6*H877*D877+Test1_Hand!$B$7*MAX(0,I877-Test1_Hand!$B$5)+Test1_Hand!$B$14</f>
        <v>6000</v>
      </c>
    </row>
    <row r="878" customFormat="false" ht="15" hidden="false" customHeight="false" outlineLevel="0" collapsed="false">
      <c r="A878" s="2" t="n">
        <v>866</v>
      </c>
      <c r="B878" s="22" t="n">
        <v>0.928945712887151</v>
      </c>
      <c r="C878" s="22" t="n">
        <v>0.896353578213395</v>
      </c>
      <c r="D878" s="23" t="n">
        <f aca="false">BETAINV(C878,Test1_Hand!$B$21,Test1_Hand!$B$22,Test1_Hand!$B$9,Test1_Hand!$B$11)</f>
        <v>5.24332854255405</v>
      </c>
      <c r="E878" s="2" t="n">
        <f aca="false">IF(B878&lt;Test1_Hand!$B$12,1,0)</f>
        <v>0</v>
      </c>
      <c r="F878" s="23" t="n">
        <f aca="false">Test1_Hand!$B$4+E878*D878</f>
        <v>16</v>
      </c>
      <c r="G878" s="24" t="n">
        <f aca="false">Test1_Hand!$B$6*E878*D878+Test1_Hand!$B$7*MAX(0,F878-Test1_Hand!$B$5)</f>
        <v>0</v>
      </c>
      <c r="H878" s="2" t="n">
        <f aca="false">IF(B878&lt;Test1_Hand!$B$13,1,0)</f>
        <v>0</v>
      </c>
      <c r="I878" s="23" t="n">
        <f aca="false">Test1_Hand!$B$4+H878*D878</f>
        <v>16</v>
      </c>
      <c r="J878" s="24" t="n">
        <f aca="false">Test1_Hand!$B$6*H878*D878+Test1_Hand!$B$7*MAX(0,I878-Test1_Hand!$B$5)+Test1_Hand!$B$14</f>
        <v>6000</v>
      </c>
    </row>
    <row r="879" customFormat="false" ht="15" hidden="false" customHeight="false" outlineLevel="0" collapsed="false">
      <c r="A879" s="2" t="n">
        <v>867</v>
      </c>
      <c r="B879" s="22" t="n">
        <v>0.595400842197193</v>
      </c>
      <c r="C879" s="22" t="n">
        <v>0.535747506179249</v>
      </c>
      <c r="D879" s="23" t="n">
        <f aca="false">BETAINV(C879,Test1_Hand!$B$21,Test1_Hand!$B$22,Test1_Hand!$B$9,Test1_Hand!$B$11)</f>
        <v>3.5099655070918</v>
      </c>
      <c r="E879" s="2" t="n">
        <f aca="false">IF(B879&lt;Test1_Hand!$B$12,1,0)</f>
        <v>0</v>
      </c>
      <c r="F879" s="23" t="n">
        <f aca="false">Test1_Hand!$B$4+E879*D879</f>
        <v>16</v>
      </c>
      <c r="G879" s="24" t="n">
        <f aca="false">Test1_Hand!$B$6*E879*D879+Test1_Hand!$B$7*MAX(0,F879-Test1_Hand!$B$5)</f>
        <v>0</v>
      </c>
      <c r="H879" s="2" t="n">
        <f aca="false">IF(B879&lt;Test1_Hand!$B$13,1,0)</f>
        <v>0</v>
      </c>
      <c r="I879" s="23" t="n">
        <f aca="false">Test1_Hand!$B$4+H879*D879</f>
        <v>16</v>
      </c>
      <c r="J879" s="24" t="n">
        <f aca="false">Test1_Hand!$B$6*H879*D879+Test1_Hand!$B$7*MAX(0,I879-Test1_Hand!$B$5)+Test1_Hand!$B$14</f>
        <v>6000</v>
      </c>
    </row>
    <row r="880" customFormat="false" ht="15" hidden="false" customHeight="false" outlineLevel="0" collapsed="false">
      <c r="A880" s="2" t="n">
        <v>868</v>
      </c>
      <c r="B880" s="22" t="n">
        <v>0.464673381381406</v>
      </c>
      <c r="C880" s="22" t="n">
        <v>0.728617704828572</v>
      </c>
      <c r="D880" s="23" t="n">
        <f aca="false">BETAINV(C880,Test1_Hand!$B$21,Test1_Hand!$B$22,Test1_Hand!$B$9,Test1_Hand!$B$11)</f>
        <v>4.27587960694461</v>
      </c>
      <c r="E880" s="2" t="n">
        <f aca="false">IF(B880&lt;Test1_Hand!$B$12,1,0)</f>
        <v>1</v>
      </c>
      <c r="F880" s="23" t="n">
        <f aca="false">Test1_Hand!$B$4+E880*D880</f>
        <v>20.2758796069446</v>
      </c>
      <c r="G880" s="24" t="n">
        <f aca="false">Test1_Hand!$B$6*E880*D880+Test1_Hand!$B$7*MAX(0,F880-Test1_Hand!$B$5)</f>
        <v>35586.4348902799</v>
      </c>
      <c r="H880" s="2" t="n">
        <f aca="false">IF(B880&lt;Test1_Hand!$B$13,1,0)</f>
        <v>0</v>
      </c>
      <c r="I880" s="23" t="n">
        <f aca="false">Test1_Hand!$B$4+H880*D880</f>
        <v>16</v>
      </c>
      <c r="J880" s="24" t="n">
        <f aca="false">Test1_Hand!$B$6*H880*D880+Test1_Hand!$B$7*MAX(0,I880-Test1_Hand!$B$5)+Test1_Hand!$B$14</f>
        <v>6000</v>
      </c>
    </row>
    <row r="881" customFormat="false" ht="15" hidden="false" customHeight="false" outlineLevel="0" collapsed="false">
      <c r="A881" s="2" t="n">
        <v>869</v>
      </c>
      <c r="B881" s="22" t="n">
        <v>0.595504374794987</v>
      </c>
      <c r="C881" s="22" t="n">
        <v>0.567621929948861</v>
      </c>
      <c r="D881" s="23" t="n">
        <f aca="false">BETAINV(C881,Test1_Hand!$B$21,Test1_Hand!$B$22,Test1_Hand!$B$9,Test1_Hand!$B$11)</f>
        <v>3.62605276076575</v>
      </c>
      <c r="E881" s="2" t="n">
        <f aca="false">IF(B881&lt;Test1_Hand!$B$12,1,0)</f>
        <v>0</v>
      </c>
      <c r="F881" s="23" t="n">
        <f aca="false">Test1_Hand!$B$4+E881*D881</f>
        <v>16</v>
      </c>
      <c r="G881" s="24" t="n">
        <f aca="false">Test1_Hand!$B$6*E881*D881+Test1_Hand!$B$7*MAX(0,F881-Test1_Hand!$B$5)</f>
        <v>0</v>
      </c>
      <c r="H881" s="2" t="n">
        <f aca="false">IF(B881&lt;Test1_Hand!$B$13,1,0)</f>
        <v>0</v>
      </c>
      <c r="I881" s="23" t="n">
        <f aca="false">Test1_Hand!$B$4+H881*D881</f>
        <v>16</v>
      </c>
      <c r="J881" s="24" t="n">
        <f aca="false">Test1_Hand!$B$6*H881*D881+Test1_Hand!$B$7*MAX(0,I881-Test1_Hand!$B$5)+Test1_Hand!$B$14</f>
        <v>6000</v>
      </c>
    </row>
    <row r="882" customFormat="false" ht="15" hidden="false" customHeight="false" outlineLevel="0" collapsed="false">
      <c r="A882" s="2" t="n">
        <v>870</v>
      </c>
      <c r="B882" s="22" t="n">
        <v>0.898525648633981</v>
      </c>
      <c r="C882" s="22" t="n">
        <v>0.895093663613416</v>
      </c>
      <c r="D882" s="23" t="n">
        <f aca="false">BETAINV(C882,Test1_Hand!$B$21,Test1_Hand!$B$22,Test1_Hand!$B$9,Test1_Hand!$B$11)</f>
        <v>5.23333163025074</v>
      </c>
      <c r="E882" s="2" t="n">
        <f aca="false">IF(B882&lt;Test1_Hand!$B$12,1,0)</f>
        <v>0</v>
      </c>
      <c r="F882" s="23" t="n">
        <f aca="false">Test1_Hand!$B$4+E882*D882</f>
        <v>16</v>
      </c>
      <c r="G882" s="24" t="n">
        <f aca="false">Test1_Hand!$B$6*E882*D882+Test1_Hand!$B$7*MAX(0,F882-Test1_Hand!$B$5)</f>
        <v>0</v>
      </c>
      <c r="H882" s="2" t="n">
        <f aca="false">IF(B882&lt;Test1_Hand!$B$13,1,0)</f>
        <v>0</v>
      </c>
      <c r="I882" s="23" t="n">
        <f aca="false">Test1_Hand!$B$4+H882*D882</f>
        <v>16</v>
      </c>
      <c r="J882" s="24" t="n">
        <f aca="false">Test1_Hand!$B$6*H882*D882+Test1_Hand!$B$7*MAX(0,I882-Test1_Hand!$B$5)+Test1_Hand!$B$14</f>
        <v>6000</v>
      </c>
    </row>
    <row r="883" customFormat="false" ht="15" hidden="false" customHeight="false" outlineLevel="0" collapsed="false">
      <c r="A883" s="2" t="n">
        <v>871</v>
      </c>
      <c r="B883" s="22" t="n">
        <v>0.996512413171703</v>
      </c>
      <c r="C883" s="22" t="n">
        <v>0.419160685158442</v>
      </c>
      <c r="D883" s="23" t="n">
        <f aca="false">BETAINV(C883,Test1_Hand!$B$21,Test1_Hand!$B$22,Test1_Hand!$B$9,Test1_Hand!$B$11)</f>
        <v>3.10158954967585</v>
      </c>
      <c r="E883" s="2" t="n">
        <f aca="false">IF(B883&lt;Test1_Hand!$B$12,1,0)</f>
        <v>0</v>
      </c>
      <c r="F883" s="23" t="n">
        <f aca="false">Test1_Hand!$B$4+E883*D883</f>
        <v>16</v>
      </c>
      <c r="G883" s="24" t="n">
        <f aca="false">Test1_Hand!$B$6*E883*D883+Test1_Hand!$B$7*MAX(0,F883-Test1_Hand!$B$5)</f>
        <v>0</v>
      </c>
      <c r="H883" s="2" t="n">
        <f aca="false">IF(B883&lt;Test1_Hand!$B$13,1,0)</f>
        <v>0</v>
      </c>
      <c r="I883" s="23" t="n">
        <f aca="false">Test1_Hand!$B$4+H883*D883</f>
        <v>16</v>
      </c>
      <c r="J883" s="24" t="n">
        <f aca="false">Test1_Hand!$B$6*H883*D883+Test1_Hand!$B$7*MAX(0,I883-Test1_Hand!$B$5)+Test1_Hand!$B$14</f>
        <v>6000</v>
      </c>
    </row>
    <row r="884" customFormat="false" ht="15" hidden="false" customHeight="false" outlineLevel="0" collapsed="false">
      <c r="A884" s="2" t="n">
        <v>872</v>
      </c>
      <c r="B884" s="22" t="n">
        <v>0.711041463690193</v>
      </c>
      <c r="C884" s="22" t="n">
        <v>0.0865216216605731</v>
      </c>
      <c r="D884" s="23" t="n">
        <f aca="false">BETAINV(C884,Test1_Hand!$B$21,Test1_Hand!$B$22,Test1_Hand!$B$9,Test1_Hand!$B$11)</f>
        <v>1.83745455402613</v>
      </c>
      <c r="E884" s="2" t="n">
        <f aca="false">IF(B884&lt;Test1_Hand!$B$12,1,0)</f>
        <v>0</v>
      </c>
      <c r="F884" s="23" t="n">
        <f aca="false">Test1_Hand!$B$4+E884*D884</f>
        <v>16</v>
      </c>
      <c r="G884" s="24" t="n">
        <f aca="false">Test1_Hand!$B$6*E884*D884+Test1_Hand!$B$7*MAX(0,F884-Test1_Hand!$B$5)</f>
        <v>0</v>
      </c>
      <c r="H884" s="2" t="n">
        <f aca="false">IF(B884&lt;Test1_Hand!$B$13,1,0)</f>
        <v>0</v>
      </c>
      <c r="I884" s="23" t="n">
        <f aca="false">Test1_Hand!$B$4+H884*D884</f>
        <v>16</v>
      </c>
      <c r="J884" s="24" t="n">
        <f aca="false">Test1_Hand!$B$6*H884*D884+Test1_Hand!$B$7*MAX(0,I884-Test1_Hand!$B$5)+Test1_Hand!$B$14</f>
        <v>6000</v>
      </c>
    </row>
    <row r="885" customFormat="false" ht="15" hidden="false" customHeight="false" outlineLevel="0" collapsed="false">
      <c r="A885" s="2" t="n">
        <v>873</v>
      </c>
      <c r="B885" s="22" t="n">
        <v>0.99300493009098</v>
      </c>
      <c r="C885" s="22" t="n">
        <v>0.505783393967199</v>
      </c>
      <c r="D885" s="23" t="n">
        <f aca="false">BETAINV(C885,Test1_Hand!$B$21,Test1_Hand!$B$22,Test1_Hand!$B$9,Test1_Hand!$B$11)</f>
        <v>3.40302597485331</v>
      </c>
      <c r="E885" s="2" t="n">
        <f aca="false">IF(B885&lt;Test1_Hand!$B$12,1,0)</f>
        <v>0</v>
      </c>
      <c r="F885" s="23" t="n">
        <f aca="false">Test1_Hand!$B$4+E885*D885</f>
        <v>16</v>
      </c>
      <c r="G885" s="24" t="n">
        <f aca="false">Test1_Hand!$B$6*E885*D885+Test1_Hand!$B$7*MAX(0,F885-Test1_Hand!$B$5)</f>
        <v>0</v>
      </c>
      <c r="H885" s="2" t="n">
        <f aca="false">IF(B885&lt;Test1_Hand!$B$13,1,0)</f>
        <v>0</v>
      </c>
      <c r="I885" s="23" t="n">
        <f aca="false">Test1_Hand!$B$4+H885*D885</f>
        <v>16</v>
      </c>
      <c r="J885" s="24" t="n">
        <f aca="false">Test1_Hand!$B$6*H885*D885+Test1_Hand!$B$7*MAX(0,I885-Test1_Hand!$B$5)+Test1_Hand!$B$14</f>
        <v>6000</v>
      </c>
    </row>
    <row r="886" customFormat="false" ht="15" hidden="false" customHeight="false" outlineLevel="0" collapsed="false">
      <c r="A886" s="2" t="n">
        <v>874</v>
      </c>
      <c r="B886" s="22" t="n">
        <v>0.356839079063415</v>
      </c>
      <c r="C886" s="22" t="n">
        <v>0.69599634975299</v>
      </c>
      <c r="D886" s="23" t="n">
        <f aca="false">BETAINV(C886,Test1_Hand!$B$21,Test1_Hand!$B$22,Test1_Hand!$B$9,Test1_Hand!$B$11)</f>
        <v>4.13225513375836</v>
      </c>
      <c r="E886" s="2" t="n">
        <f aca="false">IF(B886&lt;Test1_Hand!$B$12,1,0)</f>
        <v>1</v>
      </c>
      <c r="F886" s="23" t="n">
        <f aca="false">Test1_Hand!$B$4+E886*D886</f>
        <v>20.1322551337584</v>
      </c>
      <c r="G886" s="24" t="n">
        <f aca="false">Test1_Hand!$B$6*E886*D886+Test1_Hand!$B$7*MAX(0,F886-Test1_Hand!$B$5)</f>
        <v>33719.3167388586</v>
      </c>
      <c r="H886" s="2" t="n">
        <f aca="false">IF(B886&lt;Test1_Hand!$B$13,1,0)</f>
        <v>0</v>
      </c>
      <c r="I886" s="23" t="n">
        <f aca="false">Test1_Hand!$B$4+H886*D886</f>
        <v>16</v>
      </c>
      <c r="J886" s="24" t="n">
        <f aca="false">Test1_Hand!$B$6*H886*D886+Test1_Hand!$B$7*MAX(0,I886-Test1_Hand!$B$5)+Test1_Hand!$B$14</f>
        <v>6000</v>
      </c>
    </row>
    <row r="887" customFormat="false" ht="15" hidden="false" customHeight="false" outlineLevel="0" collapsed="false">
      <c r="A887" s="2" t="n">
        <v>875</v>
      </c>
      <c r="B887" s="22" t="n">
        <v>0.427238257807675</v>
      </c>
      <c r="C887" s="22" t="n">
        <v>0.563692550794034</v>
      </c>
      <c r="D887" s="23" t="n">
        <f aca="false">BETAINV(C887,Test1_Hand!$B$21,Test1_Hand!$B$22,Test1_Hand!$B$9,Test1_Hand!$B$11)</f>
        <v>3.61159228496777</v>
      </c>
      <c r="E887" s="2" t="n">
        <f aca="false">IF(B887&lt;Test1_Hand!$B$12,1,0)</f>
        <v>1</v>
      </c>
      <c r="F887" s="23" t="n">
        <f aca="false">Test1_Hand!$B$4+E887*D887</f>
        <v>19.6115922849678</v>
      </c>
      <c r="G887" s="24" t="n">
        <f aca="false">Test1_Hand!$B$6*E887*D887+Test1_Hand!$B$7*MAX(0,F887-Test1_Hand!$B$5)</f>
        <v>28892.7382797422</v>
      </c>
      <c r="H887" s="2" t="n">
        <f aca="false">IF(B887&lt;Test1_Hand!$B$13,1,0)</f>
        <v>0</v>
      </c>
      <c r="I887" s="23" t="n">
        <f aca="false">Test1_Hand!$B$4+H887*D887</f>
        <v>16</v>
      </c>
      <c r="J887" s="24" t="n">
        <f aca="false">Test1_Hand!$B$6*H887*D887+Test1_Hand!$B$7*MAX(0,I887-Test1_Hand!$B$5)+Test1_Hand!$B$14</f>
        <v>6000</v>
      </c>
    </row>
    <row r="888" customFormat="false" ht="15" hidden="false" customHeight="false" outlineLevel="0" collapsed="false">
      <c r="A888" s="2" t="n">
        <v>876</v>
      </c>
      <c r="B888" s="22" t="n">
        <v>0.521209926451904</v>
      </c>
      <c r="C888" s="22" t="n">
        <v>0.740309083664897</v>
      </c>
      <c r="D888" s="23" t="n">
        <f aca="false">BETAINV(C888,Test1_Hand!$B$21,Test1_Hand!$B$22,Test1_Hand!$B$9,Test1_Hand!$B$11)</f>
        <v>4.32947871716995</v>
      </c>
      <c r="E888" s="2" t="n">
        <f aca="false">IF(B888&lt;Test1_Hand!$B$12,1,0)</f>
        <v>0</v>
      </c>
      <c r="F888" s="23" t="n">
        <f aca="false">Test1_Hand!$B$4+E888*D888</f>
        <v>16</v>
      </c>
      <c r="G888" s="24" t="n">
        <f aca="false">Test1_Hand!$B$6*E888*D888+Test1_Hand!$B$7*MAX(0,F888-Test1_Hand!$B$5)</f>
        <v>0</v>
      </c>
      <c r="H888" s="2" t="n">
        <f aca="false">IF(B888&lt;Test1_Hand!$B$13,1,0)</f>
        <v>0</v>
      </c>
      <c r="I888" s="23" t="n">
        <f aca="false">Test1_Hand!$B$4+H888*D888</f>
        <v>16</v>
      </c>
      <c r="J888" s="24" t="n">
        <f aca="false">Test1_Hand!$B$6*H888*D888+Test1_Hand!$B$7*MAX(0,I888-Test1_Hand!$B$5)+Test1_Hand!$B$14</f>
        <v>6000</v>
      </c>
    </row>
    <row r="889" customFormat="false" ht="15" hidden="false" customHeight="false" outlineLevel="0" collapsed="false">
      <c r="A889" s="2" t="n">
        <v>877</v>
      </c>
      <c r="B889" s="22" t="n">
        <v>0.447567456581953</v>
      </c>
      <c r="C889" s="22" t="n">
        <v>0.0515456156110865</v>
      </c>
      <c r="D889" s="23" t="n">
        <f aca="false">BETAINV(C889,Test1_Hand!$B$21,Test1_Hand!$B$22,Test1_Hand!$B$9,Test1_Hand!$B$11)</f>
        <v>1.64003713935883</v>
      </c>
      <c r="E889" s="2" t="n">
        <f aca="false">IF(B889&lt;Test1_Hand!$B$12,1,0)</f>
        <v>1</v>
      </c>
      <c r="F889" s="23" t="n">
        <f aca="false">Test1_Hand!$B$4+E889*D889</f>
        <v>17.6400371393588</v>
      </c>
      <c r="G889" s="24" t="n">
        <f aca="false">Test1_Hand!$B$6*E889*D889+Test1_Hand!$B$7*MAX(0,F889-Test1_Hand!$B$5)</f>
        <v>13120.2971148707</v>
      </c>
      <c r="H889" s="2" t="n">
        <f aca="false">IF(B889&lt;Test1_Hand!$B$13,1,0)</f>
        <v>0</v>
      </c>
      <c r="I889" s="23" t="n">
        <f aca="false">Test1_Hand!$B$4+H889*D889</f>
        <v>16</v>
      </c>
      <c r="J889" s="24" t="n">
        <f aca="false">Test1_Hand!$B$6*H889*D889+Test1_Hand!$B$7*MAX(0,I889-Test1_Hand!$B$5)+Test1_Hand!$B$14</f>
        <v>6000</v>
      </c>
    </row>
    <row r="890" customFormat="false" ht="15" hidden="false" customHeight="false" outlineLevel="0" collapsed="false">
      <c r="A890" s="2" t="n">
        <v>878</v>
      </c>
      <c r="B890" s="22" t="n">
        <v>0.920593012396534</v>
      </c>
      <c r="C890" s="22" t="n">
        <v>0.871298287801177</v>
      </c>
      <c r="D890" s="23" t="n">
        <f aca="false">BETAINV(C890,Test1_Hand!$B$21,Test1_Hand!$B$22,Test1_Hand!$B$9,Test1_Hand!$B$11)</f>
        <v>5.05719478355315</v>
      </c>
      <c r="E890" s="2" t="n">
        <f aca="false">IF(B890&lt;Test1_Hand!$B$12,1,0)</f>
        <v>0</v>
      </c>
      <c r="F890" s="23" t="n">
        <f aca="false">Test1_Hand!$B$4+E890*D890</f>
        <v>16</v>
      </c>
      <c r="G890" s="24" t="n">
        <f aca="false">Test1_Hand!$B$6*E890*D890+Test1_Hand!$B$7*MAX(0,F890-Test1_Hand!$B$5)</f>
        <v>0</v>
      </c>
      <c r="H890" s="2" t="n">
        <f aca="false">IF(B890&lt;Test1_Hand!$B$13,1,0)</f>
        <v>0</v>
      </c>
      <c r="I890" s="23" t="n">
        <f aca="false">Test1_Hand!$B$4+H890*D890</f>
        <v>16</v>
      </c>
      <c r="J890" s="24" t="n">
        <f aca="false">Test1_Hand!$B$6*H890*D890+Test1_Hand!$B$7*MAX(0,I890-Test1_Hand!$B$5)+Test1_Hand!$B$14</f>
        <v>6000</v>
      </c>
    </row>
    <row r="891" customFormat="false" ht="15" hidden="false" customHeight="false" outlineLevel="0" collapsed="false">
      <c r="A891" s="2" t="n">
        <v>879</v>
      </c>
      <c r="B891" s="22" t="n">
        <v>0.391571261491898</v>
      </c>
      <c r="C891" s="22" t="n">
        <v>0.662301237316953</v>
      </c>
      <c r="D891" s="23" t="n">
        <f aca="false">BETAINV(C891,Test1_Hand!$B$21,Test1_Hand!$B$22,Test1_Hand!$B$9,Test1_Hand!$B$11)</f>
        <v>3.99158324035404</v>
      </c>
      <c r="E891" s="2" t="n">
        <f aca="false">IF(B891&lt;Test1_Hand!$B$12,1,0)</f>
        <v>1</v>
      </c>
      <c r="F891" s="23" t="n">
        <f aca="false">Test1_Hand!$B$4+E891*D891</f>
        <v>19.991583240354</v>
      </c>
      <c r="G891" s="24" t="n">
        <f aca="false">Test1_Hand!$B$6*E891*D891+Test1_Hand!$B$7*MAX(0,F891-Test1_Hand!$B$5)</f>
        <v>31932.6659228323</v>
      </c>
      <c r="H891" s="2" t="n">
        <f aca="false">IF(B891&lt;Test1_Hand!$B$13,1,0)</f>
        <v>0</v>
      </c>
      <c r="I891" s="23" t="n">
        <f aca="false">Test1_Hand!$B$4+H891*D891</f>
        <v>16</v>
      </c>
      <c r="J891" s="24" t="n">
        <f aca="false">Test1_Hand!$B$6*H891*D891+Test1_Hand!$B$7*MAX(0,I891-Test1_Hand!$B$5)+Test1_Hand!$B$14</f>
        <v>6000</v>
      </c>
    </row>
    <row r="892" customFormat="false" ht="15" hidden="false" customHeight="false" outlineLevel="0" collapsed="false">
      <c r="A892" s="2" t="n">
        <v>880</v>
      </c>
      <c r="B892" s="22" t="n">
        <v>0.676213809431908</v>
      </c>
      <c r="C892" s="22" t="n">
        <v>0.650075718675687</v>
      </c>
      <c r="D892" s="23" t="n">
        <f aca="false">BETAINV(C892,Test1_Hand!$B$21,Test1_Hand!$B$22,Test1_Hand!$B$9,Test1_Hand!$B$11)</f>
        <v>3.94216237680875</v>
      </c>
      <c r="E892" s="2" t="n">
        <f aca="false">IF(B892&lt;Test1_Hand!$B$12,1,0)</f>
        <v>0</v>
      </c>
      <c r="F892" s="23" t="n">
        <f aca="false">Test1_Hand!$B$4+E892*D892</f>
        <v>16</v>
      </c>
      <c r="G892" s="24" t="n">
        <f aca="false">Test1_Hand!$B$6*E892*D892+Test1_Hand!$B$7*MAX(0,F892-Test1_Hand!$B$5)</f>
        <v>0</v>
      </c>
      <c r="H892" s="2" t="n">
        <f aca="false">IF(B892&lt;Test1_Hand!$B$13,1,0)</f>
        <v>0</v>
      </c>
      <c r="I892" s="23" t="n">
        <f aca="false">Test1_Hand!$B$4+H892*D892</f>
        <v>16</v>
      </c>
      <c r="J892" s="24" t="n">
        <f aca="false">Test1_Hand!$B$6*H892*D892+Test1_Hand!$B$7*MAX(0,I892-Test1_Hand!$B$5)+Test1_Hand!$B$14</f>
        <v>6000</v>
      </c>
    </row>
    <row r="893" customFormat="false" ht="15" hidden="false" customHeight="false" outlineLevel="0" collapsed="false">
      <c r="A893" s="2" t="n">
        <v>881</v>
      </c>
      <c r="B893" s="22" t="n">
        <v>0.740919996481031</v>
      </c>
      <c r="C893" s="22" t="n">
        <v>0.125386002540505</v>
      </c>
      <c r="D893" s="23" t="n">
        <f aca="false">BETAINV(C893,Test1_Hand!$B$21,Test1_Hand!$B$22,Test1_Hand!$B$9,Test1_Hand!$B$11)</f>
        <v>2.02167937390246</v>
      </c>
      <c r="E893" s="2" t="n">
        <f aca="false">IF(B893&lt;Test1_Hand!$B$12,1,0)</f>
        <v>0</v>
      </c>
      <c r="F893" s="23" t="n">
        <f aca="false">Test1_Hand!$B$4+E893*D893</f>
        <v>16</v>
      </c>
      <c r="G893" s="24" t="n">
        <f aca="false">Test1_Hand!$B$6*E893*D893+Test1_Hand!$B$7*MAX(0,F893-Test1_Hand!$B$5)</f>
        <v>0</v>
      </c>
      <c r="H893" s="2" t="n">
        <f aca="false">IF(B893&lt;Test1_Hand!$B$13,1,0)</f>
        <v>0</v>
      </c>
      <c r="I893" s="23" t="n">
        <f aca="false">Test1_Hand!$B$4+H893*D893</f>
        <v>16</v>
      </c>
      <c r="J893" s="24" t="n">
        <f aca="false">Test1_Hand!$B$6*H893*D893+Test1_Hand!$B$7*MAX(0,I893-Test1_Hand!$B$5)+Test1_Hand!$B$14</f>
        <v>6000</v>
      </c>
    </row>
    <row r="894" customFormat="false" ht="15" hidden="false" customHeight="false" outlineLevel="0" collapsed="false">
      <c r="A894" s="2" t="n">
        <v>882</v>
      </c>
      <c r="B894" s="22" t="n">
        <v>0.275527282292729</v>
      </c>
      <c r="C894" s="22" t="n">
        <v>0.619015117607437</v>
      </c>
      <c r="D894" s="23" t="n">
        <f aca="false">BETAINV(C894,Test1_Hand!$B$21,Test1_Hand!$B$22,Test1_Hand!$B$9,Test1_Hand!$B$11)</f>
        <v>3.81988629300755</v>
      </c>
      <c r="E894" s="2" t="n">
        <f aca="false">IF(B894&lt;Test1_Hand!$B$12,1,0)</f>
        <v>1</v>
      </c>
      <c r="F894" s="23" t="n">
        <f aca="false">Test1_Hand!$B$4+E894*D894</f>
        <v>19.8198862930076</v>
      </c>
      <c r="G894" s="24" t="n">
        <f aca="false">Test1_Hand!$B$6*E894*D894+Test1_Hand!$B$7*MAX(0,F894-Test1_Hand!$B$5)</f>
        <v>30559.0903440604</v>
      </c>
      <c r="H894" s="2" t="n">
        <f aca="false">IF(B894&lt;Test1_Hand!$B$13,1,0)</f>
        <v>0</v>
      </c>
      <c r="I894" s="23" t="n">
        <f aca="false">Test1_Hand!$B$4+H894*D894</f>
        <v>16</v>
      </c>
      <c r="J894" s="24" t="n">
        <f aca="false">Test1_Hand!$B$6*H894*D894+Test1_Hand!$B$7*MAX(0,I894-Test1_Hand!$B$5)+Test1_Hand!$B$14</f>
        <v>6000</v>
      </c>
    </row>
    <row r="895" customFormat="false" ht="15" hidden="false" customHeight="false" outlineLevel="0" collapsed="false">
      <c r="A895" s="2" t="n">
        <v>883</v>
      </c>
      <c r="B895" s="22" t="n">
        <v>0.837255545018092</v>
      </c>
      <c r="C895" s="22" t="n">
        <v>0.703212649612894</v>
      </c>
      <c r="D895" s="23" t="n">
        <f aca="false">BETAINV(C895,Test1_Hand!$B$21,Test1_Hand!$B$22,Test1_Hand!$B$9,Test1_Hand!$B$11)</f>
        <v>4.16333806214927</v>
      </c>
      <c r="E895" s="2" t="n">
        <f aca="false">IF(B895&lt;Test1_Hand!$B$12,1,0)</f>
        <v>0</v>
      </c>
      <c r="F895" s="23" t="n">
        <f aca="false">Test1_Hand!$B$4+E895*D895</f>
        <v>16</v>
      </c>
      <c r="G895" s="24" t="n">
        <f aca="false">Test1_Hand!$B$6*E895*D895+Test1_Hand!$B$7*MAX(0,F895-Test1_Hand!$B$5)</f>
        <v>0</v>
      </c>
      <c r="H895" s="2" t="n">
        <f aca="false">IF(B895&lt;Test1_Hand!$B$13,1,0)</f>
        <v>0</v>
      </c>
      <c r="I895" s="23" t="n">
        <f aca="false">Test1_Hand!$B$4+H895*D895</f>
        <v>16</v>
      </c>
      <c r="J895" s="24" t="n">
        <f aca="false">Test1_Hand!$B$6*H895*D895+Test1_Hand!$B$7*MAX(0,I895-Test1_Hand!$B$5)+Test1_Hand!$B$14</f>
        <v>6000</v>
      </c>
    </row>
    <row r="896" customFormat="false" ht="15" hidden="false" customHeight="false" outlineLevel="0" collapsed="false">
      <c r="A896" s="2" t="n">
        <v>884</v>
      </c>
      <c r="B896" s="22" t="n">
        <v>0.179296982857645</v>
      </c>
      <c r="C896" s="22" t="n">
        <v>0.24032064288349</v>
      </c>
      <c r="D896" s="23" t="n">
        <f aca="false">BETAINV(C896,Test1_Hand!$B$21,Test1_Hand!$B$22,Test1_Hand!$B$9,Test1_Hand!$B$11)</f>
        <v>2.47724094001258</v>
      </c>
      <c r="E896" s="2" t="n">
        <f aca="false">IF(B896&lt;Test1_Hand!$B$12,1,0)</f>
        <v>1</v>
      </c>
      <c r="F896" s="23" t="n">
        <f aca="false">Test1_Hand!$B$4+E896*D896</f>
        <v>18.4772409400126</v>
      </c>
      <c r="G896" s="24" t="n">
        <f aca="false">Test1_Hand!$B$6*E896*D896+Test1_Hand!$B$7*MAX(0,F896-Test1_Hand!$B$5)</f>
        <v>19817.9275201007</v>
      </c>
      <c r="H896" s="2" t="n">
        <f aca="false">IF(B896&lt;Test1_Hand!$B$13,1,0)</f>
        <v>1</v>
      </c>
      <c r="I896" s="23" t="n">
        <f aca="false">Test1_Hand!$B$4+H896*D896</f>
        <v>18.4772409400126</v>
      </c>
      <c r="J896" s="24" t="n">
        <f aca="false">Test1_Hand!$B$6*H896*D896+Test1_Hand!$B$7*MAX(0,I896-Test1_Hand!$B$5)+Test1_Hand!$B$14</f>
        <v>25817.9275201007</v>
      </c>
    </row>
    <row r="897" customFormat="false" ht="15" hidden="false" customHeight="false" outlineLevel="0" collapsed="false">
      <c r="A897" s="2" t="n">
        <v>885</v>
      </c>
      <c r="B897" s="22" t="n">
        <v>0.660431674916852</v>
      </c>
      <c r="C897" s="22" t="n">
        <v>0.834131101158068</v>
      </c>
      <c r="D897" s="23" t="n">
        <f aca="false">BETAINV(C897,Test1_Hand!$B$21,Test1_Hand!$B$22,Test1_Hand!$B$9,Test1_Hand!$B$11)</f>
        <v>4.81842503180686</v>
      </c>
      <c r="E897" s="2" t="n">
        <f aca="false">IF(B897&lt;Test1_Hand!$B$12,1,0)</f>
        <v>0</v>
      </c>
      <c r="F897" s="23" t="n">
        <f aca="false">Test1_Hand!$B$4+E897*D897</f>
        <v>16</v>
      </c>
      <c r="G897" s="24" t="n">
        <f aca="false">Test1_Hand!$B$6*E897*D897+Test1_Hand!$B$7*MAX(0,F897-Test1_Hand!$B$5)</f>
        <v>0</v>
      </c>
      <c r="H897" s="2" t="n">
        <f aca="false">IF(B897&lt;Test1_Hand!$B$13,1,0)</f>
        <v>0</v>
      </c>
      <c r="I897" s="23" t="n">
        <f aca="false">Test1_Hand!$B$4+H897*D897</f>
        <v>16</v>
      </c>
      <c r="J897" s="24" t="n">
        <f aca="false">Test1_Hand!$B$6*H897*D897+Test1_Hand!$B$7*MAX(0,I897-Test1_Hand!$B$5)+Test1_Hand!$B$14</f>
        <v>6000</v>
      </c>
    </row>
    <row r="898" customFormat="false" ht="15" hidden="false" customHeight="false" outlineLevel="0" collapsed="false">
      <c r="A898" s="2" t="n">
        <v>886</v>
      </c>
      <c r="B898" s="22" t="n">
        <v>0.559449938136246</v>
      </c>
      <c r="C898" s="22" t="n">
        <v>0.438502709416498</v>
      </c>
      <c r="D898" s="23" t="n">
        <f aca="false">BETAINV(C898,Test1_Hand!$B$21,Test1_Hand!$B$22,Test1_Hand!$B$9,Test1_Hand!$B$11)</f>
        <v>3.16823812920648</v>
      </c>
      <c r="E898" s="2" t="n">
        <f aca="false">IF(B898&lt;Test1_Hand!$B$12,1,0)</f>
        <v>0</v>
      </c>
      <c r="F898" s="23" t="n">
        <f aca="false">Test1_Hand!$B$4+E898*D898</f>
        <v>16</v>
      </c>
      <c r="G898" s="24" t="n">
        <f aca="false">Test1_Hand!$B$6*E898*D898+Test1_Hand!$B$7*MAX(0,F898-Test1_Hand!$B$5)</f>
        <v>0</v>
      </c>
      <c r="H898" s="2" t="n">
        <f aca="false">IF(B898&lt;Test1_Hand!$B$13,1,0)</f>
        <v>0</v>
      </c>
      <c r="I898" s="23" t="n">
        <f aca="false">Test1_Hand!$B$4+H898*D898</f>
        <v>16</v>
      </c>
      <c r="J898" s="24" t="n">
        <f aca="false">Test1_Hand!$B$6*H898*D898+Test1_Hand!$B$7*MAX(0,I898-Test1_Hand!$B$5)+Test1_Hand!$B$14</f>
        <v>6000</v>
      </c>
    </row>
    <row r="899" customFormat="false" ht="15" hidden="false" customHeight="false" outlineLevel="0" collapsed="false">
      <c r="A899" s="2" t="n">
        <v>887</v>
      </c>
      <c r="B899" s="22" t="n">
        <v>0.165551809735747</v>
      </c>
      <c r="C899" s="22" t="n">
        <v>0.101171813006214</v>
      </c>
      <c r="D899" s="23" t="n">
        <f aca="false">BETAINV(C899,Test1_Hand!$B$21,Test1_Hand!$B$22,Test1_Hand!$B$9,Test1_Hand!$B$11)</f>
        <v>1.90999869618012</v>
      </c>
      <c r="E899" s="2" t="n">
        <f aca="false">IF(B899&lt;Test1_Hand!$B$12,1,0)</f>
        <v>1</v>
      </c>
      <c r="F899" s="23" t="n">
        <f aca="false">Test1_Hand!$B$4+E899*D899</f>
        <v>17.9099986961801</v>
      </c>
      <c r="G899" s="24" t="n">
        <f aca="false">Test1_Hand!$B$6*E899*D899+Test1_Hand!$B$7*MAX(0,F899-Test1_Hand!$B$5)</f>
        <v>15279.989569441</v>
      </c>
      <c r="H899" s="2" t="n">
        <f aca="false">IF(B899&lt;Test1_Hand!$B$13,1,0)</f>
        <v>1</v>
      </c>
      <c r="I899" s="23" t="n">
        <f aca="false">Test1_Hand!$B$4+H899*D899</f>
        <v>17.9099986961801</v>
      </c>
      <c r="J899" s="24" t="n">
        <f aca="false">Test1_Hand!$B$6*H899*D899+Test1_Hand!$B$7*MAX(0,I899-Test1_Hand!$B$5)+Test1_Hand!$B$14</f>
        <v>21279.989569441</v>
      </c>
    </row>
    <row r="900" customFormat="false" ht="15" hidden="false" customHeight="false" outlineLevel="0" collapsed="false">
      <c r="A900" s="2" t="n">
        <v>888</v>
      </c>
      <c r="B900" s="22" t="n">
        <v>0.30840848374911</v>
      </c>
      <c r="C900" s="22" t="n">
        <v>0.712354817118382</v>
      </c>
      <c r="D900" s="23" t="n">
        <f aca="false">BETAINV(C900,Test1_Hand!$B$21,Test1_Hand!$B$22,Test1_Hand!$B$9,Test1_Hand!$B$11)</f>
        <v>4.20325710573355</v>
      </c>
      <c r="E900" s="2" t="n">
        <f aca="false">IF(B900&lt;Test1_Hand!$B$12,1,0)</f>
        <v>1</v>
      </c>
      <c r="F900" s="23" t="n">
        <f aca="false">Test1_Hand!$B$4+E900*D900</f>
        <v>20.2032571057335</v>
      </c>
      <c r="G900" s="24" t="n">
        <f aca="false">Test1_Hand!$B$6*E900*D900+Test1_Hand!$B$7*MAX(0,F900-Test1_Hand!$B$5)</f>
        <v>34642.3423745361</v>
      </c>
      <c r="H900" s="2" t="n">
        <f aca="false">IF(B900&lt;Test1_Hand!$B$13,1,0)</f>
        <v>0</v>
      </c>
      <c r="I900" s="23" t="n">
        <f aca="false">Test1_Hand!$B$4+H900*D900</f>
        <v>16</v>
      </c>
      <c r="J900" s="24" t="n">
        <f aca="false">Test1_Hand!$B$6*H900*D900+Test1_Hand!$B$7*MAX(0,I900-Test1_Hand!$B$5)+Test1_Hand!$B$14</f>
        <v>6000</v>
      </c>
    </row>
    <row r="901" customFormat="false" ht="15" hidden="false" customHeight="false" outlineLevel="0" collapsed="false">
      <c r="A901" s="2" t="n">
        <v>889</v>
      </c>
      <c r="B901" s="22" t="n">
        <v>0.169155106346121</v>
      </c>
      <c r="C901" s="22" t="n">
        <v>0.430320216047755</v>
      </c>
      <c r="D901" s="23" t="n">
        <f aca="false">BETAINV(C901,Test1_Hand!$B$21,Test1_Hand!$B$22,Test1_Hand!$B$9,Test1_Hand!$B$11)</f>
        <v>3.140014461477</v>
      </c>
      <c r="E901" s="2" t="n">
        <f aca="false">IF(B901&lt;Test1_Hand!$B$12,1,0)</f>
        <v>1</v>
      </c>
      <c r="F901" s="23" t="n">
        <f aca="false">Test1_Hand!$B$4+E901*D901</f>
        <v>19.140014461477</v>
      </c>
      <c r="G901" s="24" t="n">
        <f aca="false">Test1_Hand!$B$6*E901*D901+Test1_Hand!$B$7*MAX(0,F901-Test1_Hand!$B$5)</f>
        <v>25120.115691816</v>
      </c>
      <c r="H901" s="2" t="n">
        <f aca="false">IF(B901&lt;Test1_Hand!$B$13,1,0)</f>
        <v>1</v>
      </c>
      <c r="I901" s="23" t="n">
        <f aca="false">Test1_Hand!$B$4+H901*D901</f>
        <v>19.140014461477</v>
      </c>
      <c r="J901" s="24" t="n">
        <f aca="false">Test1_Hand!$B$6*H901*D901+Test1_Hand!$B$7*MAX(0,I901-Test1_Hand!$B$5)+Test1_Hand!$B$14</f>
        <v>31120.115691816</v>
      </c>
    </row>
    <row r="902" customFormat="false" ht="15" hidden="false" customHeight="false" outlineLevel="0" collapsed="false">
      <c r="A902" s="2" t="n">
        <v>890</v>
      </c>
      <c r="B902" s="22" t="n">
        <v>0.96355977630882</v>
      </c>
      <c r="C902" s="22" t="n">
        <v>0.817760141502878</v>
      </c>
      <c r="D902" s="23" t="n">
        <f aca="false">BETAINV(C902,Test1_Hand!$B$21,Test1_Hand!$B$22,Test1_Hand!$B$9,Test1_Hand!$B$11)</f>
        <v>4.72345558543825</v>
      </c>
      <c r="E902" s="2" t="n">
        <f aca="false">IF(B902&lt;Test1_Hand!$B$12,1,0)</f>
        <v>0</v>
      </c>
      <c r="F902" s="23" t="n">
        <f aca="false">Test1_Hand!$B$4+E902*D902</f>
        <v>16</v>
      </c>
      <c r="G902" s="24" t="n">
        <f aca="false">Test1_Hand!$B$6*E902*D902+Test1_Hand!$B$7*MAX(0,F902-Test1_Hand!$B$5)</f>
        <v>0</v>
      </c>
      <c r="H902" s="2" t="n">
        <f aca="false">IF(B902&lt;Test1_Hand!$B$13,1,0)</f>
        <v>0</v>
      </c>
      <c r="I902" s="23" t="n">
        <f aca="false">Test1_Hand!$B$4+H902*D902</f>
        <v>16</v>
      </c>
      <c r="J902" s="24" t="n">
        <f aca="false">Test1_Hand!$B$6*H902*D902+Test1_Hand!$B$7*MAX(0,I902-Test1_Hand!$B$5)+Test1_Hand!$B$14</f>
        <v>6000</v>
      </c>
    </row>
    <row r="903" customFormat="false" ht="15" hidden="false" customHeight="false" outlineLevel="0" collapsed="false">
      <c r="A903" s="2" t="n">
        <v>891</v>
      </c>
      <c r="B903" s="22" t="n">
        <v>0.895372091788786</v>
      </c>
      <c r="C903" s="22" t="n">
        <v>0.588447987322283</v>
      </c>
      <c r="D903" s="23" t="n">
        <f aca="false">BETAINV(C903,Test1_Hand!$B$21,Test1_Hand!$B$22,Test1_Hand!$B$9,Test1_Hand!$B$11)</f>
        <v>3.70348863769338</v>
      </c>
      <c r="E903" s="2" t="n">
        <f aca="false">IF(B903&lt;Test1_Hand!$B$12,1,0)</f>
        <v>0</v>
      </c>
      <c r="F903" s="23" t="n">
        <f aca="false">Test1_Hand!$B$4+E903*D903</f>
        <v>16</v>
      </c>
      <c r="G903" s="24" t="n">
        <f aca="false">Test1_Hand!$B$6*E903*D903+Test1_Hand!$B$7*MAX(0,F903-Test1_Hand!$B$5)</f>
        <v>0</v>
      </c>
      <c r="H903" s="2" t="n">
        <f aca="false">IF(B903&lt;Test1_Hand!$B$13,1,0)</f>
        <v>0</v>
      </c>
      <c r="I903" s="23" t="n">
        <f aca="false">Test1_Hand!$B$4+H903*D903</f>
        <v>16</v>
      </c>
      <c r="J903" s="24" t="n">
        <f aca="false">Test1_Hand!$B$6*H903*D903+Test1_Hand!$B$7*MAX(0,I903-Test1_Hand!$B$5)+Test1_Hand!$B$14</f>
        <v>6000</v>
      </c>
    </row>
    <row r="904" customFormat="false" ht="15" hidden="false" customHeight="false" outlineLevel="0" collapsed="false">
      <c r="A904" s="2" t="n">
        <v>892</v>
      </c>
      <c r="B904" s="22" t="n">
        <v>0.773778864128641</v>
      </c>
      <c r="C904" s="22" t="n">
        <v>0.504911585573706</v>
      </c>
      <c r="D904" s="23" t="n">
        <f aca="false">BETAINV(C904,Test1_Hand!$B$21,Test1_Hand!$B$22,Test1_Hand!$B$9,Test1_Hand!$B$11)</f>
        <v>3.39994134155838</v>
      </c>
      <c r="E904" s="2" t="n">
        <f aca="false">IF(B904&lt;Test1_Hand!$B$12,1,0)</f>
        <v>0</v>
      </c>
      <c r="F904" s="23" t="n">
        <f aca="false">Test1_Hand!$B$4+E904*D904</f>
        <v>16</v>
      </c>
      <c r="G904" s="24" t="n">
        <f aca="false">Test1_Hand!$B$6*E904*D904+Test1_Hand!$B$7*MAX(0,F904-Test1_Hand!$B$5)</f>
        <v>0</v>
      </c>
      <c r="H904" s="2" t="n">
        <f aca="false">IF(B904&lt;Test1_Hand!$B$13,1,0)</f>
        <v>0</v>
      </c>
      <c r="I904" s="23" t="n">
        <f aca="false">Test1_Hand!$B$4+H904*D904</f>
        <v>16</v>
      </c>
      <c r="J904" s="24" t="n">
        <f aca="false">Test1_Hand!$B$6*H904*D904+Test1_Hand!$B$7*MAX(0,I904-Test1_Hand!$B$5)+Test1_Hand!$B$14</f>
        <v>6000</v>
      </c>
    </row>
    <row r="905" customFormat="false" ht="15" hidden="false" customHeight="false" outlineLevel="0" collapsed="false">
      <c r="A905" s="2" t="n">
        <v>893</v>
      </c>
      <c r="B905" s="22" t="n">
        <v>0.396847091580018</v>
      </c>
      <c r="C905" s="22" t="n">
        <v>0.767440119719693</v>
      </c>
      <c r="D905" s="23" t="n">
        <f aca="false">BETAINV(C905,Test1_Hand!$B$21,Test1_Hand!$B$22,Test1_Hand!$B$9,Test1_Hand!$B$11)</f>
        <v>4.45899580857245</v>
      </c>
      <c r="E905" s="2" t="n">
        <f aca="false">IF(B905&lt;Test1_Hand!$B$12,1,0)</f>
        <v>1</v>
      </c>
      <c r="F905" s="23" t="n">
        <f aca="false">Test1_Hand!$B$4+E905*D905</f>
        <v>20.4589958085725</v>
      </c>
      <c r="G905" s="24" t="n">
        <f aca="false">Test1_Hand!$B$6*E905*D905+Test1_Hand!$B$7*MAX(0,F905-Test1_Hand!$B$5)</f>
        <v>37966.9455114418</v>
      </c>
      <c r="H905" s="2" t="n">
        <f aca="false">IF(B905&lt;Test1_Hand!$B$13,1,0)</f>
        <v>0</v>
      </c>
      <c r="I905" s="23" t="n">
        <f aca="false">Test1_Hand!$B$4+H905*D905</f>
        <v>16</v>
      </c>
      <c r="J905" s="24" t="n">
        <f aca="false">Test1_Hand!$B$6*H905*D905+Test1_Hand!$B$7*MAX(0,I905-Test1_Hand!$B$5)+Test1_Hand!$B$14</f>
        <v>6000</v>
      </c>
    </row>
    <row r="906" customFormat="false" ht="15" hidden="false" customHeight="false" outlineLevel="0" collapsed="false">
      <c r="A906" s="2" t="n">
        <v>894</v>
      </c>
      <c r="B906" s="22" t="n">
        <v>0.556632059949933</v>
      </c>
      <c r="C906" s="22" t="n">
        <v>0.326062998393498</v>
      </c>
      <c r="D906" s="23" t="n">
        <f aca="false">BETAINV(C906,Test1_Hand!$B$21,Test1_Hand!$B$22,Test1_Hand!$B$9,Test1_Hand!$B$11)</f>
        <v>2.78116204760346</v>
      </c>
      <c r="E906" s="2" t="n">
        <f aca="false">IF(B906&lt;Test1_Hand!$B$12,1,0)</f>
        <v>0</v>
      </c>
      <c r="F906" s="23" t="n">
        <f aca="false">Test1_Hand!$B$4+E906*D906</f>
        <v>16</v>
      </c>
      <c r="G906" s="24" t="n">
        <f aca="false">Test1_Hand!$B$6*E906*D906+Test1_Hand!$B$7*MAX(0,F906-Test1_Hand!$B$5)</f>
        <v>0</v>
      </c>
      <c r="H906" s="2" t="n">
        <f aca="false">IF(B906&lt;Test1_Hand!$B$13,1,0)</f>
        <v>0</v>
      </c>
      <c r="I906" s="23" t="n">
        <f aca="false">Test1_Hand!$B$4+H906*D906</f>
        <v>16</v>
      </c>
      <c r="J906" s="24" t="n">
        <f aca="false">Test1_Hand!$B$6*H906*D906+Test1_Hand!$B$7*MAX(0,I906-Test1_Hand!$B$5)+Test1_Hand!$B$14</f>
        <v>6000</v>
      </c>
    </row>
    <row r="907" customFormat="false" ht="15" hidden="false" customHeight="false" outlineLevel="0" collapsed="false">
      <c r="A907" s="2" t="n">
        <v>895</v>
      </c>
      <c r="B907" s="22" t="n">
        <v>0.630116183796251</v>
      </c>
      <c r="C907" s="22" t="n">
        <v>0.96276376949425</v>
      </c>
      <c r="D907" s="23" t="n">
        <f aca="false">BETAINV(C907,Test1_Hand!$B$21,Test1_Hand!$B$22,Test1_Hand!$B$9,Test1_Hand!$B$11)</f>
        <v>5.95406312952008</v>
      </c>
      <c r="E907" s="2" t="n">
        <f aca="false">IF(B907&lt;Test1_Hand!$B$12,1,0)</f>
        <v>0</v>
      </c>
      <c r="F907" s="23" t="n">
        <f aca="false">Test1_Hand!$B$4+E907*D907</f>
        <v>16</v>
      </c>
      <c r="G907" s="24" t="n">
        <f aca="false">Test1_Hand!$B$6*E907*D907+Test1_Hand!$B$7*MAX(0,F907-Test1_Hand!$B$5)</f>
        <v>0</v>
      </c>
      <c r="H907" s="2" t="n">
        <f aca="false">IF(B907&lt;Test1_Hand!$B$13,1,0)</f>
        <v>0</v>
      </c>
      <c r="I907" s="23" t="n">
        <f aca="false">Test1_Hand!$B$4+H907*D907</f>
        <v>16</v>
      </c>
      <c r="J907" s="24" t="n">
        <f aca="false">Test1_Hand!$B$6*H907*D907+Test1_Hand!$B$7*MAX(0,I907-Test1_Hand!$B$5)+Test1_Hand!$B$14</f>
        <v>6000</v>
      </c>
    </row>
    <row r="908" customFormat="false" ht="15" hidden="false" customHeight="false" outlineLevel="0" collapsed="false">
      <c r="A908" s="2" t="n">
        <v>896</v>
      </c>
      <c r="B908" s="22" t="n">
        <v>0.074951191399109</v>
      </c>
      <c r="C908" s="22" t="n">
        <v>0.381564711963723</v>
      </c>
      <c r="D908" s="23" t="n">
        <f aca="false">BETAINV(C908,Test1_Hand!$B$21,Test1_Hand!$B$22,Test1_Hand!$B$9,Test1_Hand!$B$11)</f>
        <v>2.97243908798696</v>
      </c>
      <c r="E908" s="2" t="n">
        <f aca="false">IF(B908&lt;Test1_Hand!$B$12,1,0)</f>
        <v>1</v>
      </c>
      <c r="F908" s="23" t="n">
        <f aca="false">Test1_Hand!$B$4+E908*D908</f>
        <v>18.972439087987</v>
      </c>
      <c r="G908" s="24" t="n">
        <f aca="false">Test1_Hand!$B$6*E908*D908+Test1_Hand!$B$7*MAX(0,F908-Test1_Hand!$B$5)</f>
        <v>23779.5127038957</v>
      </c>
      <c r="H908" s="2" t="n">
        <f aca="false">IF(B908&lt;Test1_Hand!$B$13,1,0)</f>
        <v>1</v>
      </c>
      <c r="I908" s="23" t="n">
        <f aca="false">Test1_Hand!$B$4+H908*D908</f>
        <v>18.972439087987</v>
      </c>
      <c r="J908" s="24" t="n">
        <f aca="false">Test1_Hand!$B$6*H908*D908+Test1_Hand!$B$7*MAX(0,I908-Test1_Hand!$B$5)+Test1_Hand!$B$14</f>
        <v>29779.5127038957</v>
      </c>
    </row>
    <row r="909" customFormat="false" ht="15" hidden="false" customHeight="false" outlineLevel="0" collapsed="false">
      <c r="A909" s="2" t="n">
        <v>897</v>
      </c>
      <c r="B909" s="22" t="n">
        <v>0.60396165136446</v>
      </c>
      <c r="C909" s="22" t="n">
        <v>0.912307369929833</v>
      </c>
      <c r="D909" s="23" t="n">
        <f aca="false">BETAINV(C909,Test1_Hand!$B$21,Test1_Hand!$B$22,Test1_Hand!$B$9,Test1_Hand!$B$11)</f>
        <v>5.37721259838705</v>
      </c>
      <c r="E909" s="2" t="n">
        <f aca="false">IF(B909&lt;Test1_Hand!$B$12,1,0)</f>
        <v>0</v>
      </c>
      <c r="F909" s="23" t="n">
        <f aca="false">Test1_Hand!$B$4+E909*D909</f>
        <v>16</v>
      </c>
      <c r="G909" s="24" t="n">
        <f aca="false">Test1_Hand!$B$6*E909*D909+Test1_Hand!$B$7*MAX(0,F909-Test1_Hand!$B$5)</f>
        <v>0</v>
      </c>
      <c r="H909" s="2" t="n">
        <f aca="false">IF(B909&lt;Test1_Hand!$B$13,1,0)</f>
        <v>0</v>
      </c>
      <c r="I909" s="23" t="n">
        <f aca="false">Test1_Hand!$B$4+H909*D909</f>
        <v>16</v>
      </c>
      <c r="J909" s="24" t="n">
        <f aca="false">Test1_Hand!$B$6*H909*D909+Test1_Hand!$B$7*MAX(0,I909-Test1_Hand!$B$5)+Test1_Hand!$B$14</f>
        <v>6000</v>
      </c>
    </row>
    <row r="910" customFormat="false" ht="15" hidden="false" customHeight="false" outlineLevel="0" collapsed="false">
      <c r="A910" s="2" t="n">
        <v>898</v>
      </c>
      <c r="B910" s="22" t="n">
        <v>0.399933678491502</v>
      </c>
      <c r="C910" s="22" t="n">
        <v>0.193759666748395</v>
      </c>
      <c r="D910" s="23" t="n">
        <f aca="false">BETAINV(C910,Test1_Hand!$B$21,Test1_Hand!$B$22,Test1_Hand!$B$9,Test1_Hand!$B$11)</f>
        <v>2.3027324880173</v>
      </c>
      <c r="E910" s="2" t="n">
        <f aca="false">IF(B910&lt;Test1_Hand!$B$12,1,0)</f>
        <v>1</v>
      </c>
      <c r="F910" s="23" t="n">
        <f aca="false">Test1_Hand!$B$4+E910*D910</f>
        <v>18.3027324880173</v>
      </c>
      <c r="G910" s="24" t="n">
        <f aca="false">Test1_Hand!$B$6*E910*D910+Test1_Hand!$B$7*MAX(0,F910-Test1_Hand!$B$5)</f>
        <v>18421.8599041384</v>
      </c>
      <c r="H910" s="2" t="n">
        <f aca="false">IF(B910&lt;Test1_Hand!$B$13,1,0)</f>
        <v>0</v>
      </c>
      <c r="I910" s="23" t="n">
        <f aca="false">Test1_Hand!$B$4+H910*D910</f>
        <v>16</v>
      </c>
      <c r="J910" s="24" t="n">
        <f aca="false">Test1_Hand!$B$6*H910*D910+Test1_Hand!$B$7*MAX(0,I910-Test1_Hand!$B$5)+Test1_Hand!$B$14</f>
        <v>6000</v>
      </c>
    </row>
    <row r="911" customFormat="false" ht="15" hidden="false" customHeight="false" outlineLevel="0" collapsed="false">
      <c r="A911" s="2" t="n">
        <v>899</v>
      </c>
      <c r="B911" s="22" t="n">
        <v>0.173207884720488</v>
      </c>
      <c r="C911" s="22" t="n">
        <v>0.467820975109089</v>
      </c>
      <c r="D911" s="23" t="n">
        <f aca="false">BETAINV(C911,Test1_Hand!$B$21,Test1_Hand!$B$22,Test1_Hand!$B$9,Test1_Hand!$B$11)</f>
        <v>3.26984535244013</v>
      </c>
      <c r="E911" s="2" t="n">
        <f aca="false">IF(B911&lt;Test1_Hand!$B$12,1,0)</f>
        <v>1</v>
      </c>
      <c r="F911" s="23" t="n">
        <f aca="false">Test1_Hand!$B$4+E911*D911</f>
        <v>19.2698453524401</v>
      </c>
      <c r="G911" s="24" t="n">
        <f aca="false">Test1_Hand!$B$6*E911*D911+Test1_Hand!$B$7*MAX(0,F911-Test1_Hand!$B$5)</f>
        <v>26158.762819521</v>
      </c>
      <c r="H911" s="2" t="n">
        <f aca="false">IF(B911&lt;Test1_Hand!$B$13,1,0)</f>
        <v>1</v>
      </c>
      <c r="I911" s="23" t="n">
        <f aca="false">Test1_Hand!$B$4+H911*D911</f>
        <v>19.2698453524401</v>
      </c>
      <c r="J911" s="24" t="n">
        <f aca="false">Test1_Hand!$B$6*H911*D911+Test1_Hand!$B$7*MAX(0,I911-Test1_Hand!$B$5)+Test1_Hand!$B$14</f>
        <v>32158.762819521</v>
      </c>
    </row>
    <row r="912" customFormat="false" ht="15" hidden="false" customHeight="false" outlineLevel="0" collapsed="false">
      <c r="A912" s="2" t="n">
        <v>900</v>
      </c>
      <c r="B912" s="22" t="n">
        <v>0.343417499175971</v>
      </c>
      <c r="C912" s="22" t="n">
        <v>0.0505567139968211</v>
      </c>
      <c r="D912" s="23" t="n">
        <f aca="false">BETAINV(C912,Test1_Hand!$B$21,Test1_Hand!$B$22,Test1_Hand!$B$9,Test1_Hand!$B$11)</f>
        <v>1.63373199746935</v>
      </c>
      <c r="E912" s="2" t="n">
        <f aca="false">IF(B912&lt;Test1_Hand!$B$12,1,0)</f>
        <v>1</v>
      </c>
      <c r="F912" s="23" t="n">
        <f aca="false">Test1_Hand!$B$4+E912*D912</f>
        <v>17.6337319974693</v>
      </c>
      <c r="G912" s="24" t="n">
        <f aca="false">Test1_Hand!$B$6*E912*D912+Test1_Hand!$B$7*MAX(0,F912-Test1_Hand!$B$5)</f>
        <v>13069.8559797548</v>
      </c>
      <c r="H912" s="2" t="n">
        <f aca="false">IF(B912&lt;Test1_Hand!$B$13,1,0)</f>
        <v>0</v>
      </c>
      <c r="I912" s="23" t="n">
        <f aca="false">Test1_Hand!$B$4+H912*D912</f>
        <v>16</v>
      </c>
      <c r="J912" s="24" t="n">
        <f aca="false">Test1_Hand!$B$6*H912*D912+Test1_Hand!$B$7*MAX(0,I912-Test1_Hand!$B$5)+Test1_Hand!$B$14</f>
        <v>6000</v>
      </c>
    </row>
    <row r="913" customFormat="false" ht="15" hidden="false" customHeight="false" outlineLevel="0" collapsed="false">
      <c r="A913" s="2" t="n">
        <v>901</v>
      </c>
      <c r="B913" s="22" t="n">
        <v>0.250479355060859</v>
      </c>
      <c r="C913" s="22" t="n">
        <v>0.960982549687723</v>
      </c>
      <c r="D913" s="23" t="n">
        <f aca="false">BETAINV(C913,Test1_Hand!$B$21,Test1_Hand!$B$22,Test1_Hand!$B$9,Test1_Hand!$B$11)</f>
        <v>5.92664098601457</v>
      </c>
      <c r="E913" s="2" t="n">
        <f aca="false">IF(B913&lt;Test1_Hand!$B$12,1,0)</f>
        <v>1</v>
      </c>
      <c r="F913" s="23" t="n">
        <f aca="false">Test1_Hand!$B$4+E913*D913</f>
        <v>21.9266409860146</v>
      </c>
      <c r="G913" s="24" t="n">
        <f aca="false">Test1_Hand!$B$6*E913*D913+Test1_Hand!$B$7*MAX(0,F913-Test1_Hand!$B$5)</f>
        <v>57046.3328181894</v>
      </c>
      <c r="H913" s="2" t="n">
        <f aca="false">IF(B913&lt;Test1_Hand!$B$13,1,0)</f>
        <v>0</v>
      </c>
      <c r="I913" s="23" t="n">
        <f aca="false">Test1_Hand!$B$4+H913*D913</f>
        <v>16</v>
      </c>
      <c r="J913" s="24" t="n">
        <f aca="false">Test1_Hand!$B$6*H913*D913+Test1_Hand!$B$7*MAX(0,I913-Test1_Hand!$B$5)+Test1_Hand!$B$14</f>
        <v>6000</v>
      </c>
    </row>
    <row r="914" customFormat="false" ht="15" hidden="false" customHeight="false" outlineLevel="0" collapsed="false">
      <c r="A914" s="2" t="n">
        <v>902</v>
      </c>
      <c r="B914" s="22" t="n">
        <v>0.413980095755275</v>
      </c>
      <c r="C914" s="22" t="n">
        <v>0.419816582634405</v>
      </c>
      <c r="D914" s="23" t="n">
        <f aca="false">BETAINV(C914,Test1_Hand!$B$21,Test1_Hand!$B$22,Test1_Hand!$B$9,Test1_Hand!$B$11)</f>
        <v>3.10384614092135</v>
      </c>
      <c r="E914" s="2" t="n">
        <f aca="false">IF(B914&lt;Test1_Hand!$B$12,1,0)</f>
        <v>1</v>
      </c>
      <c r="F914" s="23" t="n">
        <f aca="false">Test1_Hand!$B$4+E914*D914</f>
        <v>19.1038461409213</v>
      </c>
      <c r="G914" s="24" t="n">
        <f aca="false">Test1_Hand!$B$6*E914*D914+Test1_Hand!$B$7*MAX(0,F914-Test1_Hand!$B$5)</f>
        <v>24830.7691273708</v>
      </c>
      <c r="H914" s="2" t="n">
        <f aca="false">IF(B914&lt;Test1_Hand!$B$13,1,0)</f>
        <v>0</v>
      </c>
      <c r="I914" s="23" t="n">
        <f aca="false">Test1_Hand!$B$4+H914*D914</f>
        <v>16</v>
      </c>
      <c r="J914" s="24" t="n">
        <f aca="false">Test1_Hand!$B$6*H914*D914+Test1_Hand!$B$7*MAX(0,I914-Test1_Hand!$B$5)+Test1_Hand!$B$14</f>
        <v>6000</v>
      </c>
    </row>
    <row r="915" customFormat="false" ht="15" hidden="false" customHeight="false" outlineLevel="0" collapsed="false">
      <c r="A915" s="2" t="n">
        <v>903</v>
      </c>
      <c r="B915" s="22" t="n">
        <v>0.225548456113913</v>
      </c>
      <c r="C915" s="22" t="n">
        <v>0.387628739880325</v>
      </c>
      <c r="D915" s="23" t="n">
        <f aca="false">BETAINV(C915,Test1_Hand!$B$21,Test1_Hand!$B$22,Test1_Hand!$B$9,Test1_Hand!$B$11)</f>
        <v>2.99326041477828</v>
      </c>
      <c r="E915" s="2" t="n">
        <f aca="false">IF(B915&lt;Test1_Hand!$B$12,1,0)</f>
        <v>1</v>
      </c>
      <c r="F915" s="23" t="n">
        <f aca="false">Test1_Hand!$B$4+E915*D915</f>
        <v>18.9932604147783</v>
      </c>
      <c r="G915" s="24" t="n">
        <f aca="false">Test1_Hand!$B$6*E915*D915+Test1_Hand!$B$7*MAX(0,F915-Test1_Hand!$B$5)</f>
        <v>23946.0833182263</v>
      </c>
      <c r="H915" s="2" t="n">
        <f aca="false">IF(B915&lt;Test1_Hand!$B$13,1,0)</f>
        <v>0</v>
      </c>
      <c r="I915" s="23" t="n">
        <f aca="false">Test1_Hand!$B$4+H915*D915</f>
        <v>16</v>
      </c>
      <c r="J915" s="24" t="n">
        <f aca="false">Test1_Hand!$B$6*H915*D915+Test1_Hand!$B$7*MAX(0,I915-Test1_Hand!$B$5)+Test1_Hand!$B$14</f>
        <v>6000</v>
      </c>
    </row>
    <row r="916" customFormat="false" ht="15" hidden="false" customHeight="false" outlineLevel="0" collapsed="false">
      <c r="A916" s="2" t="n">
        <v>904</v>
      </c>
      <c r="B916" s="22" t="n">
        <v>0.558101420654005</v>
      </c>
      <c r="C916" s="22" t="n">
        <v>0.185518730896287</v>
      </c>
      <c r="D916" s="23" t="n">
        <f aca="false">BETAINV(C916,Test1_Hand!$B$21,Test1_Hand!$B$22,Test1_Hand!$B$9,Test1_Hand!$B$11)</f>
        <v>2.27073313645419</v>
      </c>
      <c r="E916" s="2" t="n">
        <f aca="false">IF(B916&lt;Test1_Hand!$B$12,1,0)</f>
        <v>0</v>
      </c>
      <c r="F916" s="23" t="n">
        <f aca="false">Test1_Hand!$B$4+E916*D916</f>
        <v>16</v>
      </c>
      <c r="G916" s="24" t="n">
        <f aca="false">Test1_Hand!$B$6*E916*D916+Test1_Hand!$B$7*MAX(0,F916-Test1_Hand!$B$5)</f>
        <v>0</v>
      </c>
      <c r="H916" s="2" t="n">
        <f aca="false">IF(B916&lt;Test1_Hand!$B$13,1,0)</f>
        <v>0</v>
      </c>
      <c r="I916" s="23" t="n">
        <f aca="false">Test1_Hand!$B$4+H916*D916</f>
        <v>16</v>
      </c>
      <c r="J916" s="24" t="n">
        <f aca="false">Test1_Hand!$B$6*H916*D916+Test1_Hand!$B$7*MAX(0,I916-Test1_Hand!$B$5)+Test1_Hand!$B$14</f>
        <v>6000</v>
      </c>
    </row>
    <row r="917" customFormat="false" ht="15" hidden="false" customHeight="false" outlineLevel="0" collapsed="false">
      <c r="A917" s="2" t="n">
        <v>905</v>
      </c>
      <c r="B917" s="22" t="n">
        <v>0.588994522796936</v>
      </c>
      <c r="C917" s="22" t="n">
        <v>0.842138844101445</v>
      </c>
      <c r="D917" s="23" t="n">
        <f aca="false">BETAINV(C917,Test1_Hand!$B$21,Test1_Hand!$B$22,Test1_Hand!$B$9,Test1_Hand!$B$11)</f>
        <v>4.86690222417806</v>
      </c>
      <c r="E917" s="2" t="n">
        <f aca="false">IF(B917&lt;Test1_Hand!$B$12,1,0)</f>
        <v>0</v>
      </c>
      <c r="F917" s="23" t="n">
        <f aca="false">Test1_Hand!$B$4+E917*D917</f>
        <v>16</v>
      </c>
      <c r="G917" s="24" t="n">
        <f aca="false">Test1_Hand!$B$6*E917*D917+Test1_Hand!$B$7*MAX(0,F917-Test1_Hand!$B$5)</f>
        <v>0</v>
      </c>
      <c r="H917" s="2" t="n">
        <f aca="false">IF(B917&lt;Test1_Hand!$B$13,1,0)</f>
        <v>0</v>
      </c>
      <c r="I917" s="23" t="n">
        <f aca="false">Test1_Hand!$B$4+H917*D917</f>
        <v>16</v>
      </c>
      <c r="J917" s="24" t="n">
        <f aca="false">Test1_Hand!$B$6*H917*D917+Test1_Hand!$B$7*MAX(0,I917-Test1_Hand!$B$5)+Test1_Hand!$B$14</f>
        <v>6000</v>
      </c>
    </row>
    <row r="918" customFormat="false" ht="15" hidden="false" customHeight="false" outlineLevel="0" collapsed="false">
      <c r="A918" s="2" t="n">
        <v>906</v>
      </c>
      <c r="B918" s="22" t="n">
        <v>0.444009537114687</v>
      </c>
      <c r="C918" s="22" t="n">
        <v>0.199611710948204</v>
      </c>
      <c r="D918" s="23" t="n">
        <f aca="false">BETAINV(C918,Test1_Hand!$B$21,Test1_Hand!$B$22,Test1_Hand!$B$9,Test1_Hand!$B$11)</f>
        <v>2.32522293299782</v>
      </c>
      <c r="E918" s="2" t="n">
        <f aca="false">IF(B918&lt;Test1_Hand!$B$12,1,0)</f>
        <v>1</v>
      </c>
      <c r="F918" s="23" t="n">
        <f aca="false">Test1_Hand!$B$4+E918*D918</f>
        <v>18.3252229329978</v>
      </c>
      <c r="G918" s="24" t="n">
        <f aca="false">Test1_Hand!$B$6*E918*D918+Test1_Hand!$B$7*MAX(0,F918-Test1_Hand!$B$5)</f>
        <v>18601.7834639826</v>
      </c>
      <c r="H918" s="2" t="n">
        <f aca="false">IF(B918&lt;Test1_Hand!$B$13,1,0)</f>
        <v>0</v>
      </c>
      <c r="I918" s="23" t="n">
        <f aca="false">Test1_Hand!$B$4+H918*D918</f>
        <v>16</v>
      </c>
      <c r="J918" s="24" t="n">
        <f aca="false">Test1_Hand!$B$6*H918*D918+Test1_Hand!$B$7*MAX(0,I918-Test1_Hand!$B$5)+Test1_Hand!$B$14</f>
        <v>6000</v>
      </c>
    </row>
    <row r="919" customFormat="false" ht="15" hidden="false" customHeight="false" outlineLevel="0" collapsed="false">
      <c r="A919" s="2" t="n">
        <v>907</v>
      </c>
      <c r="B919" s="22" t="n">
        <v>0.344673309213296</v>
      </c>
      <c r="C919" s="22" t="n">
        <v>0.959540315713928</v>
      </c>
      <c r="D919" s="23" t="n">
        <f aca="false">BETAINV(C919,Test1_Hand!$B$21,Test1_Hand!$B$22,Test1_Hand!$B$9,Test1_Hand!$B$11)</f>
        <v>5.90505285761961</v>
      </c>
      <c r="E919" s="2" t="n">
        <f aca="false">IF(B919&lt;Test1_Hand!$B$12,1,0)</f>
        <v>1</v>
      </c>
      <c r="F919" s="23" t="n">
        <f aca="false">Test1_Hand!$B$4+E919*D919</f>
        <v>21.9050528576196</v>
      </c>
      <c r="G919" s="24" t="n">
        <f aca="false">Test1_Hand!$B$6*E919*D919+Test1_Hand!$B$7*MAX(0,F919-Test1_Hand!$B$5)</f>
        <v>56765.6871490549</v>
      </c>
      <c r="H919" s="2" t="n">
        <f aca="false">IF(B919&lt;Test1_Hand!$B$13,1,0)</f>
        <v>0</v>
      </c>
      <c r="I919" s="23" t="n">
        <f aca="false">Test1_Hand!$B$4+H919*D919</f>
        <v>16</v>
      </c>
      <c r="J919" s="24" t="n">
        <f aca="false">Test1_Hand!$B$6*H919*D919+Test1_Hand!$B$7*MAX(0,I919-Test1_Hand!$B$5)+Test1_Hand!$B$14</f>
        <v>6000</v>
      </c>
    </row>
    <row r="920" customFormat="false" ht="15" hidden="false" customHeight="false" outlineLevel="0" collapsed="false">
      <c r="A920" s="2" t="n">
        <v>908</v>
      </c>
      <c r="B920" s="22" t="n">
        <v>0.598758812420083</v>
      </c>
      <c r="C920" s="22" t="n">
        <v>0.83290060036846</v>
      </c>
      <c r="D920" s="23" t="n">
        <f aca="false">BETAINV(C920,Test1_Hand!$B$21,Test1_Hand!$B$22,Test1_Hand!$B$9,Test1_Hand!$B$11)</f>
        <v>4.81110000204429</v>
      </c>
      <c r="E920" s="2" t="n">
        <f aca="false">IF(B920&lt;Test1_Hand!$B$12,1,0)</f>
        <v>0</v>
      </c>
      <c r="F920" s="23" t="n">
        <f aca="false">Test1_Hand!$B$4+E920*D920</f>
        <v>16</v>
      </c>
      <c r="G920" s="24" t="n">
        <f aca="false">Test1_Hand!$B$6*E920*D920+Test1_Hand!$B$7*MAX(0,F920-Test1_Hand!$B$5)</f>
        <v>0</v>
      </c>
      <c r="H920" s="2" t="n">
        <f aca="false">IF(B920&lt;Test1_Hand!$B$13,1,0)</f>
        <v>0</v>
      </c>
      <c r="I920" s="23" t="n">
        <f aca="false">Test1_Hand!$B$4+H920*D920</f>
        <v>16</v>
      </c>
      <c r="J920" s="24" t="n">
        <f aca="false">Test1_Hand!$B$6*H920*D920+Test1_Hand!$B$7*MAX(0,I920-Test1_Hand!$B$5)+Test1_Hand!$B$14</f>
        <v>6000</v>
      </c>
    </row>
    <row r="921" customFormat="false" ht="15" hidden="false" customHeight="false" outlineLevel="0" collapsed="false">
      <c r="A921" s="2" t="n">
        <v>909</v>
      </c>
      <c r="B921" s="22" t="n">
        <v>0.879941328730346</v>
      </c>
      <c r="C921" s="22" t="n">
        <v>0.560045126028022</v>
      </c>
      <c r="D921" s="23" t="n">
        <f aca="false">BETAINV(C921,Test1_Hand!$B$21,Test1_Hand!$B$22,Test1_Hand!$B$9,Test1_Hand!$B$11)</f>
        <v>3.59820927651748</v>
      </c>
      <c r="E921" s="2" t="n">
        <f aca="false">IF(B921&lt;Test1_Hand!$B$12,1,0)</f>
        <v>0</v>
      </c>
      <c r="F921" s="23" t="n">
        <f aca="false">Test1_Hand!$B$4+E921*D921</f>
        <v>16</v>
      </c>
      <c r="G921" s="24" t="n">
        <f aca="false">Test1_Hand!$B$6*E921*D921+Test1_Hand!$B$7*MAX(0,F921-Test1_Hand!$B$5)</f>
        <v>0</v>
      </c>
      <c r="H921" s="2" t="n">
        <f aca="false">IF(B921&lt;Test1_Hand!$B$13,1,0)</f>
        <v>0</v>
      </c>
      <c r="I921" s="23" t="n">
        <f aca="false">Test1_Hand!$B$4+H921*D921</f>
        <v>16</v>
      </c>
      <c r="J921" s="24" t="n">
        <f aca="false">Test1_Hand!$B$6*H921*D921+Test1_Hand!$B$7*MAX(0,I921-Test1_Hand!$B$5)+Test1_Hand!$B$14</f>
        <v>6000</v>
      </c>
    </row>
    <row r="922" customFormat="false" ht="15" hidden="false" customHeight="false" outlineLevel="0" collapsed="false">
      <c r="A922" s="2" t="n">
        <v>910</v>
      </c>
      <c r="B922" s="22" t="n">
        <v>0.670630707495125</v>
      </c>
      <c r="C922" s="22" t="n">
        <v>0.405529175864331</v>
      </c>
      <c r="D922" s="23" t="n">
        <f aca="false">BETAINV(C922,Test1_Hand!$B$21,Test1_Hand!$B$22,Test1_Hand!$B$9,Test1_Hand!$B$11)</f>
        <v>3.05472978206205</v>
      </c>
      <c r="E922" s="2" t="n">
        <f aca="false">IF(B922&lt;Test1_Hand!$B$12,1,0)</f>
        <v>0</v>
      </c>
      <c r="F922" s="23" t="n">
        <f aca="false">Test1_Hand!$B$4+E922*D922</f>
        <v>16</v>
      </c>
      <c r="G922" s="24" t="n">
        <f aca="false">Test1_Hand!$B$6*E922*D922+Test1_Hand!$B$7*MAX(0,F922-Test1_Hand!$B$5)</f>
        <v>0</v>
      </c>
      <c r="H922" s="2" t="n">
        <f aca="false">IF(B922&lt;Test1_Hand!$B$13,1,0)</f>
        <v>0</v>
      </c>
      <c r="I922" s="23" t="n">
        <f aca="false">Test1_Hand!$B$4+H922*D922</f>
        <v>16</v>
      </c>
      <c r="J922" s="24" t="n">
        <f aca="false">Test1_Hand!$B$6*H922*D922+Test1_Hand!$B$7*MAX(0,I922-Test1_Hand!$B$5)+Test1_Hand!$B$14</f>
        <v>6000</v>
      </c>
    </row>
    <row r="923" customFormat="false" ht="15" hidden="false" customHeight="false" outlineLevel="0" collapsed="false">
      <c r="A923" s="2" t="n">
        <v>911</v>
      </c>
      <c r="B923" s="22" t="n">
        <v>0.348471203162619</v>
      </c>
      <c r="C923" s="22" t="n">
        <v>0.477084531799504</v>
      </c>
      <c r="D923" s="23" t="n">
        <f aca="false">BETAINV(C923,Test1_Hand!$B$21,Test1_Hand!$B$22,Test1_Hand!$B$9,Test1_Hand!$B$11)</f>
        <v>3.30214894035523</v>
      </c>
      <c r="E923" s="2" t="n">
        <f aca="false">IF(B923&lt;Test1_Hand!$B$12,1,0)</f>
        <v>1</v>
      </c>
      <c r="F923" s="23" t="n">
        <f aca="false">Test1_Hand!$B$4+E923*D923</f>
        <v>19.3021489403552</v>
      </c>
      <c r="G923" s="24" t="n">
        <f aca="false">Test1_Hand!$B$6*E923*D923+Test1_Hand!$B$7*MAX(0,F923-Test1_Hand!$B$5)</f>
        <v>26417.1915228418</v>
      </c>
      <c r="H923" s="2" t="n">
        <f aca="false">IF(B923&lt;Test1_Hand!$B$13,1,0)</f>
        <v>0</v>
      </c>
      <c r="I923" s="23" t="n">
        <f aca="false">Test1_Hand!$B$4+H923*D923</f>
        <v>16</v>
      </c>
      <c r="J923" s="24" t="n">
        <f aca="false">Test1_Hand!$B$6*H923*D923+Test1_Hand!$B$7*MAX(0,I923-Test1_Hand!$B$5)+Test1_Hand!$B$14</f>
        <v>6000</v>
      </c>
    </row>
    <row r="924" customFormat="false" ht="15" hidden="false" customHeight="false" outlineLevel="0" collapsed="false">
      <c r="A924" s="2" t="n">
        <v>912</v>
      </c>
      <c r="B924" s="22" t="n">
        <v>0.391415296812067</v>
      </c>
      <c r="C924" s="22" t="n">
        <v>0.559246799533383</v>
      </c>
      <c r="D924" s="23" t="n">
        <f aca="false">BETAINV(C924,Test1_Hand!$B$21,Test1_Hand!$B$22,Test1_Hand!$B$9,Test1_Hand!$B$11)</f>
        <v>3.59528510184477</v>
      </c>
      <c r="E924" s="2" t="n">
        <f aca="false">IF(B924&lt;Test1_Hand!$B$12,1,0)</f>
        <v>1</v>
      </c>
      <c r="F924" s="23" t="n">
        <f aca="false">Test1_Hand!$B$4+E924*D924</f>
        <v>19.5952851018448</v>
      </c>
      <c r="G924" s="24" t="n">
        <f aca="false">Test1_Hand!$B$6*E924*D924+Test1_Hand!$B$7*MAX(0,F924-Test1_Hand!$B$5)</f>
        <v>28762.2808147582</v>
      </c>
      <c r="H924" s="2" t="n">
        <f aca="false">IF(B924&lt;Test1_Hand!$B$13,1,0)</f>
        <v>0</v>
      </c>
      <c r="I924" s="23" t="n">
        <f aca="false">Test1_Hand!$B$4+H924*D924</f>
        <v>16</v>
      </c>
      <c r="J924" s="24" t="n">
        <f aca="false">Test1_Hand!$B$6*H924*D924+Test1_Hand!$B$7*MAX(0,I924-Test1_Hand!$B$5)+Test1_Hand!$B$14</f>
        <v>6000</v>
      </c>
    </row>
    <row r="925" customFormat="false" ht="15" hidden="false" customHeight="false" outlineLevel="0" collapsed="false">
      <c r="A925" s="2" t="n">
        <v>913</v>
      </c>
      <c r="B925" s="22" t="n">
        <v>0.987252895741653</v>
      </c>
      <c r="C925" s="22" t="n">
        <v>0.800104382710119</v>
      </c>
      <c r="D925" s="23" t="n">
        <f aca="false">BETAINV(C925,Test1_Hand!$B$21,Test1_Hand!$B$22,Test1_Hand!$B$9,Test1_Hand!$B$11)</f>
        <v>4.62643829501523</v>
      </c>
      <c r="E925" s="2" t="n">
        <f aca="false">IF(B925&lt;Test1_Hand!$B$12,1,0)</f>
        <v>0</v>
      </c>
      <c r="F925" s="23" t="n">
        <f aca="false">Test1_Hand!$B$4+E925*D925</f>
        <v>16</v>
      </c>
      <c r="G925" s="24" t="n">
        <f aca="false">Test1_Hand!$B$6*E925*D925+Test1_Hand!$B$7*MAX(0,F925-Test1_Hand!$B$5)</f>
        <v>0</v>
      </c>
      <c r="H925" s="2" t="n">
        <f aca="false">IF(B925&lt;Test1_Hand!$B$13,1,0)</f>
        <v>0</v>
      </c>
      <c r="I925" s="23" t="n">
        <f aca="false">Test1_Hand!$B$4+H925*D925</f>
        <v>16</v>
      </c>
      <c r="J925" s="24" t="n">
        <f aca="false">Test1_Hand!$B$6*H925*D925+Test1_Hand!$B$7*MAX(0,I925-Test1_Hand!$B$5)+Test1_Hand!$B$14</f>
        <v>6000</v>
      </c>
    </row>
    <row r="926" customFormat="false" ht="15" hidden="false" customHeight="false" outlineLevel="0" collapsed="false">
      <c r="A926" s="2" t="n">
        <v>914</v>
      </c>
      <c r="B926" s="22" t="n">
        <v>0.89717811692464</v>
      </c>
      <c r="C926" s="22" t="n">
        <v>0.261560942122584</v>
      </c>
      <c r="D926" s="23" t="n">
        <f aca="false">BETAINV(C926,Test1_Hand!$B$21,Test1_Hand!$B$22,Test1_Hand!$B$9,Test1_Hand!$B$11)</f>
        <v>2.55412560382406</v>
      </c>
      <c r="E926" s="2" t="n">
        <f aca="false">IF(B926&lt;Test1_Hand!$B$12,1,0)</f>
        <v>0</v>
      </c>
      <c r="F926" s="23" t="n">
        <f aca="false">Test1_Hand!$B$4+E926*D926</f>
        <v>16</v>
      </c>
      <c r="G926" s="24" t="n">
        <f aca="false">Test1_Hand!$B$6*E926*D926+Test1_Hand!$B$7*MAX(0,F926-Test1_Hand!$B$5)</f>
        <v>0</v>
      </c>
      <c r="H926" s="2" t="n">
        <f aca="false">IF(B926&lt;Test1_Hand!$B$13,1,0)</f>
        <v>0</v>
      </c>
      <c r="I926" s="23" t="n">
        <f aca="false">Test1_Hand!$B$4+H926*D926</f>
        <v>16</v>
      </c>
      <c r="J926" s="24" t="n">
        <f aca="false">Test1_Hand!$B$6*H926*D926+Test1_Hand!$B$7*MAX(0,I926-Test1_Hand!$B$5)+Test1_Hand!$B$14</f>
        <v>6000</v>
      </c>
    </row>
    <row r="927" customFormat="false" ht="15" hidden="false" customHeight="false" outlineLevel="0" collapsed="false">
      <c r="A927" s="2" t="n">
        <v>915</v>
      </c>
      <c r="B927" s="22" t="n">
        <v>0.323274163267838</v>
      </c>
      <c r="C927" s="22" t="n">
        <v>0.964185424028322</v>
      </c>
      <c r="D927" s="23" t="n">
        <f aca="false">BETAINV(C927,Test1_Hand!$B$21,Test1_Hand!$B$22,Test1_Hand!$B$9,Test1_Hand!$B$11)</f>
        <v>5.97659603254841</v>
      </c>
      <c r="E927" s="2" t="n">
        <f aca="false">IF(B927&lt;Test1_Hand!$B$12,1,0)</f>
        <v>1</v>
      </c>
      <c r="F927" s="23" t="n">
        <f aca="false">Test1_Hand!$B$4+E927*D927</f>
        <v>21.9765960325484</v>
      </c>
      <c r="G927" s="24" t="n">
        <f aca="false">Test1_Hand!$B$6*E927*D927+Test1_Hand!$B$7*MAX(0,F927-Test1_Hand!$B$5)</f>
        <v>57695.7484231294</v>
      </c>
      <c r="H927" s="2" t="n">
        <f aca="false">IF(B927&lt;Test1_Hand!$B$13,1,0)</f>
        <v>0</v>
      </c>
      <c r="I927" s="23" t="n">
        <f aca="false">Test1_Hand!$B$4+H927*D927</f>
        <v>16</v>
      </c>
      <c r="J927" s="24" t="n">
        <f aca="false">Test1_Hand!$B$6*H927*D927+Test1_Hand!$B$7*MAX(0,I927-Test1_Hand!$B$5)+Test1_Hand!$B$14</f>
        <v>6000</v>
      </c>
    </row>
    <row r="928" customFormat="false" ht="15" hidden="false" customHeight="false" outlineLevel="0" collapsed="false">
      <c r="A928" s="2" t="n">
        <v>916</v>
      </c>
      <c r="B928" s="22" t="n">
        <v>0.385247301209581</v>
      </c>
      <c r="C928" s="22" t="n">
        <v>0.559579794008835</v>
      </c>
      <c r="D928" s="23" t="n">
        <f aca="false">BETAINV(C928,Test1_Hand!$B$21,Test1_Hand!$B$22,Test1_Hand!$B$9,Test1_Hand!$B$11)</f>
        <v>3.59650460389931</v>
      </c>
      <c r="E928" s="2" t="n">
        <f aca="false">IF(B928&lt;Test1_Hand!$B$12,1,0)</f>
        <v>1</v>
      </c>
      <c r="F928" s="23" t="n">
        <f aca="false">Test1_Hand!$B$4+E928*D928</f>
        <v>19.5965046038993</v>
      </c>
      <c r="G928" s="24" t="n">
        <f aca="false">Test1_Hand!$B$6*E928*D928+Test1_Hand!$B$7*MAX(0,F928-Test1_Hand!$B$5)</f>
        <v>28772.0368311945</v>
      </c>
      <c r="H928" s="2" t="n">
        <f aca="false">IF(B928&lt;Test1_Hand!$B$13,1,0)</f>
        <v>0</v>
      </c>
      <c r="I928" s="23" t="n">
        <f aca="false">Test1_Hand!$B$4+H928*D928</f>
        <v>16</v>
      </c>
      <c r="J928" s="24" t="n">
        <f aca="false">Test1_Hand!$B$6*H928*D928+Test1_Hand!$B$7*MAX(0,I928-Test1_Hand!$B$5)+Test1_Hand!$B$14</f>
        <v>6000</v>
      </c>
    </row>
    <row r="929" customFormat="false" ht="15" hidden="false" customHeight="false" outlineLevel="0" collapsed="false">
      <c r="A929" s="2" t="n">
        <v>917</v>
      </c>
      <c r="B929" s="22" t="n">
        <v>0.0388998317966838</v>
      </c>
      <c r="C929" s="22" t="n">
        <v>0.893722679281124</v>
      </c>
      <c r="D929" s="23" t="n">
        <f aca="false">BETAINV(C929,Test1_Hand!$B$21,Test1_Hand!$B$22,Test1_Hand!$B$9,Test1_Hand!$B$11)</f>
        <v>5.22253932089485</v>
      </c>
      <c r="E929" s="2" t="n">
        <f aca="false">IF(B929&lt;Test1_Hand!$B$12,1,0)</f>
        <v>1</v>
      </c>
      <c r="F929" s="23" t="n">
        <f aca="false">Test1_Hand!$B$4+E929*D929</f>
        <v>21.2225393208948</v>
      </c>
      <c r="G929" s="24" t="n">
        <f aca="false">Test1_Hand!$B$6*E929*D929+Test1_Hand!$B$7*MAX(0,F929-Test1_Hand!$B$5)</f>
        <v>47893.011171633</v>
      </c>
      <c r="H929" s="2" t="n">
        <f aca="false">IF(B929&lt;Test1_Hand!$B$13,1,0)</f>
        <v>1</v>
      </c>
      <c r="I929" s="23" t="n">
        <f aca="false">Test1_Hand!$B$4+H929*D929</f>
        <v>21.2225393208948</v>
      </c>
      <c r="J929" s="24" t="n">
        <f aca="false">Test1_Hand!$B$6*H929*D929+Test1_Hand!$B$7*MAX(0,I929-Test1_Hand!$B$5)+Test1_Hand!$B$14</f>
        <v>53893.011171633</v>
      </c>
    </row>
    <row r="930" customFormat="false" ht="15" hidden="false" customHeight="false" outlineLevel="0" collapsed="false">
      <c r="A930" s="2" t="n">
        <v>918</v>
      </c>
      <c r="B930" s="22" t="n">
        <v>0.781237165158741</v>
      </c>
      <c r="C930" s="22" t="n">
        <v>0.78710182790031</v>
      </c>
      <c r="D930" s="23" t="n">
        <f aca="false">BETAINV(C930,Test1_Hand!$B$21,Test1_Hand!$B$22,Test1_Hand!$B$9,Test1_Hand!$B$11)</f>
        <v>4.55807786785404</v>
      </c>
      <c r="E930" s="2" t="n">
        <f aca="false">IF(B930&lt;Test1_Hand!$B$12,1,0)</f>
        <v>0</v>
      </c>
      <c r="F930" s="23" t="n">
        <f aca="false">Test1_Hand!$B$4+E930*D930</f>
        <v>16</v>
      </c>
      <c r="G930" s="24" t="n">
        <f aca="false">Test1_Hand!$B$6*E930*D930+Test1_Hand!$B$7*MAX(0,F930-Test1_Hand!$B$5)</f>
        <v>0</v>
      </c>
      <c r="H930" s="2" t="n">
        <f aca="false">IF(B930&lt;Test1_Hand!$B$13,1,0)</f>
        <v>0</v>
      </c>
      <c r="I930" s="23" t="n">
        <f aca="false">Test1_Hand!$B$4+H930*D930</f>
        <v>16</v>
      </c>
      <c r="J930" s="24" t="n">
        <f aca="false">Test1_Hand!$B$6*H930*D930+Test1_Hand!$B$7*MAX(0,I930-Test1_Hand!$B$5)+Test1_Hand!$B$14</f>
        <v>6000</v>
      </c>
    </row>
    <row r="931" customFormat="false" ht="15" hidden="false" customHeight="false" outlineLevel="0" collapsed="false">
      <c r="A931" s="2" t="n">
        <v>919</v>
      </c>
      <c r="B931" s="22" t="n">
        <v>0.123815799794018</v>
      </c>
      <c r="C931" s="22" t="n">
        <v>0.143745479105232</v>
      </c>
      <c r="D931" s="23" t="n">
        <f aca="false">BETAINV(C931,Test1_Hand!$B$21,Test1_Hand!$B$22,Test1_Hand!$B$9,Test1_Hand!$B$11)</f>
        <v>2.10122913816065</v>
      </c>
      <c r="E931" s="2" t="n">
        <f aca="false">IF(B931&lt;Test1_Hand!$B$12,1,0)</f>
        <v>1</v>
      </c>
      <c r="F931" s="23" t="n">
        <f aca="false">Test1_Hand!$B$4+E931*D931</f>
        <v>18.1012291381607</v>
      </c>
      <c r="G931" s="24" t="n">
        <f aca="false">Test1_Hand!$B$6*E931*D931+Test1_Hand!$B$7*MAX(0,F931-Test1_Hand!$B$5)</f>
        <v>16809.8331052852</v>
      </c>
      <c r="H931" s="2" t="n">
        <f aca="false">IF(B931&lt;Test1_Hand!$B$13,1,0)</f>
        <v>1</v>
      </c>
      <c r="I931" s="23" t="n">
        <f aca="false">Test1_Hand!$B$4+H931*D931</f>
        <v>18.1012291381607</v>
      </c>
      <c r="J931" s="24" t="n">
        <f aca="false">Test1_Hand!$B$6*H931*D931+Test1_Hand!$B$7*MAX(0,I931-Test1_Hand!$B$5)+Test1_Hand!$B$14</f>
        <v>22809.8331052852</v>
      </c>
    </row>
    <row r="932" customFormat="false" ht="15" hidden="false" customHeight="false" outlineLevel="0" collapsed="false">
      <c r="A932" s="2" t="n">
        <v>920</v>
      </c>
      <c r="B932" s="22" t="n">
        <v>0.413002440466843</v>
      </c>
      <c r="C932" s="22" t="n">
        <v>0.879070552592734</v>
      </c>
      <c r="D932" s="23" t="n">
        <f aca="false">BETAINV(C932,Test1_Hand!$B$21,Test1_Hand!$B$22,Test1_Hand!$B$9,Test1_Hand!$B$11)</f>
        <v>5.11230507448871</v>
      </c>
      <c r="E932" s="2" t="n">
        <f aca="false">IF(B932&lt;Test1_Hand!$B$12,1,0)</f>
        <v>1</v>
      </c>
      <c r="F932" s="23" t="n">
        <f aca="false">Test1_Hand!$B$4+E932*D932</f>
        <v>21.1123050744887</v>
      </c>
      <c r="G932" s="24" t="n">
        <f aca="false">Test1_Hand!$B$6*E932*D932+Test1_Hand!$B$7*MAX(0,F932-Test1_Hand!$B$5)</f>
        <v>46459.9659683533</v>
      </c>
      <c r="H932" s="2" t="n">
        <f aca="false">IF(B932&lt;Test1_Hand!$B$13,1,0)</f>
        <v>0</v>
      </c>
      <c r="I932" s="23" t="n">
        <f aca="false">Test1_Hand!$B$4+H932*D932</f>
        <v>16</v>
      </c>
      <c r="J932" s="24" t="n">
        <f aca="false">Test1_Hand!$B$6*H932*D932+Test1_Hand!$B$7*MAX(0,I932-Test1_Hand!$B$5)+Test1_Hand!$B$14</f>
        <v>6000</v>
      </c>
    </row>
    <row r="933" customFormat="false" ht="15" hidden="false" customHeight="false" outlineLevel="0" collapsed="false">
      <c r="A933" s="2" t="n">
        <v>921</v>
      </c>
      <c r="B933" s="22" t="n">
        <v>0.0716147961818167</v>
      </c>
      <c r="C933" s="22" t="n">
        <v>0.0672987352458895</v>
      </c>
      <c r="D933" s="23" t="n">
        <f aca="false">BETAINV(C933,Test1_Hand!$B$21,Test1_Hand!$B$22,Test1_Hand!$B$9,Test1_Hand!$B$11)</f>
        <v>1.73427111298745</v>
      </c>
      <c r="E933" s="2" t="n">
        <f aca="false">IF(B933&lt;Test1_Hand!$B$12,1,0)</f>
        <v>1</v>
      </c>
      <c r="F933" s="23" t="n">
        <f aca="false">Test1_Hand!$B$4+E933*D933</f>
        <v>17.7342711129875</v>
      </c>
      <c r="G933" s="24" t="n">
        <f aca="false">Test1_Hand!$B$6*E933*D933+Test1_Hand!$B$7*MAX(0,F933-Test1_Hand!$B$5)</f>
        <v>13874.1689038996</v>
      </c>
      <c r="H933" s="2" t="n">
        <f aca="false">IF(B933&lt;Test1_Hand!$B$13,1,0)</f>
        <v>1</v>
      </c>
      <c r="I933" s="23" t="n">
        <f aca="false">Test1_Hand!$B$4+H933*D933</f>
        <v>17.7342711129875</v>
      </c>
      <c r="J933" s="24" t="n">
        <f aca="false">Test1_Hand!$B$6*H933*D933+Test1_Hand!$B$7*MAX(0,I933-Test1_Hand!$B$5)+Test1_Hand!$B$14</f>
        <v>19874.1689038996</v>
      </c>
    </row>
    <row r="934" customFormat="false" ht="15" hidden="false" customHeight="false" outlineLevel="0" collapsed="false">
      <c r="A934" s="2" t="n">
        <v>922</v>
      </c>
      <c r="B934" s="22" t="n">
        <v>0.751691023361325</v>
      </c>
      <c r="C934" s="22" t="n">
        <v>0.784761031668096</v>
      </c>
      <c r="D934" s="23" t="n">
        <f aca="false">BETAINV(C934,Test1_Hand!$B$21,Test1_Hand!$B$22,Test1_Hand!$B$9,Test1_Hand!$B$11)</f>
        <v>4.54602289233249</v>
      </c>
      <c r="E934" s="2" t="n">
        <f aca="false">IF(B934&lt;Test1_Hand!$B$12,1,0)</f>
        <v>0</v>
      </c>
      <c r="F934" s="23" t="n">
        <f aca="false">Test1_Hand!$B$4+E934*D934</f>
        <v>16</v>
      </c>
      <c r="G934" s="24" t="n">
        <f aca="false">Test1_Hand!$B$6*E934*D934+Test1_Hand!$B$7*MAX(0,F934-Test1_Hand!$B$5)</f>
        <v>0</v>
      </c>
      <c r="H934" s="2" t="n">
        <f aca="false">IF(B934&lt;Test1_Hand!$B$13,1,0)</f>
        <v>0</v>
      </c>
      <c r="I934" s="23" t="n">
        <f aca="false">Test1_Hand!$B$4+H934*D934</f>
        <v>16</v>
      </c>
      <c r="J934" s="24" t="n">
        <f aca="false">Test1_Hand!$B$6*H934*D934+Test1_Hand!$B$7*MAX(0,I934-Test1_Hand!$B$5)+Test1_Hand!$B$14</f>
        <v>6000</v>
      </c>
    </row>
    <row r="935" customFormat="false" ht="15" hidden="false" customHeight="false" outlineLevel="0" collapsed="false">
      <c r="A935" s="2" t="n">
        <v>923</v>
      </c>
      <c r="B935" s="22" t="n">
        <v>0.511550783863521</v>
      </c>
      <c r="C935" s="22" t="n">
        <v>0.48386805755428</v>
      </c>
      <c r="D935" s="23" t="n">
        <f aca="false">BETAINV(C935,Test1_Hand!$B$21,Test1_Hand!$B$22,Test1_Hand!$B$9,Test1_Hand!$B$11)</f>
        <v>3.3258777599143</v>
      </c>
      <c r="E935" s="2" t="n">
        <f aca="false">IF(B935&lt;Test1_Hand!$B$12,1,0)</f>
        <v>0</v>
      </c>
      <c r="F935" s="23" t="n">
        <f aca="false">Test1_Hand!$B$4+E935*D935</f>
        <v>16</v>
      </c>
      <c r="G935" s="24" t="n">
        <f aca="false">Test1_Hand!$B$6*E935*D935+Test1_Hand!$B$7*MAX(0,F935-Test1_Hand!$B$5)</f>
        <v>0</v>
      </c>
      <c r="H935" s="2" t="n">
        <f aca="false">IF(B935&lt;Test1_Hand!$B$13,1,0)</f>
        <v>0</v>
      </c>
      <c r="I935" s="23" t="n">
        <f aca="false">Test1_Hand!$B$4+H935*D935</f>
        <v>16</v>
      </c>
      <c r="J935" s="24" t="n">
        <f aca="false">Test1_Hand!$B$6*H935*D935+Test1_Hand!$B$7*MAX(0,I935-Test1_Hand!$B$5)+Test1_Hand!$B$14</f>
        <v>6000</v>
      </c>
    </row>
    <row r="936" customFormat="false" ht="15" hidden="false" customHeight="false" outlineLevel="0" collapsed="false">
      <c r="A936" s="2" t="n">
        <v>924</v>
      </c>
      <c r="B936" s="22" t="n">
        <v>0.17006858244665</v>
      </c>
      <c r="C936" s="22" t="n">
        <v>0.18467469222644</v>
      </c>
      <c r="D936" s="23" t="n">
        <f aca="false">BETAINV(C936,Test1_Hand!$B$21,Test1_Hand!$B$22,Test1_Hand!$B$9,Test1_Hand!$B$11)</f>
        <v>2.2674329128802</v>
      </c>
      <c r="E936" s="2" t="n">
        <f aca="false">IF(B936&lt;Test1_Hand!$B$12,1,0)</f>
        <v>1</v>
      </c>
      <c r="F936" s="23" t="n">
        <f aca="false">Test1_Hand!$B$4+E936*D936</f>
        <v>18.2674329128802</v>
      </c>
      <c r="G936" s="24" t="n">
        <f aca="false">Test1_Hand!$B$6*E936*D936+Test1_Hand!$B$7*MAX(0,F936-Test1_Hand!$B$5)</f>
        <v>18139.4633030416</v>
      </c>
      <c r="H936" s="2" t="n">
        <f aca="false">IF(B936&lt;Test1_Hand!$B$13,1,0)</f>
        <v>1</v>
      </c>
      <c r="I936" s="23" t="n">
        <f aca="false">Test1_Hand!$B$4+H936*D936</f>
        <v>18.2674329128802</v>
      </c>
      <c r="J936" s="24" t="n">
        <f aca="false">Test1_Hand!$B$6*H936*D936+Test1_Hand!$B$7*MAX(0,I936-Test1_Hand!$B$5)+Test1_Hand!$B$14</f>
        <v>24139.4633030416</v>
      </c>
    </row>
    <row r="937" customFormat="false" ht="15" hidden="false" customHeight="false" outlineLevel="0" collapsed="false">
      <c r="A937" s="2" t="n">
        <v>925</v>
      </c>
      <c r="B937" s="22" t="n">
        <v>0.147653538125936</v>
      </c>
      <c r="C937" s="22" t="n">
        <v>0.25660980832473</v>
      </c>
      <c r="D937" s="23" t="n">
        <f aca="false">BETAINV(C937,Test1_Hand!$B$21,Test1_Hand!$B$22,Test1_Hand!$B$9,Test1_Hand!$B$11)</f>
        <v>2.53632436213489</v>
      </c>
      <c r="E937" s="2" t="n">
        <f aca="false">IF(B937&lt;Test1_Hand!$B$12,1,0)</f>
        <v>1</v>
      </c>
      <c r="F937" s="23" t="n">
        <f aca="false">Test1_Hand!$B$4+E937*D937</f>
        <v>18.5363243621349</v>
      </c>
      <c r="G937" s="24" t="n">
        <f aca="false">Test1_Hand!$B$6*E937*D937+Test1_Hand!$B$7*MAX(0,F937-Test1_Hand!$B$5)</f>
        <v>20290.5948970791</v>
      </c>
      <c r="H937" s="2" t="n">
        <f aca="false">IF(B937&lt;Test1_Hand!$B$13,1,0)</f>
        <v>1</v>
      </c>
      <c r="I937" s="23" t="n">
        <f aca="false">Test1_Hand!$B$4+H937*D937</f>
        <v>18.5363243621349</v>
      </c>
      <c r="J937" s="24" t="n">
        <f aca="false">Test1_Hand!$B$6*H937*D937+Test1_Hand!$B$7*MAX(0,I937-Test1_Hand!$B$5)+Test1_Hand!$B$14</f>
        <v>26290.5948970791</v>
      </c>
    </row>
    <row r="938" customFormat="false" ht="15" hidden="false" customHeight="false" outlineLevel="0" collapsed="false">
      <c r="A938" s="2" t="n">
        <v>926</v>
      </c>
      <c r="B938" s="22" t="n">
        <v>0.861195015321564</v>
      </c>
      <c r="C938" s="22" t="n">
        <v>0.586127303334822</v>
      </c>
      <c r="D938" s="23" t="n">
        <f aca="false">BETAINV(C938,Test1_Hand!$B$21,Test1_Hand!$B$22,Test1_Hand!$B$9,Test1_Hand!$B$11)</f>
        <v>3.69479024372712</v>
      </c>
      <c r="E938" s="2" t="n">
        <f aca="false">IF(B938&lt;Test1_Hand!$B$12,1,0)</f>
        <v>0</v>
      </c>
      <c r="F938" s="23" t="n">
        <f aca="false">Test1_Hand!$B$4+E938*D938</f>
        <v>16</v>
      </c>
      <c r="G938" s="24" t="n">
        <f aca="false">Test1_Hand!$B$6*E938*D938+Test1_Hand!$B$7*MAX(0,F938-Test1_Hand!$B$5)</f>
        <v>0</v>
      </c>
      <c r="H938" s="2" t="n">
        <f aca="false">IF(B938&lt;Test1_Hand!$B$13,1,0)</f>
        <v>0</v>
      </c>
      <c r="I938" s="23" t="n">
        <f aca="false">Test1_Hand!$B$4+H938*D938</f>
        <v>16</v>
      </c>
      <c r="J938" s="24" t="n">
        <f aca="false">Test1_Hand!$B$6*H938*D938+Test1_Hand!$B$7*MAX(0,I938-Test1_Hand!$B$5)+Test1_Hand!$B$14</f>
        <v>6000</v>
      </c>
    </row>
    <row r="939" customFormat="false" ht="15" hidden="false" customHeight="false" outlineLevel="0" collapsed="false">
      <c r="A939" s="2" t="n">
        <v>927</v>
      </c>
      <c r="B939" s="22" t="n">
        <v>0.613019721268352</v>
      </c>
      <c r="C939" s="22" t="n">
        <v>0.987026244474482</v>
      </c>
      <c r="D939" s="23" t="n">
        <f aca="false">BETAINV(C939,Test1_Hand!$B$21,Test1_Hand!$B$22,Test1_Hand!$B$9,Test1_Hand!$B$11)</f>
        <v>6.4772970151676</v>
      </c>
      <c r="E939" s="2" t="n">
        <f aca="false">IF(B939&lt;Test1_Hand!$B$12,1,0)</f>
        <v>0</v>
      </c>
      <c r="F939" s="23" t="n">
        <f aca="false">Test1_Hand!$B$4+E939*D939</f>
        <v>16</v>
      </c>
      <c r="G939" s="24" t="n">
        <f aca="false">Test1_Hand!$B$6*E939*D939+Test1_Hand!$B$7*MAX(0,F939-Test1_Hand!$B$5)</f>
        <v>0</v>
      </c>
      <c r="H939" s="2" t="n">
        <f aca="false">IF(B939&lt;Test1_Hand!$B$13,1,0)</f>
        <v>0</v>
      </c>
      <c r="I939" s="23" t="n">
        <f aca="false">Test1_Hand!$B$4+H939*D939</f>
        <v>16</v>
      </c>
      <c r="J939" s="24" t="n">
        <f aca="false">Test1_Hand!$B$6*H939*D939+Test1_Hand!$B$7*MAX(0,I939-Test1_Hand!$B$5)+Test1_Hand!$B$14</f>
        <v>6000</v>
      </c>
    </row>
    <row r="940" customFormat="false" ht="15" hidden="false" customHeight="false" outlineLevel="0" collapsed="false">
      <c r="A940" s="2" t="n">
        <v>928</v>
      </c>
      <c r="B940" s="22" t="n">
        <v>0.32487618741675</v>
      </c>
      <c r="C940" s="22" t="n">
        <v>0.493430394102319</v>
      </c>
      <c r="D940" s="23" t="n">
        <f aca="false">BETAINV(C940,Test1_Hand!$B$21,Test1_Hand!$B$22,Test1_Hand!$B$9,Test1_Hand!$B$11)</f>
        <v>3.35944302396132</v>
      </c>
      <c r="E940" s="2" t="n">
        <f aca="false">IF(B940&lt;Test1_Hand!$B$12,1,0)</f>
        <v>1</v>
      </c>
      <c r="F940" s="23" t="n">
        <f aca="false">Test1_Hand!$B$4+E940*D940</f>
        <v>19.3594430239613</v>
      </c>
      <c r="G940" s="24" t="n">
        <f aca="false">Test1_Hand!$B$6*E940*D940+Test1_Hand!$B$7*MAX(0,F940-Test1_Hand!$B$5)</f>
        <v>26875.5441916906</v>
      </c>
      <c r="H940" s="2" t="n">
        <f aca="false">IF(B940&lt;Test1_Hand!$B$13,1,0)</f>
        <v>0</v>
      </c>
      <c r="I940" s="23" t="n">
        <f aca="false">Test1_Hand!$B$4+H940*D940</f>
        <v>16</v>
      </c>
      <c r="J940" s="24" t="n">
        <f aca="false">Test1_Hand!$B$6*H940*D940+Test1_Hand!$B$7*MAX(0,I940-Test1_Hand!$B$5)+Test1_Hand!$B$14</f>
        <v>6000</v>
      </c>
    </row>
    <row r="941" customFormat="false" ht="15" hidden="false" customHeight="false" outlineLevel="0" collapsed="false">
      <c r="A941" s="2" t="n">
        <v>929</v>
      </c>
      <c r="B941" s="22" t="n">
        <v>0.816925271845781</v>
      </c>
      <c r="C941" s="22" t="n">
        <v>0.630358775537361</v>
      </c>
      <c r="D941" s="23" t="n">
        <f aca="false">BETAINV(C941,Test1_Hand!$B$21,Test1_Hand!$B$22,Test1_Hand!$B$9,Test1_Hand!$B$11)</f>
        <v>3.86403286765418</v>
      </c>
      <c r="E941" s="2" t="n">
        <f aca="false">IF(B941&lt;Test1_Hand!$B$12,1,0)</f>
        <v>0</v>
      </c>
      <c r="F941" s="23" t="n">
        <f aca="false">Test1_Hand!$B$4+E941*D941</f>
        <v>16</v>
      </c>
      <c r="G941" s="24" t="n">
        <f aca="false">Test1_Hand!$B$6*E941*D941+Test1_Hand!$B$7*MAX(0,F941-Test1_Hand!$B$5)</f>
        <v>0</v>
      </c>
      <c r="H941" s="2" t="n">
        <f aca="false">IF(B941&lt;Test1_Hand!$B$13,1,0)</f>
        <v>0</v>
      </c>
      <c r="I941" s="23" t="n">
        <f aca="false">Test1_Hand!$B$4+H941*D941</f>
        <v>16</v>
      </c>
      <c r="J941" s="24" t="n">
        <f aca="false">Test1_Hand!$B$6*H941*D941+Test1_Hand!$B$7*MAX(0,I941-Test1_Hand!$B$5)+Test1_Hand!$B$14</f>
        <v>6000</v>
      </c>
    </row>
    <row r="942" customFormat="false" ht="15" hidden="false" customHeight="false" outlineLevel="0" collapsed="false">
      <c r="A942" s="2" t="n">
        <v>930</v>
      </c>
      <c r="B942" s="22" t="n">
        <v>0.283848567891375</v>
      </c>
      <c r="C942" s="22" t="n">
        <v>0.190073535703539</v>
      </c>
      <c r="D942" s="23" t="n">
        <f aca="false">BETAINV(C942,Test1_Hand!$B$21,Test1_Hand!$B$22,Test1_Hand!$B$9,Test1_Hand!$B$11)</f>
        <v>2.2884683774154</v>
      </c>
      <c r="E942" s="2" t="n">
        <f aca="false">IF(B942&lt;Test1_Hand!$B$12,1,0)</f>
        <v>1</v>
      </c>
      <c r="F942" s="23" t="n">
        <f aca="false">Test1_Hand!$B$4+E942*D942</f>
        <v>18.2884683774154</v>
      </c>
      <c r="G942" s="24" t="n">
        <f aca="false">Test1_Hand!$B$6*E942*D942+Test1_Hand!$B$7*MAX(0,F942-Test1_Hand!$B$5)</f>
        <v>18307.7470193232</v>
      </c>
      <c r="H942" s="2" t="n">
        <f aca="false">IF(B942&lt;Test1_Hand!$B$13,1,0)</f>
        <v>0</v>
      </c>
      <c r="I942" s="23" t="n">
        <f aca="false">Test1_Hand!$B$4+H942*D942</f>
        <v>16</v>
      </c>
      <c r="J942" s="24" t="n">
        <f aca="false">Test1_Hand!$B$6*H942*D942+Test1_Hand!$B$7*MAX(0,I942-Test1_Hand!$B$5)+Test1_Hand!$B$14</f>
        <v>6000</v>
      </c>
    </row>
    <row r="943" customFormat="false" ht="15" hidden="false" customHeight="false" outlineLevel="0" collapsed="false">
      <c r="A943" s="2" t="n">
        <v>931</v>
      </c>
      <c r="B943" s="22" t="n">
        <v>0.361543976127734</v>
      </c>
      <c r="C943" s="22" t="n">
        <v>0.320331957522052</v>
      </c>
      <c r="D943" s="23" t="n">
        <f aca="false">BETAINV(C943,Test1_Hand!$B$21,Test1_Hand!$B$22,Test1_Hand!$B$9,Test1_Hand!$B$11)</f>
        <v>2.76126748646427</v>
      </c>
      <c r="E943" s="2" t="n">
        <f aca="false">IF(B943&lt;Test1_Hand!$B$12,1,0)</f>
        <v>1</v>
      </c>
      <c r="F943" s="23" t="n">
        <f aca="false">Test1_Hand!$B$4+E943*D943</f>
        <v>18.7612674864643</v>
      </c>
      <c r="G943" s="24" t="n">
        <f aca="false">Test1_Hand!$B$6*E943*D943+Test1_Hand!$B$7*MAX(0,F943-Test1_Hand!$B$5)</f>
        <v>22090.1398917141</v>
      </c>
      <c r="H943" s="2" t="n">
        <f aca="false">IF(B943&lt;Test1_Hand!$B$13,1,0)</f>
        <v>0</v>
      </c>
      <c r="I943" s="23" t="n">
        <f aca="false">Test1_Hand!$B$4+H943*D943</f>
        <v>16</v>
      </c>
      <c r="J943" s="24" t="n">
        <f aca="false">Test1_Hand!$B$6*H943*D943+Test1_Hand!$B$7*MAX(0,I943-Test1_Hand!$B$5)+Test1_Hand!$B$14</f>
        <v>6000</v>
      </c>
    </row>
    <row r="944" customFormat="false" ht="15" hidden="false" customHeight="false" outlineLevel="0" collapsed="false">
      <c r="A944" s="2" t="n">
        <v>932</v>
      </c>
      <c r="B944" s="22" t="n">
        <v>0.121142527615469</v>
      </c>
      <c r="C944" s="22" t="n">
        <v>0.320012694901402</v>
      </c>
      <c r="D944" s="23" t="n">
        <f aca="false">BETAINV(C944,Test1_Hand!$B$21,Test1_Hand!$B$22,Test1_Hand!$B$9,Test1_Hand!$B$11)</f>
        <v>2.76015803681386</v>
      </c>
      <c r="E944" s="2" t="n">
        <f aca="false">IF(B944&lt;Test1_Hand!$B$12,1,0)</f>
        <v>1</v>
      </c>
      <c r="F944" s="23" t="n">
        <f aca="false">Test1_Hand!$B$4+E944*D944</f>
        <v>18.7601580368139</v>
      </c>
      <c r="G944" s="24" t="n">
        <f aca="false">Test1_Hand!$B$6*E944*D944+Test1_Hand!$B$7*MAX(0,F944-Test1_Hand!$B$5)</f>
        <v>22081.2642945109</v>
      </c>
      <c r="H944" s="2" t="n">
        <f aca="false">IF(B944&lt;Test1_Hand!$B$13,1,0)</f>
        <v>1</v>
      </c>
      <c r="I944" s="23" t="n">
        <f aca="false">Test1_Hand!$B$4+H944*D944</f>
        <v>18.7601580368139</v>
      </c>
      <c r="J944" s="24" t="n">
        <f aca="false">Test1_Hand!$B$6*H944*D944+Test1_Hand!$B$7*MAX(0,I944-Test1_Hand!$B$5)+Test1_Hand!$B$14</f>
        <v>28081.2642945109</v>
      </c>
    </row>
    <row r="945" customFormat="false" ht="15" hidden="false" customHeight="false" outlineLevel="0" collapsed="false">
      <c r="A945" s="2" t="n">
        <v>933</v>
      </c>
      <c r="B945" s="22" t="n">
        <v>0.24593672618358</v>
      </c>
      <c r="C945" s="22" t="n">
        <v>0.83082023070906</v>
      </c>
      <c r="D945" s="23" t="n">
        <f aca="false">BETAINV(C945,Test1_Hand!$B$21,Test1_Hand!$B$22,Test1_Hand!$B$9,Test1_Hand!$B$11)</f>
        <v>4.79878801546788</v>
      </c>
      <c r="E945" s="2" t="n">
        <f aca="false">IF(B945&lt;Test1_Hand!$B$12,1,0)</f>
        <v>1</v>
      </c>
      <c r="F945" s="23" t="n">
        <f aca="false">Test1_Hand!$B$4+E945*D945</f>
        <v>20.7987880154679</v>
      </c>
      <c r="G945" s="24" t="n">
        <f aca="false">Test1_Hand!$B$6*E945*D945+Test1_Hand!$B$7*MAX(0,F945-Test1_Hand!$B$5)</f>
        <v>42384.2442010825</v>
      </c>
      <c r="H945" s="2" t="n">
        <f aca="false">IF(B945&lt;Test1_Hand!$B$13,1,0)</f>
        <v>0</v>
      </c>
      <c r="I945" s="23" t="n">
        <f aca="false">Test1_Hand!$B$4+H945*D945</f>
        <v>16</v>
      </c>
      <c r="J945" s="24" t="n">
        <f aca="false">Test1_Hand!$B$6*H945*D945+Test1_Hand!$B$7*MAX(0,I945-Test1_Hand!$B$5)+Test1_Hand!$B$14</f>
        <v>6000</v>
      </c>
    </row>
    <row r="946" customFormat="false" ht="15" hidden="false" customHeight="false" outlineLevel="0" collapsed="false">
      <c r="A946" s="2" t="n">
        <v>934</v>
      </c>
      <c r="B946" s="22" t="n">
        <v>0.163643565726928</v>
      </c>
      <c r="C946" s="22" t="n">
        <v>0.510659251052244</v>
      </c>
      <c r="D946" s="23" t="n">
        <f aca="false">BETAINV(C946,Test1_Hand!$B$21,Test1_Hand!$B$22,Test1_Hand!$B$9,Test1_Hand!$B$11)</f>
        <v>3.42030366097596</v>
      </c>
      <c r="E946" s="2" t="n">
        <f aca="false">IF(B946&lt;Test1_Hand!$B$12,1,0)</f>
        <v>1</v>
      </c>
      <c r="F946" s="23" t="n">
        <f aca="false">Test1_Hand!$B$4+E946*D946</f>
        <v>19.420303660976</v>
      </c>
      <c r="G946" s="24" t="n">
        <f aca="false">Test1_Hand!$B$6*E946*D946+Test1_Hand!$B$7*MAX(0,F946-Test1_Hand!$B$5)</f>
        <v>27362.4292878077</v>
      </c>
      <c r="H946" s="2" t="n">
        <f aca="false">IF(B946&lt;Test1_Hand!$B$13,1,0)</f>
        <v>1</v>
      </c>
      <c r="I946" s="23" t="n">
        <f aca="false">Test1_Hand!$B$4+H946*D946</f>
        <v>19.420303660976</v>
      </c>
      <c r="J946" s="24" t="n">
        <f aca="false">Test1_Hand!$B$6*H946*D946+Test1_Hand!$B$7*MAX(0,I946-Test1_Hand!$B$5)+Test1_Hand!$B$14</f>
        <v>33362.4292878077</v>
      </c>
    </row>
    <row r="947" customFormat="false" ht="15" hidden="false" customHeight="false" outlineLevel="0" collapsed="false">
      <c r="A947" s="2" t="n">
        <v>935</v>
      </c>
      <c r="B947" s="22" t="n">
        <v>0.764795521481387</v>
      </c>
      <c r="C947" s="22" t="n">
        <v>0.300361856426891</v>
      </c>
      <c r="D947" s="23" t="n">
        <f aca="false">BETAINV(C947,Test1_Hand!$B$21,Test1_Hand!$B$22,Test1_Hand!$B$9,Test1_Hand!$B$11)</f>
        <v>2.69159718539554</v>
      </c>
      <c r="E947" s="2" t="n">
        <f aca="false">IF(B947&lt;Test1_Hand!$B$12,1,0)</f>
        <v>0</v>
      </c>
      <c r="F947" s="23" t="n">
        <f aca="false">Test1_Hand!$B$4+E947*D947</f>
        <v>16</v>
      </c>
      <c r="G947" s="24" t="n">
        <f aca="false">Test1_Hand!$B$6*E947*D947+Test1_Hand!$B$7*MAX(0,F947-Test1_Hand!$B$5)</f>
        <v>0</v>
      </c>
      <c r="H947" s="2" t="n">
        <f aca="false">IF(B947&lt;Test1_Hand!$B$13,1,0)</f>
        <v>0</v>
      </c>
      <c r="I947" s="23" t="n">
        <f aca="false">Test1_Hand!$B$4+H947*D947</f>
        <v>16</v>
      </c>
      <c r="J947" s="24" t="n">
        <f aca="false">Test1_Hand!$B$6*H947*D947+Test1_Hand!$B$7*MAX(0,I947-Test1_Hand!$B$5)+Test1_Hand!$B$14</f>
        <v>6000</v>
      </c>
    </row>
    <row r="948" customFormat="false" ht="15" hidden="false" customHeight="false" outlineLevel="0" collapsed="false">
      <c r="A948" s="2" t="n">
        <v>936</v>
      </c>
      <c r="B948" s="22" t="n">
        <v>0.186996196195946</v>
      </c>
      <c r="C948" s="22" t="n">
        <v>0.618170030542513</v>
      </c>
      <c r="D948" s="23" t="n">
        <f aca="false">BETAINV(C948,Test1_Hand!$B$21,Test1_Hand!$B$22,Test1_Hand!$B$9,Test1_Hand!$B$11)</f>
        <v>3.81661935709539</v>
      </c>
      <c r="E948" s="2" t="n">
        <f aca="false">IF(B948&lt;Test1_Hand!$B$12,1,0)</f>
        <v>1</v>
      </c>
      <c r="F948" s="23" t="n">
        <f aca="false">Test1_Hand!$B$4+E948*D948</f>
        <v>19.8166193570954</v>
      </c>
      <c r="G948" s="24" t="n">
        <f aca="false">Test1_Hand!$B$6*E948*D948+Test1_Hand!$B$7*MAX(0,F948-Test1_Hand!$B$5)</f>
        <v>30532.9548567631</v>
      </c>
      <c r="H948" s="2" t="n">
        <f aca="false">IF(B948&lt;Test1_Hand!$B$13,1,0)</f>
        <v>1</v>
      </c>
      <c r="I948" s="23" t="n">
        <f aca="false">Test1_Hand!$B$4+H948*D948</f>
        <v>19.8166193570954</v>
      </c>
      <c r="J948" s="24" t="n">
        <f aca="false">Test1_Hand!$B$6*H948*D948+Test1_Hand!$B$7*MAX(0,I948-Test1_Hand!$B$5)+Test1_Hand!$B$14</f>
        <v>36532.9548567631</v>
      </c>
    </row>
    <row r="949" customFormat="false" ht="15" hidden="false" customHeight="false" outlineLevel="0" collapsed="false">
      <c r="A949" s="2" t="n">
        <v>937</v>
      </c>
      <c r="B949" s="22" t="n">
        <v>0.406364485144375</v>
      </c>
      <c r="C949" s="22" t="n">
        <v>0.490390397389335</v>
      </c>
      <c r="D949" s="23" t="n">
        <f aca="false">BETAINV(C949,Test1_Hand!$B$21,Test1_Hand!$B$22,Test1_Hand!$B$9,Test1_Hand!$B$11)</f>
        <v>3.34875673336791</v>
      </c>
      <c r="E949" s="2" t="n">
        <f aca="false">IF(B949&lt;Test1_Hand!$B$12,1,0)</f>
        <v>1</v>
      </c>
      <c r="F949" s="23" t="n">
        <f aca="false">Test1_Hand!$B$4+E949*D949</f>
        <v>19.3487567333679</v>
      </c>
      <c r="G949" s="24" t="n">
        <f aca="false">Test1_Hand!$B$6*E949*D949+Test1_Hand!$B$7*MAX(0,F949-Test1_Hand!$B$5)</f>
        <v>26790.0538669433</v>
      </c>
      <c r="H949" s="2" t="n">
        <f aca="false">IF(B949&lt;Test1_Hand!$B$13,1,0)</f>
        <v>0</v>
      </c>
      <c r="I949" s="23" t="n">
        <f aca="false">Test1_Hand!$B$4+H949*D949</f>
        <v>16</v>
      </c>
      <c r="J949" s="24" t="n">
        <f aca="false">Test1_Hand!$B$6*H949*D949+Test1_Hand!$B$7*MAX(0,I949-Test1_Hand!$B$5)+Test1_Hand!$B$14</f>
        <v>6000</v>
      </c>
    </row>
    <row r="950" customFormat="false" ht="15" hidden="false" customHeight="false" outlineLevel="0" collapsed="false">
      <c r="A950" s="2" t="n">
        <v>938</v>
      </c>
      <c r="B950" s="22" t="n">
        <v>0.0916818715768182</v>
      </c>
      <c r="C950" s="22" t="n">
        <v>0.993900595809054</v>
      </c>
      <c r="D950" s="23" t="n">
        <f aca="false">BETAINV(C950,Test1_Hand!$B$21,Test1_Hand!$B$22,Test1_Hand!$B$9,Test1_Hand!$B$11)</f>
        <v>6.76201987949223</v>
      </c>
      <c r="E950" s="2" t="n">
        <f aca="false">IF(B950&lt;Test1_Hand!$B$12,1,0)</f>
        <v>1</v>
      </c>
      <c r="F950" s="23" t="n">
        <f aca="false">Test1_Hand!$B$4+E950*D950</f>
        <v>22.7620198794922</v>
      </c>
      <c r="G950" s="24" t="n">
        <f aca="false">Test1_Hand!$B$6*E950*D950+Test1_Hand!$B$7*MAX(0,F950-Test1_Hand!$B$5)</f>
        <v>67906.258433399</v>
      </c>
      <c r="H950" s="2" t="n">
        <f aca="false">IF(B950&lt;Test1_Hand!$B$13,1,0)</f>
        <v>1</v>
      </c>
      <c r="I950" s="23" t="n">
        <f aca="false">Test1_Hand!$B$4+H950*D950</f>
        <v>22.7620198794922</v>
      </c>
      <c r="J950" s="24" t="n">
        <f aca="false">Test1_Hand!$B$6*H950*D950+Test1_Hand!$B$7*MAX(0,I950-Test1_Hand!$B$5)+Test1_Hand!$B$14</f>
        <v>73906.258433399</v>
      </c>
    </row>
    <row r="951" customFormat="false" ht="15" hidden="false" customHeight="false" outlineLevel="0" collapsed="false">
      <c r="A951" s="2" t="n">
        <v>939</v>
      </c>
      <c r="B951" s="22" t="n">
        <v>0.217003454262452</v>
      </c>
      <c r="C951" s="22" t="n">
        <v>0.768160885058101</v>
      </c>
      <c r="D951" s="23" t="n">
        <f aca="false">BETAINV(C951,Test1_Hand!$B$21,Test1_Hand!$B$22,Test1_Hand!$B$9,Test1_Hand!$B$11)</f>
        <v>4.46254472338819</v>
      </c>
      <c r="E951" s="2" t="n">
        <f aca="false">IF(B951&lt;Test1_Hand!$B$12,1,0)</f>
        <v>1</v>
      </c>
      <c r="F951" s="23" t="n">
        <f aca="false">Test1_Hand!$B$4+E951*D951</f>
        <v>20.4625447233882</v>
      </c>
      <c r="G951" s="24" t="n">
        <f aca="false">Test1_Hand!$B$6*E951*D951+Test1_Hand!$B$7*MAX(0,F951-Test1_Hand!$B$5)</f>
        <v>38013.0814040464</v>
      </c>
      <c r="H951" s="2" t="n">
        <f aca="false">IF(B951&lt;Test1_Hand!$B$13,1,0)</f>
        <v>0</v>
      </c>
      <c r="I951" s="23" t="n">
        <f aca="false">Test1_Hand!$B$4+H951*D951</f>
        <v>16</v>
      </c>
      <c r="J951" s="24" t="n">
        <f aca="false">Test1_Hand!$B$6*H951*D951+Test1_Hand!$B$7*MAX(0,I951-Test1_Hand!$B$5)+Test1_Hand!$B$14</f>
        <v>6000</v>
      </c>
    </row>
    <row r="952" customFormat="false" ht="15" hidden="false" customHeight="false" outlineLevel="0" collapsed="false">
      <c r="A952" s="2" t="n">
        <v>940</v>
      </c>
      <c r="B952" s="22" t="n">
        <v>0.986337890576601</v>
      </c>
      <c r="C952" s="22" t="n">
        <v>0.31209592421394</v>
      </c>
      <c r="D952" s="23" t="n">
        <f aca="false">BETAINV(C952,Test1_Hand!$B$21,Test1_Hand!$B$22,Test1_Hand!$B$9,Test1_Hand!$B$11)</f>
        <v>2.732604272019</v>
      </c>
      <c r="E952" s="2" t="n">
        <f aca="false">IF(B952&lt;Test1_Hand!$B$12,1,0)</f>
        <v>0</v>
      </c>
      <c r="F952" s="23" t="n">
        <f aca="false">Test1_Hand!$B$4+E952*D952</f>
        <v>16</v>
      </c>
      <c r="G952" s="24" t="n">
        <f aca="false">Test1_Hand!$B$6*E952*D952+Test1_Hand!$B$7*MAX(0,F952-Test1_Hand!$B$5)</f>
        <v>0</v>
      </c>
      <c r="H952" s="2" t="n">
        <f aca="false">IF(B952&lt;Test1_Hand!$B$13,1,0)</f>
        <v>0</v>
      </c>
      <c r="I952" s="23" t="n">
        <f aca="false">Test1_Hand!$B$4+H952*D952</f>
        <v>16</v>
      </c>
      <c r="J952" s="24" t="n">
        <f aca="false">Test1_Hand!$B$6*H952*D952+Test1_Hand!$B$7*MAX(0,I952-Test1_Hand!$B$5)+Test1_Hand!$B$14</f>
        <v>6000</v>
      </c>
    </row>
    <row r="953" customFormat="false" ht="15" hidden="false" customHeight="false" outlineLevel="0" collapsed="false">
      <c r="A953" s="2" t="n">
        <v>941</v>
      </c>
      <c r="B953" s="22" t="n">
        <v>0.996994655185943</v>
      </c>
      <c r="C953" s="22" t="n">
        <v>0.343784792875054</v>
      </c>
      <c r="D953" s="23" t="n">
        <f aca="false">BETAINV(C953,Test1_Hand!$B$21,Test1_Hand!$B$22,Test1_Hand!$B$9,Test1_Hand!$B$11)</f>
        <v>2.84246191566396</v>
      </c>
      <c r="E953" s="2" t="n">
        <f aca="false">IF(B953&lt;Test1_Hand!$B$12,1,0)</f>
        <v>0</v>
      </c>
      <c r="F953" s="23" t="n">
        <f aca="false">Test1_Hand!$B$4+E953*D953</f>
        <v>16</v>
      </c>
      <c r="G953" s="24" t="n">
        <f aca="false">Test1_Hand!$B$6*E953*D953+Test1_Hand!$B$7*MAX(0,F953-Test1_Hand!$B$5)</f>
        <v>0</v>
      </c>
      <c r="H953" s="2" t="n">
        <f aca="false">IF(B953&lt;Test1_Hand!$B$13,1,0)</f>
        <v>0</v>
      </c>
      <c r="I953" s="23" t="n">
        <f aca="false">Test1_Hand!$B$4+H953*D953</f>
        <v>16</v>
      </c>
      <c r="J953" s="24" t="n">
        <f aca="false">Test1_Hand!$B$6*H953*D953+Test1_Hand!$B$7*MAX(0,I953-Test1_Hand!$B$5)+Test1_Hand!$B$14</f>
        <v>6000</v>
      </c>
    </row>
    <row r="954" customFormat="false" ht="15" hidden="false" customHeight="false" outlineLevel="0" collapsed="false">
      <c r="A954" s="2" t="n">
        <v>942</v>
      </c>
      <c r="B954" s="22" t="n">
        <v>0.478029082347132</v>
      </c>
      <c r="C954" s="22" t="n">
        <v>0.478051109870182</v>
      </c>
      <c r="D954" s="23" t="n">
        <f aca="false">BETAINV(C954,Test1_Hand!$B$21,Test1_Hand!$B$22,Test1_Hand!$B$9,Test1_Hand!$B$11)</f>
        <v>3.30552608856574</v>
      </c>
      <c r="E954" s="2" t="n">
        <f aca="false">IF(B954&lt;Test1_Hand!$B$12,1,0)</f>
        <v>1</v>
      </c>
      <c r="F954" s="23" t="n">
        <f aca="false">Test1_Hand!$B$4+E954*D954</f>
        <v>19.3055260885657</v>
      </c>
      <c r="G954" s="24" t="n">
        <f aca="false">Test1_Hand!$B$6*E954*D954+Test1_Hand!$B$7*MAX(0,F954-Test1_Hand!$B$5)</f>
        <v>26444.2087085259</v>
      </c>
      <c r="H954" s="2" t="n">
        <f aca="false">IF(B954&lt;Test1_Hand!$B$13,1,0)</f>
        <v>0</v>
      </c>
      <c r="I954" s="23" t="n">
        <f aca="false">Test1_Hand!$B$4+H954*D954</f>
        <v>16</v>
      </c>
      <c r="J954" s="24" t="n">
        <f aca="false">Test1_Hand!$B$6*H954*D954+Test1_Hand!$B$7*MAX(0,I954-Test1_Hand!$B$5)+Test1_Hand!$B$14</f>
        <v>6000</v>
      </c>
    </row>
    <row r="955" customFormat="false" ht="15" hidden="false" customHeight="false" outlineLevel="0" collapsed="false">
      <c r="A955" s="2" t="n">
        <v>943</v>
      </c>
      <c r="B955" s="22" t="n">
        <v>0.341766666198834</v>
      </c>
      <c r="C955" s="22" t="n">
        <v>0.272700129400905</v>
      </c>
      <c r="D955" s="23" t="n">
        <f aca="false">BETAINV(C955,Test1_Hand!$B$21,Test1_Hand!$B$22,Test1_Hand!$B$9,Test1_Hand!$B$11)</f>
        <v>2.59393756157107</v>
      </c>
      <c r="E955" s="2" t="n">
        <f aca="false">IF(B955&lt;Test1_Hand!$B$12,1,0)</f>
        <v>1</v>
      </c>
      <c r="F955" s="23" t="n">
        <f aca="false">Test1_Hand!$B$4+E955*D955</f>
        <v>18.5939375615711</v>
      </c>
      <c r="G955" s="24" t="n">
        <f aca="false">Test1_Hand!$B$6*E955*D955+Test1_Hand!$B$7*MAX(0,F955-Test1_Hand!$B$5)</f>
        <v>20751.5004925686</v>
      </c>
      <c r="H955" s="2" t="n">
        <f aca="false">IF(B955&lt;Test1_Hand!$B$13,1,0)</f>
        <v>0</v>
      </c>
      <c r="I955" s="23" t="n">
        <f aca="false">Test1_Hand!$B$4+H955*D955</f>
        <v>16</v>
      </c>
      <c r="J955" s="24" t="n">
        <f aca="false">Test1_Hand!$B$6*H955*D955+Test1_Hand!$B$7*MAX(0,I955-Test1_Hand!$B$5)+Test1_Hand!$B$14</f>
        <v>6000</v>
      </c>
    </row>
    <row r="956" customFormat="false" ht="15" hidden="false" customHeight="false" outlineLevel="0" collapsed="false">
      <c r="A956" s="2" t="n">
        <v>944</v>
      </c>
      <c r="B956" s="22" t="n">
        <v>0.171662113114143</v>
      </c>
      <c r="C956" s="22" t="n">
        <v>0.8116405456512</v>
      </c>
      <c r="D956" s="23" t="n">
        <f aca="false">BETAINV(C956,Test1_Hand!$B$21,Test1_Hand!$B$22,Test1_Hand!$B$9,Test1_Hand!$B$11)</f>
        <v>4.68923954128412</v>
      </c>
      <c r="E956" s="2" t="n">
        <f aca="false">IF(B956&lt;Test1_Hand!$B$12,1,0)</f>
        <v>1</v>
      </c>
      <c r="F956" s="23" t="n">
        <f aca="false">Test1_Hand!$B$4+E956*D956</f>
        <v>20.6892395412841</v>
      </c>
      <c r="G956" s="24" t="n">
        <f aca="false">Test1_Hand!$B$6*E956*D956+Test1_Hand!$B$7*MAX(0,F956-Test1_Hand!$B$5)</f>
        <v>40960.1140366935</v>
      </c>
      <c r="H956" s="2" t="n">
        <f aca="false">IF(B956&lt;Test1_Hand!$B$13,1,0)</f>
        <v>1</v>
      </c>
      <c r="I956" s="23" t="n">
        <f aca="false">Test1_Hand!$B$4+H956*D956</f>
        <v>20.6892395412841</v>
      </c>
      <c r="J956" s="24" t="n">
        <f aca="false">Test1_Hand!$B$6*H956*D956+Test1_Hand!$B$7*MAX(0,I956-Test1_Hand!$B$5)+Test1_Hand!$B$14</f>
        <v>46960.1140366935</v>
      </c>
    </row>
    <row r="957" customFormat="false" ht="15" hidden="false" customHeight="false" outlineLevel="0" collapsed="false">
      <c r="A957" s="2" t="n">
        <v>945</v>
      </c>
      <c r="B957" s="22" t="n">
        <v>0.270999465756817</v>
      </c>
      <c r="C957" s="22" t="n">
        <v>0.397626534818824</v>
      </c>
      <c r="D957" s="23" t="n">
        <f aca="false">BETAINV(C957,Test1_Hand!$B$21,Test1_Hand!$B$22,Test1_Hand!$B$9,Test1_Hand!$B$11)</f>
        <v>3.02758778402057</v>
      </c>
      <c r="E957" s="2" t="n">
        <f aca="false">IF(B957&lt;Test1_Hand!$B$12,1,0)</f>
        <v>1</v>
      </c>
      <c r="F957" s="23" t="n">
        <f aca="false">Test1_Hand!$B$4+E957*D957</f>
        <v>19.0275877840206</v>
      </c>
      <c r="G957" s="24" t="n">
        <f aca="false">Test1_Hand!$B$6*E957*D957+Test1_Hand!$B$7*MAX(0,F957-Test1_Hand!$B$5)</f>
        <v>24220.7022721646</v>
      </c>
      <c r="H957" s="2" t="n">
        <f aca="false">IF(B957&lt;Test1_Hand!$B$13,1,0)</f>
        <v>0</v>
      </c>
      <c r="I957" s="23" t="n">
        <f aca="false">Test1_Hand!$B$4+H957*D957</f>
        <v>16</v>
      </c>
      <c r="J957" s="24" t="n">
        <f aca="false">Test1_Hand!$B$6*H957*D957+Test1_Hand!$B$7*MAX(0,I957-Test1_Hand!$B$5)+Test1_Hand!$B$14</f>
        <v>6000</v>
      </c>
    </row>
    <row r="958" customFormat="false" ht="15" hidden="false" customHeight="false" outlineLevel="0" collapsed="false">
      <c r="A958" s="2" t="n">
        <v>946</v>
      </c>
      <c r="B958" s="22" t="n">
        <v>0.389805598644918</v>
      </c>
      <c r="C958" s="22" t="n">
        <v>0.653103429870312</v>
      </c>
      <c r="D958" s="23" t="n">
        <f aca="false">BETAINV(C958,Test1_Hand!$B$21,Test1_Hand!$B$22,Test1_Hand!$B$9,Test1_Hand!$B$11)</f>
        <v>3.95432864709295</v>
      </c>
      <c r="E958" s="2" t="n">
        <f aca="false">IF(B958&lt;Test1_Hand!$B$12,1,0)</f>
        <v>1</v>
      </c>
      <c r="F958" s="23" t="n">
        <f aca="false">Test1_Hand!$B$4+E958*D958</f>
        <v>19.954328647093</v>
      </c>
      <c r="G958" s="24" t="n">
        <f aca="false">Test1_Hand!$B$6*E958*D958+Test1_Hand!$B$7*MAX(0,F958-Test1_Hand!$B$5)</f>
        <v>31634.6291767436</v>
      </c>
      <c r="H958" s="2" t="n">
        <f aca="false">IF(B958&lt;Test1_Hand!$B$13,1,0)</f>
        <v>0</v>
      </c>
      <c r="I958" s="23" t="n">
        <f aca="false">Test1_Hand!$B$4+H958*D958</f>
        <v>16</v>
      </c>
      <c r="J958" s="24" t="n">
        <f aca="false">Test1_Hand!$B$6*H958*D958+Test1_Hand!$B$7*MAX(0,I958-Test1_Hand!$B$5)+Test1_Hand!$B$14</f>
        <v>6000</v>
      </c>
    </row>
    <row r="959" customFormat="false" ht="15" hidden="false" customHeight="false" outlineLevel="0" collapsed="false">
      <c r="A959" s="2" t="n">
        <v>947</v>
      </c>
      <c r="B959" s="22" t="n">
        <v>0.156865003609007</v>
      </c>
      <c r="C959" s="22" t="n">
        <v>0.836201999017677</v>
      </c>
      <c r="D959" s="23" t="n">
        <f aca="false">BETAINV(C959,Test1_Hand!$B$21,Test1_Hand!$B$22,Test1_Hand!$B$9,Test1_Hand!$B$11)</f>
        <v>4.83082591857346</v>
      </c>
      <c r="E959" s="2" t="n">
        <f aca="false">IF(B959&lt;Test1_Hand!$B$12,1,0)</f>
        <v>1</v>
      </c>
      <c r="F959" s="23" t="n">
        <f aca="false">Test1_Hand!$B$4+E959*D959</f>
        <v>20.8308259185735</v>
      </c>
      <c r="G959" s="24" t="n">
        <f aca="false">Test1_Hand!$B$6*E959*D959+Test1_Hand!$B$7*MAX(0,F959-Test1_Hand!$B$5)</f>
        <v>42800.736941455</v>
      </c>
      <c r="H959" s="2" t="n">
        <f aca="false">IF(B959&lt;Test1_Hand!$B$13,1,0)</f>
        <v>1</v>
      </c>
      <c r="I959" s="23" t="n">
        <f aca="false">Test1_Hand!$B$4+H959*D959</f>
        <v>20.8308259185735</v>
      </c>
      <c r="J959" s="24" t="n">
        <f aca="false">Test1_Hand!$B$6*H959*D959+Test1_Hand!$B$7*MAX(0,I959-Test1_Hand!$B$5)+Test1_Hand!$B$14</f>
        <v>48800.736941455</v>
      </c>
    </row>
    <row r="960" customFormat="false" ht="15" hidden="false" customHeight="false" outlineLevel="0" collapsed="false">
      <c r="A960" s="2" t="n">
        <v>948</v>
      </c>
      <c r="B960" s="22" t="n">
        <v>0.143064116113391</v>
      </c>
      <c r="C960" s="22" t="n">
        <v>0.648766367276738</v>
      </c>
      <c r="D960" s="23" t="n">
        <f aca="false">BETAINV(C960,Test1_Hand!$B$21,Test1_Hand!$B$22,Test1_Hand!$B$9,Test1_Hand!$B$11)</f>
        <v>3.93691547191446</v>
      </c>
      <c r="E960" s="2" t="n">
        <f aca="false">IF(B960&lt;Test1_Hand!$B$12,1,0)</f>
        <v>1</v>
      </c>
      <c r="F960" s="23" t="n">
        <f aca="false">Test1_Hand!$B$4+E960*D960</f>
        <v>19.9369154719145</v>
      </c>
      <c r="G960" s="24" t="n">
        <f aca="false">Test1_Hand!$B$6*E960*D960+Test1_Hand!$B$7*MAX(0,F960-Test1_Hand!$B$5)</f>
        <v>31495.3237753157</v>
      </c>
      <c r="H960" s="2" t="n">
        <f aca="false">IF(B960&lt;Test1_Hand!$B$13,1,0)</f>
        <v>1</v>
      </c>
      <c r="I960" s="23" t="n">
        <f aca="false">Test1_Hand!$B$4+H960*D960</f>
        <v>19.9369154719145</v>
      </c>
      <c r="J960" s="24" t="n">
        <f aca="false">Test1_Hand!$B$6*H960*D960+Test1_Hand!$B$7*MAX(0,I960-Test1_Hand!$B$5)+Test1_Hand!$B$14</f>
        <v>37495.3237753157</v>
      </c>
    </row>
    <row r="961" customFormat="false" ht="15" hidden="false" customHeight="false" outlineLevel="0" collapsed="false">
      <c r="A961" s="2" t="n">
        <v>949</v>
      </c>
      <c r="B961" s="22" t="n">
        <v>0.875698912189135</v>
      </c>
      <c r="C961" s="22" t="n">
        <v>0.284969839961663</v>
      </c>
      <c r="D961" s="23" t="n">
        <f aca="false">BETAINV(C961,Test1_Hand!$B$21,Test1_Hand!$B$22,Test1_Hand!$B$9,Test1_Hand!$B$11)</f>
        <v>2.63744812964416</v>
      </c>
      <c r="E961" s="2" t="n">
        <f aca="false">IF(B961&lt;Test1_Hand!$B$12,1,0)</f>
        <v>0</v>
      </c>
      <c r="F961" s="23" t="n">
        <f aca="false">Test1_Hand!$B$4+E961*D961</f>
        <v>16</v>
      </c>
      <c r="G961" s="24" t="n">
        <f aca="false">Test1_Hand!$B$6*E961*D961+Test1_Hand!$B$7*MAX(0,F961-Test1_Hand!$B$5)</f>
        <v>0</v>
      </c>
      <c r="H961" s="2" t="n">
        <f aca="false">IF(B961&lt;Test1_Hand!$B$13,1,0)</f>
        <v>0</v>
      </c>
      <c r="I961" s="23" t="n">
        <f aca="false">Test1_Hand!$B$4+H961*D961</f>
        <v>16</v>
      </c>
      <c r="J961" s="24" t="n">
        <f aca="false">Test1_Hand!$B$6*H961*D961+Test1_Hand!$B$7*MAX(0,I961-Test1_Hand!$B$5)+Test1_Hand!$B$14</f>
        <v>6000</v>
      </c>
    </row>
    <row r="962" customFormat="false" ht="15" hidden="false" customHeight="false" outlineLevel="0" collapsed="false">
      <c r="A962" s="2" t="n">
        <v>950</v>
      </c>
      <c r="B962" s="22" t="n">
        <v>0.280901995906406</v>
      </c>
      <c r="C962" s="22" t="n">
        <v>0.804514869874105</v>
      </c>
      <c r="D962" s="23" t="n">
        <f aca="false">BETAINV(C962,Test1_Hand!$B$21,Test1_Hand!$B$22,Test1_Hand!$B$9,Test1_Hand!$B$11)</f>
        <v>4.65019684885059</v>
      </c>
      <c r="E962" s="2" t="n">
        <f aca="false">IF(B962&lt;Test1_Hand!$B$12,1,0)</f>
        <v>1</v>
      </c>
      <c r="F962" s="23" t="n">
        <f aca="false">Test1_Hand!$B$4+E962*D962</f>
        <v>20.6501968488506</v>
      </c>
      <c r="G962" s="24" t="n">
        <f aca="false">Test1_Hand!$B$6*E962*D962+Test1_Hand!$B$7*MAX(0,F962-Test1_Hand!$B$5)</f>
        <v>40452.5590350577</v>
      </c>
      <c r="H962" s="2" t="n">
        <f aca="false">IF(B962&lt;Test1_Hand!$B$13,1,0)</f>
        <v>0</v>
      </c>
      <c r="I962" s="23" t="n">
        <f aca="false">Test1_Hand!$B$4+H962*D962</f>
        <v>16</v>
      </c>
      <c r="J962" s="24" t="n">
        <f aca="false">Test1_Hand!$B$6*H962*D962+Test1_Hand!$B$7*MAX(0,I962-Test1_Hand!$B$5)+Test1_Hand!$B$14</f>
        <v>6000</v>
      </c>
    </row>
    <row r="963" customFormat="false" ht="15" hidden="false" customHeight="false" outlineLevel="0" collapsed="false">
      <c r="A963" s="2" t="n">
        <v>951</v>
      </c>
      <c r="B963" s="22" t="n">
        <v>0.67285597041737</v>
      </c>
      <c r="C963" s="22" t="n">
        <v>0.159095149313693</v>
      </c>
      <c r="D963" s="23" t="n">
        <f aca="false">BETAINV(C963,Test1_Hand!$B$21,Test1_Hand!$B$22,Test1_Hand!$B$9,Test1_Hand!$B$11)</f>
        <v>2.16512445796358</v>
      </c>
      <c r="E963" s="2" t="n">
        <f aca="false">IF(B963&lt;Test1_Hand!$B$12,1,0)</f>
        <v>0</v>
      </c>
      <c r="F963" s="23" t="n">
        <f aca="false">Test1_Hand!$B$4+E963*D963</f>
        <v>16</v>
      </c>
      <c r="G963" s="24" t="n">
        <f aca="false">Test1_Hand!$B$6*E963*D963+Test1_Hand!$B$7*MAX(0,F963-Test1_Hand!$B$5)</f>
        <v>0</v>
      </c>
      <c r="H963" s="2" t="n">
        <f aca="false">IF(B963&lt;Test1_Hand!$B$13,1,0)</f>
        <v>0</v>
      </c>
      <c r="I963" s="23" t="n">
        <f aca="false">Test1_Hand!$B$4+H963*D963</f>
        <v>16</v>
      </c>
      <c r="J963" s="24" t="n">
        <f aca="false">Test1_Hand!$B$6*H963*D963+Test1_Hand!$B$7*MAX(0,I963-Test1_Hand!$B$5)+Test1_Hand!$B$14</f>
        <v>6000</v>
      </c>
    </row>
    <row r="964" customFormat="false" ht="15" hidden="false" customHeight="false" outlineLevel="0" collapsed="false">
      <c r="A964" s="2" t="n">
        <v>952</v>
      </c>
      <c r="B964" s="22" t="n">
        <v>0.183499028226066</v>
      </c>
      <c r="C964" s="22" t="n">
        <v>0.927797764662481</v>
      </c>
      <c r="D964" s="23" t="n">
        <f aca="false">BETAINV(C964,Test1_Hand!$B$21,Test1_Hand!$B$22,Test1_Hand!$B$9,Test1_Hand!$B$11)</f>
        <v>5.5232043548176</v>
      </c>
      <c r="E964" s="2" t="n">
        <f aca="false">IF(B964&lt;Test1_Hand!$B$12,1,0)</f>
        <v>1</v>
      </c>
      <c r="F964" s="23" t="n">
        <f aca="false">Test1_Hand!$B$4+E964*D964</f>
        <v>21.5232043548176</v>
      </c>
      <c r="G964" s="24" t="n">
        <f aca="false">Test1_Hand!$B$6*E964*D964+Test1_Hand!$B$7*MAX(0,F964-Test1_Hand!$B$5)</f>
        <v>51801.6566126289</v>
      </c>
      <c r="H964" s="2" t="n">
        <f aca="false">IF(B964&lt;Test1_Hand!$B$13,1,0)</f>
        <v>1</v>
      </c>
      <c r="I964" s="23" t="n">
        <f aca="false">Test1_Hand!$B$4+H964*D964</f>
        <v>21.5232043548176</v>
      </c>
      <c r="J964" s="24" t="n">
        <f aca="false">Test1_Hand!$B$6*H964*D964+Test1_Hand!$B$7*MAX(0,I964-Test1_Hand!$B$5)+Test1_Hand!$B$14</f>
        <v>57801.6566126289</v>
      </c>
    </row>
    <row r="965" customFormat="false" ht="15" hidden="false" customHeight="false" outlineLevel="0" collapsed="false">
      <c r="A965" s="2" t="n">
        <v>953</v>
      </c>
      <c r="B965" s="22" t="n">
        <v>0.860440138119581</v>
      </c>
      <c r="C965" s="22" t="n">
        <v>0.535659575700878</v>
      </c>
      <c r="D965" s="23" t="n">
        <f aca="false">BETAINV(C965,Test1_Hand!$B$21,Test1_Hand!$B$22,Test1_Hand!$B$9,Test1_Hand!$B$11)</f>
        <v>3.50964883982293</v>
      </c>
      <c r="E965" s="2" t="n">
        <f aca="false">IF(B965&lt;Test1_Hand!$B$12,1,0)</f>
        <v>0</v>
      </c>
      <c r="F965" s="23" t="n">
        <f aca="false">Test1_Hand!$B$4+E965*D965</f>
        <v>16</v>
      </c>
      <c r="G965" s="24" t="n">
        <f aca="false">Test1_Hand!$B$6*E965*D965+Test1_Hand!$B$7*MAX(0,F965-Test1_Hand!$B$5)</f>
        <v>0</v>
      </c>
      <c r="H965" s="2" t="n">
        <f aca="false">IF(B965&lt;Test1_Hand!$B$13,1,0)</f>
        <v>0</v>
      </c>
      <c r="I965" s="23" t="n">
        <f aca="false">Test1_Hand!$B$4+H965*D965</f>
        <v>16</v>
      </c>
      <c r="J965" s="24" t="n">
        <f aca="false">Test1_Hand!$B$6*H965*D965+Test1_Hand!$B$7*MAX(0,I965-Test1_Hand!$B$5)+Test1_Hand!$B$14</f>
        <v>6000</v>
      </c>
    </row>
    <row r="966" customFormat="false" ht="15" hidden="false" customHeight="false" outlineLevel="0" collapsed="false">
      <c r="A966" s="2" t="n">
        <v>954</v>
      </c>
      <c r="B966" s="22" t="n">
        <v>0.787129744794817</v>
      </c>
      <c r="C966" s="22" t="n">
        <v>0.398175567307371</v>
      </c>
      <c r="D966" s="23" t="n">
        <f aca="false">BETAINV(C966,Test1_Hand!$B$21,Test1_Hand!$B$22,Test1_Hand!$B$9,Test1_Hand!$B$11)</f>
        <v>3.02947311140319</v>
      </c>
      <c r="E966" s="2" t="n">
        <f aca="false">IF(B966&lt;Test1_Hand!$B$12,1,0)</f>
        <v>0</v>
      </c>
      <c r="F966" s="23" t="n">
        <f aca="false">Test1_Hand!$B$4+E966*D966</f>
        <v>16</v>
      </c>
      <c r="G966" s="24" t="n">
        <f aca="false">Test1_Hand!$B$6*E966*D966+Test1_Hand!$B$7*MAX(0,F966-Test1_Hand!$B$5)</f>
        <v>0</v>
      </c>
      <c r="H966" s="2" t="n">
        <f aca="false">IF(B966&lt;Test1_Hand!$B$13,1,0)</f>
        <v>0</v>
      </c>
      <c r="I966" s="23" t="n">
        <f aca="false">Test1_Hand!$B$4+H966*D966</f>
        <v>16</v>
      </c>
      <c r="J966" s="24" t="n">
        <f aca="false">Test1_Hand!$B$6*H966*D966+Test1_Hand!$B$7*MAX(0,I966-Test1_Hand!$B$5)+Test1_Hand!$B$14</f>
        <v>6000</v>
      </c>
    </row>
    <row r="967" customFormat="false" ht="15" hidden="false" customHeight="false" outlineLevel="0" collapsed="false">
      <c r="A967" s="2" t="n">
        <v>955</v>
      </c>
      <c r="B967" s="22" t="n">
        <v>0.010589420477802</v>
      </c>
      <c r="C967" s="22" t="n">
        <v>0.285349377813787</v>
      </c>
      <c r="D967" s="23" t="n">
        <f aca="false">BETAINV(C967,Test1_Hand!$B$21,Test1_Hand!$B$22,Test1_Hand!$B$9,Test1_Hand!$B$11)</f>
        <v>2.63878884139064</v>
      </c>
      <c r="E967" s="2" t="n">
        <f aca="false">IF(B967&lt;Test1_Hand!$B$12,1,0)</f>
        <v>1</v>
      </c>
      <c r="F967" s="23" t="n">
        <f aca="false">Test1_Hand!$B$4+E967*D967</f>
        <v>18.6387888413906</v>
      </c>
      <c r="G967" s="24" t="n">
        <f aca="false">Test1_Hand!$B$6*E967*D967+Test1_Hand!$B$7*MAX(0,F967-Test1_Hand!$B$5)</f>
        <v>21110.3107311251</v>
      </c>
      <c r="H967" s="2" t="n">
        <f aca="false">IF(B967&lt;Test1_Hand!$B$13,1,0)</f>
        <v>1</v>
      </c>
      <c r="I967" s="23" t="n">
        <f aca="false">Test1_Hand!$B$4+H967*D967</f>
        <v>18.6387888413906</v>
      </c>
      <c r="J967" s="24" t="n">
        <f aca="false">Test1_Hand!$B$6*H967*D967+Test1_Hand!$B$7*MAX(0,I967-Test1_Hand!$B$5)+Test1_Hand!$B$14</f>
        <v>27110.3107311251</v>
      </c>
    </row>
    <row r="968" customFormat="false" ht="15" hidden="false" customHeight="false" outlineLevel="0" collapsed="false">
      <c r="A968" s="2" t="n">
        <v>956</v>
      </c>
      <c r="B968" s="22" t="n">
        <v>0.226678881074138</v>
      </c>
      <c r="C968" s="22" t="n">
        <v>0.797370805518922</v>
      </c>
      <c r="D968" s="23" t="n">
        <f aca="false">BETAINV(C968,Test1_Hand!$B$21,Test1_Hand!$B$22,Test1_Hand!$B$9,Test1_Hand!$B$11)</f>
        <v>4.61186252889103</v>
      </c>
      <c r="E968" s="2" t="n">
        <f aca="false">IF(B968&lt;Test1_Hand!$B$12,1,0)</f>
        <v>1</v>
      </c>
      <c r="F968" s="23" t="n">
        <f aca="false">Test1_Hand!$B$4+E968*D968</f>
        <v>20.611862528891</v>
      </c>
      <c r="G968" s="24" t="n">
        <f aca="false">Test1_Hand!$B$6*E968*D968+Test1_Hand!$B$7*MAX(0,F968-Test1_Hand!$B$5)</f>
        <v>39954.2128755834</v>
      </c>
      <c r="H968" s="2" t="n">
        <f aca="false">IF(B968&lt;Test1_Hand!$B$13,1,0)</f>
        <v>0</v>
      </c>
      <c r="I968" s="23" t="n">
        <f aca="false">Test1_Hand!$B$4+H968*D968</f>
        <v>16</v>
      </c>
      <c r="J968" s="24" t="n">
        <f aca="false">Test1_Hand!$B$6*H968*D968+Test1_Hand!$B$7*MAX(0,I968-Test1_Hand!$B$5)+Test1_Hand!$B$14</f>
        <v>6000</v>
      </c>
    </row>
    <row r="969" customFormat="false" ht="15" hidden="false" customHeight="false" outlineLevel="0" collapsed="false">
      <c r="A969" s="2" t="n">
        <v>957</v>
      </c>
      <c r="B969" s="22" t="n">
        <v>0.155341968625244</v>
      </c>
      <c r="C969" s="22" t="n">
        <v>0.40212593119451</v>
      </c>
      <c r="D969" s="23" t="n">
        <f aca="false">BETAINV(C969,Test1_Hand!$B$21,Test1_Hand!$B$22,Test1_Hand!$B$9,Test1_Hand!$B$11)</f>
        <v>3.04303968490885</v>
      </c>
      <c r="E969" s="2" t="n">
        <f aca="false">IF(B969&lt;Test1_Hand!$B$12,1,0)</f>
        <v>1</v>
      </c>
      <c r="F969" s="23" t="n">
        <f aca="false">Test1_Hand!$B$4+E969*D969</f>
        <v>19.0430396849088</v>
      </c>
      <c r="G969" s="24" t="n">
        <f aca="false">Test1_Hand!$B$6*E969*D969+Test1_Hand!$B$7*MAX(0,F969-Test1_Hand!$B$5)</f>
        <v>24344.3174792708</v>
      </c>
      <c r="H969" s="2" t="n">
        <f aca="false">IF(B969&lt;Test1_Hand!$B$13,1,0)</f>
        <v>1</v>
      </c>
      <c r="I969" s="23" t="n">
        <f aca="false">Test1_Hand!$B$4+H969*D969</f>
        <v>19.0430396849088</v>
      </c>
      <c r="J969" s="24" t="n">
        <f aca="false">Test1_Hand!$B$6*H969*D969+Test1_Hand!$B$7*MAX(0,I969-Test1_Hand!$B$5)+Test1_Hand!$B$14</f>
        <v>30344.3174792708</v>
      </c>
    </row>
    <row r="970" customFormat="false" ht="15" hidden="false" customHeight="false" outlineLevel="0" collapsed="false">
      <c r="A970" s="2" t="n">
        <v>958</v>
      </c>
      <c r="B970" s="22" t="n">
        <v>0.978289228826715</v>
      </c>
      <c r="C970" s="22" t="n">
        <v>0.277823237946575</v>
      </c>
      <c r="D970" s="23" t="n">
        <f aca="false">BETAINV(C970,Test1_Hand!$B$21,Test1_Hand!$B$22,Test1_Hand!$B$9,Test1_Hand!$B$11)</f>
        <v>2.61214585878523</v>
      </c>
      <c r="E970" s="2" t="n">
        <f aca="false">IF(B970&lt;Test1_Hand!$B$12,1,0)</f>
        <v>0</v>
      </c>
      <c r="F970" s="23" t="n">
        <f aca="false">Test1_Hand!$B$4+E970*D970</f>
        <v>16</v>
      </c>
      <c r="G970" s="24" t="n">
        <f aca="false">Test1_Hand!$B$6*E970*D970+Test1_Hand!$B$7*MAX(0,F970-Test1_Hand!$B$5)</f>
        <v>0</v>
      </c>
      <c r="H970" s="2" t="n">
        <f aca="false">IF(B970&lt;Test1_Hand!$B$13,1,0)</f>
        <v>0</v>
      </c>
      <c r="I970" s="23" t="n">
        <f aca="false">Test1_Hand!$B$4+H970*D970</f>
        <v>16</v>
      </c>
      <c r="J970" s="24" t="n">
        <f aca="false">Test1_Hand!$B$6*H970*D970+Test1_Hand!$B$7*MAX(0,I970-Test1_Hand!$B$5)+Test1_Hand!$B$14</f>
        <v>6000</v>
      </c>
    </row>
    <row r="971" customFormat="false" ht="15" hidden="false" customHeight="false" outlineLevel="0" collapsed="false">
      <c r="A971" s="2" t="n">
        <v>959</v>
      </c>
      <c r="B971" s="22" t="n">
        <v>0.639117354779133</v>
      </c>
      <c r="C971" s="22" t="n">
        <v>0.684879028315017</v>
      </c>
      <c r="D971" s="23" t="n">
        <f aca="false">BETAINV(C971,Test1_Hand!$B$21,Test1_Hand!$B$22,Test1_Hand!$B$9,Test1_Hand!$B$11)</f>
        <v>4.08506206148701</v>
      </c>
      <c r="E971" s="2" t="n">
        <f aca="false">IF(B971&lt;Test1_Hand!$B$12,1,0)</f>
        <v>0</v>
      </c>
      <c r="F971" s="23" t="n">
        <f aca="false">Test1_Hand!$B$4+E971*D971</f>
        <v>16</v>
      </c>
      <c r="G971" s="24" t="n">
        <f aca="false">Test1_Hand!$B$6*E971*D971+Test1_Hand!$B$7*MAX(0,F971-Test1_Hand!$B$5)</f>
        <v>0</v>
      </c>
      <c r="H971" s="2" t="n">
        <f aca="false">IF(B971&lt;Test1_Hand!$B$13,1,0)</f>
        <v>0</v>
      </c>
      <c r="I971" s="23" t="n">
        <f aca="false">Test1_Hand!$B$4+H971*D971</f>
        <v>16</v>
      </c>
      <c r="J971" s="24" t="n">
        <f aca="false">Test1_Hand!$B$6*H971*D971+Test1_Hand!$B$7*MAX(0,I971-Test1_Hand!$B$5)+Test1_Hand!$B$14</f>
        <v>6000</v>
      </c>
    </row>
    <row r="972" customFormat="false" ht="15" hidden="false" customHeight="false" outlineLevel="0" collapsed="false">
      <c r="A972" s="2" t="n">
        <v>960</v>
      </c>
      <c r="B972" s="22" t="n">
        <v>0.916593420351134</v>
      </c>
      <c r="C972" s="22" t="n">
        <v>0.96246480405498</v>
      </c>
      <c r="D972" s="23" t="n">
        <f aca="false">BETAINV(C972,Test1_Hand!$B$21,Test1_Hand!$B$22,Test1_Hand!$B$9,Test1_Hand!$B$11)</f>
        <v>5.94939926949554</v>
      </c>
      <c r="E972" s="2" t="n">
        <f aca="false">IF(B972&lt;Test1_Hand!$B$12,1,0)</f>
        <v>0</v>
      </c>
      <c r="F972" s="23" t="n">
        <f aca="false">Test1_Hand!$B$4+E972*D972</f>
        <v>16</v>
      </c>
      <c r="G972" s="24" t="n">
        <f aca="false">Test1_Hand!$B$6*E972*D972+Test1_Hand!$B$7*MAX(0,F972-Test1_Hand!$B$5)</f>
        <v>0</v>
      </c>
      <c r="H972" s="2" t="n">
        <f aca="false">IF(B972&lt;Test1_Hand!$B$13,1,0)</f>
        <v>0</v>
      </c>
      <c r="I972" s="23" t="n">
        <f aca="false">Test1_Hand!$B$4+H972*D972</f>
        <v>16</v>
      </c>
      <c r="J972" s="24" t="n">
        <f aca="false">Test1_Hand!$B$6*H972*D972+Test1_Hand!$B$7*MAX(0,I972-Test1_Hand!$B$5)+Test1_Hand!$B$14</f>
        <v>6000</v>
      </c>
    </row>
    <row r="973" customFormat="false" ht="15" hidden="false" customHeight="false" outlineLevel="0" collapsed="false">
      <c r="A973" s="2" t="n">
        <v>961</v>
      </c>
      <c r="B973" s="22" t="n">
        <v>0.934143098969864</v>
      </c>
      <c r="C973" s="22" t="n">
        <v>0.580640328884584</v>
      </c>
      <c r="D973" s="23" t="n">
        <f aca="false">BETAINV(C973,Test1_Hand!$B$21,Test1_Hand!$B$22,Test1_Hand!$B$9,Test1_Hand!$B$11)</f>
        <v>3.67429538747163</v>
      </c>
      <c r="E973" s="2" t="n">
        <f aca="false">IF(B973&lt;Test1_Hand!$B$12,1,0)</f>
        <v>0</v>
      </c>
      <c r="F973" s="23" t="n">
        <f aca="false">Test1_Hand!$B$4+E973*D973</f>
        <v>16</v>
      </c>
      <c r="G973" s="24" t="n">
        <f aca="false">Test1_Hand!$B$6*E973*D973+Test1_Hand!$B$7*MAX(0,F973-Test1_Hand!$B$5)</f>
        <v>0</v>
      </c>
      <c r="H973" s="2" t="n">
        <f aca="false">IF(B973&lt;Test1_Hand!$B$13,1,0)</f>
        <v>0</v>
      </c>
      <c r="I973" s="23" t="n">
        <f aca="false">Test1_Hand!$B$4+H973*D973</f>
        <v>16</v>
      </c>
      <c r="J973" s="24" t="n">
        <f aca="false">Test1_Hand!$B$6*H973*D973+Test1_Hand!$B$7*MAX(0,I973-Test1_Hand!$B$5)+Test1_Hand!$B$14</f>
        <v>6000</v>
      </c>
    </row>
    <row r="974" customFormat="false" ht="15" hidden="false" customHeight="false" outlineLevel="0" collapsed="false">
      <c r="A974" s="2" t="n">
        <v>962</v>
      </c>
      <c r="B974" s="22" t="n">
        <v>0.968199519554587</v>
      </c>
      <c r="C974" s="22" t="n">
        <v>0.0673678748216156</v>
      </c>
      <c r="D974" s="23" t="n">
        <f aca="false">BETAINV(C974,Test1_Hand!$B$21,Test1_Hand!$B$22,Test1_Hand!$B$9,Test1_Hand!$B$11)</f>
        <v>1.73466257374749</v>
      </c>
      <c r="E974" s="2" t="n">
        <f aca="false">IF(B974&lt;Test1_Hand!$B$12,1,0)</f>
        <v>0</v>
      </c>
      <c r="F974" s="23" t="n">
        <f aca="false">Test1_Hand!$B$4+E974*D974</f>
        <v>16</v>
      </c>
      <c r="G974" s="24" t="n">
        <f aca="false">Test1_Hand!$B$6*E974*D974+Test1_Hand!$B$7*MAX(0,F974-Test1_Hand!$B$5)</f>
        <v>0</v>
      </c>
      <c r="H974" s="2" t="n">
        <f aca="false">IF(B974&lt;Test1_Hand!$B$13,1,0)</f>
        <v>0</v>
      </c>
      <c r="I974" s="23" t="n">
        <f aca="false">Test1_Hand!$B$4+H974*D974</f>
        <v>16</v>
      </c>
      <c r="J974" s="24" t="n">
        <f aca="false">Test1_Hand!$B$6*H974*D974+Test1_Hand!$B$7*MAX(0,I974-Test1_Hand!$B$5)+Test1_Hand!$B$14</f>
        <v>6000</v>
      </c>
    </row>
    <row r="975" customFormat="false" ht="15" hidden="false" customHeight="false" outlineLevel="0" collapsed="false">
      <c r="A975" s="2" t="n">
        <v>963</v>
      </c>
      <c r="B975" s="22" t="n">
        <v>0.0294376269391176</v>
      </c>
      <c r="C975" s="22" t="n">
        <v>0.72838666182456</v>
      </c>
      <c r="D975" s="23" t="n">
        <f aca="false">BETAINV(C975,Test1_Hand!$B$21,Test1_Hand!$B$22,Test1_Hand!$B$9,Test1_Hand!$B$11)</f>
        <v>4.274832562686</v>
      </c>
      <c r="E975" s="2" t="n">
        <f aca="false">IF(B975&lt;Test1_Hand!$B$12,1,0)</f>
        <v>1</v>
      </c>
      <c r="F975" s="23" t="n">
        <f aca="false">Test1_Hand!$B$4+E975*D975</f>
        <v>20.274832562686</v>
      </c>
      <c r="G975" s="24" t="n">
        <f aca="false">Test1_Hand!$B$6*E975*D975+Test1_Hand!$B$7*MAX(0,F975-Test1_Hand!$B$5)</f>
        <v>35572.8233149179</v>
      </c>
      <c r="H975" s="2" t="n">
        <f aca="false">IF(B975&lt;Test1_Hand!$B$13,1,0)</f>
        <v>1</v>
      </c>
      <c r="I975" s="23" t="n">
        <f aca="false">Test1_Hand!$B$4+H975*D975</f>
        <v>20.274832562686</v>
      </c>
      <c r="J975" s="24" t="n">
        <f aca="false">Test1_Hand!$B$6*H975*D975+Test1_Hand!$B$7*MAX(0,I975-Test1_Hand!$B$5)+Test1_Hand!$B$14</f>
        <v>41572.8233149179</v>
      </c>
    </row>
    <row r="976" customFormat="false" ht="15" hidden="false" customHeight="false" outlineLevel="0" collapsed="false">
      <c r="A976" s="2" t="n">
        <v>964</v>
      </c>
      <c r="B976" s="22" t="n">
        <v>0.612389953681586</v>
      </c>
      <c r="C976" s="22" t="n">
        <v>0.39313979869488</v>
      </c>
      <c r="D976" s="23" t="n">
        <f aca="false">BETAINV(C976,Test1_Hand!$B$21,Test1_Hand!$B$22,Test1_Hand!$B$9,Test1_Hand!$B$11)</f>
        <v>3.01218196338807</v>
      </c>
      <c r="E976" s="2" t="n">
        <f aca="false">IF(B976&lt;Test1_Hand!$B$12,1,0)</f>
        <v>0</v>
      </c>
      <c r="F976" s="23" t="n">
        <f aca="false">Test1_Hand!$B$4+E976*D976</f>
        <v>16</v>
      </c>
      <c r="G976" s="24" t="n">
        <f aca="false">Test1_Hand!$B$6*E976*D976+Test1_Hand!$B$7*MAX(0,F976-Test1_Hand!$B$5)</f>
        <v>0</v>
      </c>
      <c r="H976" s="2" t="n">
        <f aca="false">IF(B976&lt;Test1_Hand!$B$13,1,0)</f>
        <v>0</v>
      </c>
      <c r="I976" s="23" t="n">
        <f aca="false">Test1_Hand!$B$4+H976*D976</f>
        <v>16</v>
      </c>
      <c r="J976" s="24" t="n">
        <f aca="false">Test1_Hand!$B$6*H976*D976+Test1_Hand!$B$7*MAX(0,I976-Test1_Hand!$B$5)+Test1_Hand!$B$14</f>
        <v>6000</v>
      </c>
    </row>
    <row r="977" customFormat="false" ht="15" hidden="false" customHeight="false" outlineLevel="0" collapsed="false">
      <c r="A977" s="2" t="n">
        <v>965</v>
      </c>
      <c r="B977" s="22" t="n">
        <v>0.67832302415161</v>
      </c>
      <c r="C977" s="22" t="n">
        <v>0.83357628545891</v>
      </c>
      <c r="D977" s="23" t="n">
        <f aca="false">BETAINV(C977,Test1_Hand!$B$21,Test1_Hand!$B$22,Test1_Hand!$B$9,Test1_Hand!$B$11)</f>
        <v>4.81511830871927</v>
      </c>
      <c r="E977" s="2" t="n">
        <f aca="false">IF(B977&lt;Test1_Hand!$B$12,1,0)</f>
        <v>0</v>
      </c>
      <c r="F977" s="23" t="n">
        <f aca="false">Test1_Hand!$B$4+E977*D977</f>
        <v>16</v>
      </c>
      <c r="G977" s="24" t="n">
        <f aca="false">Test1_Hand!$B$6*E977*D977+Test1_Hand!$B$7*MAX(0,F977-Test1_Hand!$B$5)</f>
        <v>0</v>
      </c>
      <c r="H977" s="2" t="n">
        <f aca="false">IF(B977&lt;Test1_Hand!$B$13,1,0)</f>
        <v>0</v>
      </c>
      <c r="I977" s="23" t="n">
        <f aca="false">Test1_Hand!$B$4+H977*D977</f>
        <v>16</v>
      </c>
      <c r="J977" s="24" t="n">
        <f aca="false">Test1_Hand!$B$6*H977*D977+Test1_Hand!$B$7*MAX(0,I977-Test1_Hand!$B$5)+Test1_Hand!$B$14</f>
        <v>6000</v>
      </c>
    </row>
    <row r="978" customFormat="false" ht="15" hidden="false" customHeight="false" outlineLevel="0" collapsed="false">
      <c r="A978" s="2" t="n">
        <v>966</v>
      </c>
      <c r="B978" s="22" t="n">
        <v>0.992757266161726</v>
      </c>
      <c r="C978" s="22" t="n">
        <v>0.676840652368196</v>
      </c>
      <c r="D978" s="23" t="n">
        <f aca="false">BETAINV(C978,Test1_Hand!$B$21,Test1_Hand!$B$22,Test1_Hand!$B$9,Test1_Hand!$B$11)</f>
        <v>4.05143274472037</v>
      </c>
      <c r="E978" s="2" t="n">
        <f aca="false">IF(B978&lt;Test1_Hand!$B$12,1,0)</f>
        <v>0</v>
      </c>
      <c r="F978" s="23" t="n">
        <f aca="false">Test1_Hand!$B$4+E978*D978</f>
        <v>16</v>
      </c>
      <c r="G978" s="24" t="n">
        <f aca="false">Test1_Hand!$B$6*E978*D978+Test1_Hand!$B$7*MAX(0,F978-Test1_Hand!$B$5)</f>
        <v>0</v>
      </c>
      <c r="H978" s="2" t="n">
        <f aca="false">IF(B978&lt;Test1_Hand!$B$13,1,0)</f>
        <v>0</v>
      </c>
      <c r="I978" s="23" t="n">
        <f aca="false">Test1_Hand!$B$4+H978*D978</f>
        <v>16</v>
      </c>
      <c r="J978" s="24" t="n">
        <f aca="false">Test1_Hand!$B$6*H978*D978+Test1_Hand!$B$7*MAX(0,I978-Test1_Hand!$B$5)+Test1_Hand!$B$14</f>
        <v>6000</v>
      </c>
    </row>
    <row r="979" customFormat="false" ht="15" hidden="false" customHeight="false" outlineLevel="0" collapsed="false">
      <c r="A979" s="2" t="n">
        <v>967</v>
      </c>
      <c r="B979" s="22" t="n">
        <v>0.713559904248923</v>
      </c>
      <c r="C979" s="22" t="n">
        <v>0.65301935320272</v>
      </c>
      <c r="D979" s="23" t="n">
        <f aca="false">BETAINV(C979,Test1_Hand!$B$21,Test1_Hand!$B$22,Test1_Hand!$B$9,Test1_Hand!$B$11)</f>
        <v>3.95399016492728</v>
      </c>
      <c r="E979" s="2" t="n">
        <f aca="false">IF(B979&lt;Test1_Hand!$B$12,1,0)</f>
        <v>0</v>
      </c>
      <c r="F979" s="23" t="n">
        <f aca="false">Test1_Hand!$B$4+E979*D979</f>
        <v>16</v>
      </c>
      <c r="G979" s="24" t="n">
        <f aca="false">Test1_Hand!$B$6*E979*D979+Test1_Hand!$B$7*MAX(0,F979-Test1_Hand!$B$5)</f>
        <v>0</v>
      </c>
      <c r="H979" s="2" t="n">
        <f aca="false">IF(B979&lt;Test1_Hand!$B$13,1,0)</f>
        <v>0</v>
      </c>
      <c r="I979" s="23" t="n">
        <f aca="false">Test1_Hand!$B$4+H979*D979</f>
        <v>16</v>
      </c>
      <c r="J979" s="24" t="n">
        <f aca="false">Test1_Hand!$B$6*H979*D979+Test1_Hand!$B$7*MAX(0,I979-Test1_Hand!$B$5)+Test1_Hand!$B$14</f>
        <v>6000</v>
      </c>
    </row>
    <row r="980" customFormat="false" ht="15" hidden="false" customHeight="false" outlineLevel="0" collapsed="false">
      <c r="A980" s="2" t="n">
        <v>968</v>
      </c>
      <c r="B980" s="22" t="n">
        <v>0.453632729025226</v>
      </c>
      <c r="C980" s="22" t="n">
        <v>0.459567292249279</v>
      </c>
      <c r="D980" s="23" t="n">
        <f aca="false">BETAINV(C980,Test1_Hand!$B$21,Test1_Hand!$B$22,Test1_Hand!$B$9,Test1_Hand!$B$11)</f>
        <v>3.24115183112222</v>
      </c>
      <c r="E980" s="2" t="n">
        <f aca="false">IF(B980&lt;Test1_Hand!$B$12,1,0)</f>
        <v>1</v>
      </c>
      <c r="F980" s="23" t="n">
        <f aca="false">Test1_Hand!$B$4+E980*D980</f>
        <v>19.2411518311222</v>
      </c>
      <c r="G980" s="24" t="n">
        <f aca="false">Test1_Hand!$B$6*E980*D980+Test1_Hand!$B$7*MAX(0,F980-Test1_Hand!$B$5)</f>
        <v>25929.2146489777</v>
      </c>
      <c r="H980" s="2" t="n">
        <f aca="false">IF(B980&lt;Test1_Hand!$B$13,1,0)</f>
        <v>0</v>
      </c>
      <c r="I980" s="23" t="n">
        <f aca="false">Test1_Hand!$B$4+H980*D980</f>
        <v>16</v>
      </c>
      <c r="J980" s="24" t="n">
        <f aca="false">Test1_Hand!$B$6*H980*D980+Test1_Hand!$B$7*MAX(0,I980-Test1_Hand!$B$5)+Test1_Hand!$B$14</f>
        <v>6000</v>
      </c>
    </row>
    <row r="981" customFormat="false" ht="15" hidden="false" customHeight="false" outlineLevel="0" collapsed="false">
      <c r="A981" s="2" t="n">
        <v>969</v>
      </c>
      <c r="B981" s="22" t="n">
        <v>0.21895137817123</v>
      </c>
      <c r="C981" s="22" t="n">
        <v>0.633685962269102</v>
      </c>
      <c r="D981" s="23" t="n">
        <f aca="false">BETAINV(C981,Test1_Hand!$B$21,Test1_Hand!$B$22,Test1_Hand!$B$9,Test1_Hand!$B$11)</f>
        <v>3.87708881339824</v>
      </c>
      <c r="E981" s="2" t="n">
        <f aca="false">IF(B981&lt;Test1_Hand!$B$12,1,0)</f>
        <v>1</v>
      </c>
      <c r="F981" s="23" t="n">
        <f aca="false">Test1_Hand!$B$4+E981*D981</f>
        <v>19.8770888133982</v>
      </c>
      <c r="G981" s="24" t="n">
        <f aca="false">Test1_Hand!$B$6*E981*D981+Test1_Hand!$B$7*MAX(0,F981-Test1_Hand!$B$5)</f>
        <v>31016.7105071859</v>
      </c>
      <c r="H981" s="2" t="n">
        <f aca="false">IF(B981&lt;Test1_Hand!$B$13,1,0)</f>
        <v>0</v>
      </c>
      <c r="I981" s="23" t="n">
        <f aca="false">Test1_Hand!$B$4+H981*D981</f>
        <v>16</v>
      </c>
      <c r="J981" s="24" t="n">
        <f aca="false">Test1_Hand!$B$6*H981*D981+Test1_Hand!$B$7*MAX(0,I981-Test1_Hand!$B$5)+Test1_Hand!$B$14</f>
        <v>6000</v>
      </c>
    </row>
    <row r="982" customFormat="false" ht="15" hidden="false" customHeight="false" outlineLevel="0" collapsed="false">
      <c r="A982" s="2" t="n">
        <v>970</v>
      </c>
      <c r="B982" s="22" t="n">
        <v>0.353868617437778</v>
      </c>
      <c r="C982" s="22" t="n">
        <v>0.0175121873722708</v>
      </c>
      <c r="D982" s="23" t="n">
        <f aca="false">BETAINV(C982,Test1_Hand!$B$21,Test1_Hand!$B$22,Test1_Hand!$B$9,Test1_Hand!$B$11)</f>
        <v>1.37303379041234</v>
      </c>
      <c r="E982" s="2" t="n">
        <f aca="false">IF(B982&lt;Test1_Hand!$B$12,1,0)</f>
        <v>1</v>
      </c>
      <c r="F982" s="23" t="n">
        <f aca="false">Test1_Hand!$B$4+E982*D982</f>
        <v>17.3730337904123</v>
      </c>
      <c r="G982" s="24" t="n">
        <f aca="false">Test1_Hand!$B$6*E982*D982+Test1_Hand!$B$7*MAX(0,F982-Test1_Hand!$B$5)</f>
        <v>10984.2703232987</v>
      </c>
      <c r="H982" s="2" t="n">
        <f aca="false">IF(B982&lt;Test1_Hand!$B$13,1,0)</f>
        <v>0</v>
      </c>
      <c r="I982" s="23" t="n">
        <f aca="false">Test1_Hand!$B$4+H982*D982</f>
        <v>16</v>
      </c>
      <c r="J982" s="24" t="n">
        <f aca="false">Test1_Hand!$B$6*H982*D982+Test1_Hand!$B$7*MAX(0,I982-Test1_Hand!$B$5)+Test1_Hand!$B$14</f>
        <v>6000</v>
      </c>
    </row>
    <row r="983" customFormat="false" ht="15" hidden="false" customHeight="false" outlineLevel="0" collapsed="false">
      <c r="A983" s="2" t="n">
        <v>971</v>
      </c>
      <c r="B983" s="22" t="n">
        <v>0.930878856179596</v>
      </c>
      <c r="C983" s="22" t="n">
        <v>0.582963328077137</v>
      </c>
      <c r="D983" s="23" t="n">
        <f aca="false">BETAINV(C983,Test1_Hand!$B$21,Test1_Hand!$B$22,Test1_Hand!$B$9,Test1_Hand!$B$11)</f>
        <v>3.68296010891373</v>
      </c>
      <c r="E983" s="2" t="n">
        <f aca="false">IF(B983&lt;Test1_Hand!$B$12,1,0)</f>
        <v>0</v>
      </c>
      <c r="F983" s="23" t="n">
        <f aca="false">Test1_Hand!$B$4+E983*D983</f>
        <v>16</v>
      </c>
      <c r="G983" s="24" t="n">
        <f aca="false">Test1_Hand!$B$6*E983*D983+Test1_Hand!$B$7*MAX(0,F983-Test1_Hand!$B$5)</f>
        <v>0</v>
      </c>
      <c r="H983" s="2" t="n">
        <f aca="false">IF(B983&lt;Test1_Hand!$B$13,1,0)</f>
        <v>0</v>
      </c>
      <c r="I983" s="23" t="n">
        <f aca="false">Test1_Hand!$B$4+H983*D983</f>
        <v>16</v>
      </c>
      <c r="J983" s="24" t="n">
        <f aca="false">Test1_Hand!$B$6*H983*D983+Test1_Hand!$B$7*MAX(0,I983-Test1_Hand!$B$5)+Test1_Hand!$B$14</f>
        <v>6000</v>
      </c>
    </row>
    <row r="984" customFormat="false" ht="15" hidden="false" customHeight="false" outlineLevel="0" collapsed="false">
      <c r="A984" s="2" t="n">
        <v>972</v>
      </c>
      <c r="B984" s="22" t="n">
        <v>0.628836407691223</v>
      </c>
      <c r="C984" s="22" t="n">
        <v>0.748440737025584</v>
      </c>
      <c r="D984" s="23" t="n">
        <f aca="false">BETAINV(C984,Test1_Hand!$B$21,Test1_Hand!$B$22,Test1_Hand!$B$9,Test1_Hand!$B$11)</f>
        <v>4.36750647053956</v>
      </c>
      <c r="E984" s="2" t="n">
        <f aca="false">IF(B984&lt;Test1_Hand!$B$12,1,0)</f>
        <v>0</v>
      </c>
      <c r="F984" s="23" t="n">
        <f aca="false">Test1_Hand!$B$4+E984*D984</f>
        <v>16</v>
      </c>
      <c r="G984" s="24" t="n">
        <f aca="false">Test1_Hand!$B$6*E984*D984+Test1_Hand!$B$7*MAX(0,F984-Test1_Hand!$B$5)</f>
        <v>0</v>
      </c>
      <c r="H984" s="2" t="n">
        <f aca="false">IF(B984&lt;Test1_Hand!$B$13,1,0)</f>
        <v>0</v>
      </c>
      <c r="I984" s="23" t="n">
        <f aca="false">Test1_Hand!$B$4+H984*D984</f>
        <v>16</v>
      </c>
      <c r="J984" s="24" t="n">
        <f aca="false">Test1_Hand!$B$6*H984*D984+Test1_Hand!$B$7*MAX(0,I984-Test1_Hand!$B$5)+Test1_Hand!$B$14</f>
        <v>6000</v>
      </c>
    </row>
    <row r="985" customFormat="false" ht="15" hidden="false" customHeight="false" outlineLevel="0" collapsed="false">
      <c r="A985" s="2" t="n">
        <v>973</v>
      </c>
      <c r="B985" s="22" t="n">
        <v>0.271175226527473</v>
      </c>
      <c r="C985" s="22" t="n">
        <v>0.38669231383984</v>
      </c>
      <c r="D985" s="23" t="n">
        <f aca="false">BETAINV(C985,Test1_Hand!$B$21,Test1_Hand!$B$22,Test1_Hand!$B$9,Test1_Hand!$B$11)</f>
        <v>2.99004528860222</v>
      </c>
      <c r="E985" s="2" t="n">
        <f aca="false">IF(B985&lt;Test1_Hand!$B$12,1,0)</f>
        <v>1</v>
      </c>
      <c r="F985" s="23" t="n">
        <f aca="false">Test1_Hand!$B$4+E985*D985</f>
        <v>18.9900452886022</v>
      </c>
      <c r="G985" s="24" t="n">
        <f aca="false">Test1_Hand!$B$6*E985*D985+Test1_Hand!$B$7*MAX(0,F985-Test1_Hand!$B$5)</f>
        <v>23920.3623088178</v>
      </c>
      <c r="H985" s="2" t="n">
        <f aca="false">IF(B985&lt;Test1_Hand!$B$13,1,0)</f>
        <v>0</v>
      </c>
      <c r="I985" s="23" t="n">
        <f aca="false">Test1_Hand!$B$4+H985*D985</f>
        <v>16</v>
      </c>
      <c r="J985" s="24" t="n">
        <f aca="false">Test1_Hand!$B$6*H985*D985+Test1_Hand!$B$7*MAX(0,I985-Test1_Hand!$B$5)+Test1_Hand!$B$14</f>
        <v>6000</v>
      </c>
    </row>
    <row r="986" customFormat="false" ht="15" hidden="false" customHeight="false" outlineLevel="0" collapsed="false">
      <c r="A986" s="2" t="n">
        <v>974</v>
      </c>
      <c r="B986" s="22" t="n">
        <v>0.992283296701317</v>
      </c>
      <c r="C986" s="22" t="n">
        <v>0.250052999545456</v>
      </c>
      <c r="D986" s="23" t="n">
        <f aca="false">BETAINV(C986,Test1_Hand!$B$21,Test1_Hand!$B$22,Test1_Hand!$B$9,Test1_Hand!$B$11)</f>
        <v>2.51264125056332</v>
      </c>
      <c r="E986" s="2" t="n">
        <f aca="false">IF(B986&lt;Test1_Hand!$B$12,1,0)</f>
        <v>0</v>
      </c>
      <c r="F986" s="23" t="n">
        <f aca="false">Test1_Hand!$B$4+E986*D986</f>
        <v>16</v>
      </c>
      <c r="G986" s="24" t="n">
        <f aca="false">Test1_Hand!$B$6*E986*D986+Test1_Hand!$B$7*MAX(0,F986-Test1_Hand!$B$5)</f>
        <v>0</v>
      </c>
      <c r="H986" s="2" t="n">
        <f aca="false">IF(B986&lt;Test1_Hand!$B$13,1,0)</f>
        <v>0</v>
      </c>
      <c r="I986" s="23" t="n">
        <f aca="false">Test1_Hand!$B$4+H986*D986</f>
        <v>16</v>
      </c>
      <c r="J986" s="24" t="n">
        <f aca="false">Test1_Hand!$B$6*H986*D986+Test1_Hand!$B$7*MAX(0,I986-Test1_Hand!$B$5)+Test1_Hand!$B$14</f>
        <v>6000</v>
      </c>
    </row>
    <row r="987" customFormat="false" ht="15" hidden="false" customHeight="false" outlineLevel="0" collapsed="false">
      <c r="A987" s="2" t="n">
        <v>975</v>
      </c>
      <c r="B987" s="22" t="n">
        <v>0.378239926355613</v>
      </c>
      <c r="C987" s="22" t="n">
        <v>0.913868545739857</v>
      </c>
      <c r="D987" s="23" t="n">
        <f aca="false">BETAINV(C987,Test1_Hand!$B$21,Test1_Hand!$B$22,Test1_Hand!$B$9,Test1_Hand!$B$11)</f>
        <v>5.391128310431</v>
      </c>
      <c r="E987" s="2" t="n">
        <f aca="false">IF(B987&lt;Test1_Hand!$B$12,1,0)</f>
        <v>1</v>
      </c>
      <c r="F987" s="23" t="n">
        <f aca="false">Test1_Hand!$B$4+E987*D987</f>
        <v>21.391128310431</v>
      </c>
      <c r="G987" s="24" t="n">
        <f aca="false">Test1_Hand!$B$6*E987*D987+Test1_Hand!$B$7*MAX(0,F987-Test1_Hand!$B$5)</f>
        <v>50084.668035603</v>
      </c>
      <c r="H987" s="2" t="n">
        <f aca="false">IF(B987&lt;Test1_Hand!$B$13,1,0)</f>
        <v>0</v>
      </c>
      <c r="I987" s="23" t="n">
        <f aca="false">Test1_Hand!$B$4+H987*D987</f>
        <v>16</v>
      </c>
      <c r="J987" s="24" t="n">
        <f aca="false">Test1_Hand!$B$6*H987*D987+Test1_Hand!$B$7*MAX(0,I987-Test1_Hand!$B$5)+Test1_Hand!$B$14</f>
        <v>6000</v>
      </c>
    </row>
    <row r="988" customFormat="false" ht="15" hidden="false" customHeight="false" outlineLevel="0" collapsed="false">
      <c r="A988" s="2" t="n">
        <v>976</v>
      </c>
      <c r="B988" s="22" t="n">
        <v>0.258927238615839</v>
      </c>
      <c r="C988" s="22" t="n">
        <v>0.142364802652001</v>
      </c>
      <c r="D988" s="23" t="n">
        <f aca="false">BETAINV(C988,Test1_Hand!$B$21,Test1_Hand!$B$22,Test1_Hand!$B$9,Test1_Hand!$B$11)</f>
        <v>2.0953735325941</v>
      </c>
      <c r="E988" s="2" t="n">
        <f aca="false">IF(B988&lt;Test1_Hand!$B$12,1,0)</f>
        <v>1</v>
      </c>
      <c r="F988" s="23" t="n">
        <f aca="false">Test1_Hand!$B$4+E988*D988</f>
        <v>18.0953735325941</v>
      </c>
      <c r="G988" s="24" t="n">
        <f aca="false">Test1_Hand!$B$6*E988*D988+Test1_Hand!$B$7*MAX(0,F988-Test1_Hand!$B$5)</f>
        <v>16762.9882607528</v>
      </c>
      <c r="H988" s="2" t="n">
        <f aca="false">IF(B988&lt;Test1_Hand!$B$13,1,0)</f>
        <v>0</v>
      </c>
      <c r="I988" s="23" t="n">
        <f aca="false">Test1_Hand!$B$4+H988*D988</f>
        <v>16</v>
      </c>
      <c r="J988" s="24" t="n">
        <f aca="false">Test1_Hand!$B$6*H988*D988+Test1_Hand!$B$7*MAX(0,I988-Test1_Hand!$B$5)+Test1_Hand!$B$14</f>
        <v>6000</v>
      </c>
    </row>
    <row r="989" customFormat="false" ht="15" hidden="false" customHeight="false" outlineLevel="0" collapsed="false">
      <c r="A989" s="2" t="n">
        <v>977</v>
      </c>
      <c r="B989" s="22" t="n">
        <v>0.173303745003516</v>
      </c>
      <c r="C989" s="22" t="n">
        <v>0.182660887733367</v>
      </c>
      <c r="D989" s="23" t="n">
        <f aca="false">BETAINV(C989,Test1_Hand!$B$21,Test1_Hand!$B$22,Test1_Hand!$B$9,Test1_Hand!$B$11)</f>
        <v>2.25954101756391</v>
      </c>
      <c r="E989" s="2" t="n">
        <f aca="false">IF(B989&lt;Test1_Hand!$B$12,1,0)</f>
        <v>1</v>
      </c>
      <c r="F989" s="23" t="n">
        <f aca="false">Test1_Hand!$B$4+E989*D989</f>
        <v>18.2595410175639</v>
      </c>
      <c r="G989" s="24" t="n">
        <f aca="false">Test1_Hand!$B$6*E989*D989+Test1_Hand!$B$7*MAX(0,F989-Test1_Hand!$B$5)</f>
        <v>18076.3281405113</v>
      </c>
      <c r="H989" s="2" t="n">
        <f aca="false">IF(B989&lt;Test1_Hand!$B$13,1,0)</f>
        <v>1</v>
      </c>
      <c r="I989" s="23" t="n">
        <f aca="false">Test1_Hand!$B$4+H989*D989</f>
        <v>18.2595410175639</v>
      </c>
      <c r="J989" s="24" t="n">
        <f aca="false">Test1_Hand!$B$6*H989*D989+Test1_Hand!$B$7*MAX(0,I989-Test1_Hand!$B$5)+Test1_Hand!$B$14</f>
        <v>24076.3281405113</v>
      </c>
    </row>
    <row r="990" customFormat="false" ht="15" hidden="false" customHeight="false" outlineLevel="0" collapsed="false">
      <c r="A990" s="2" t="n">
        <v>978</v>
      </c>
      <c r="B990" s="22" t="n">
        <v>0.223314289632505</v>
      </c>
      <c r="C990" s="22" t="n">
        <v>0.0129236592866365</v>
      </c>
      <c r="D990" s="23" t="n">
        <f aca="false">BETAINV(C990,Test1_Hand!$B$21,Test1_Hand!$B$22,Test1_Hand!$B$9,Test1_Hand!$B$11)</f>
        <v>1.32150212623699</v>
      </c>
      <c r="E990" s="2" t="n">
        <f aca="false">IF(B990&lt;Test1_Hand!$B$12,1,0)</f>
        <v>1</v>
      </c>
      <c r="F990" s="23" t="n">
        <f aca="false">Test1_Hand!$B$4+E990*D990</f>
        <v>17.321502126237</v>
      </c>
      <c r="G990" s="24" t="n">
        <f aca="false">Test1_Hand!$B$6*E990*D990+Test1_Hand!$B$7*MAX(0,F990-Test1_Hand!$B$5)</f>
        <v>10572.0170098959</v>
      </c>
      <c r="H990" s="2" t="n">
        <f aca="false">IF(B990&lt;Test1_Hand!$B$13,1,0)</f>
        <v>0</v>
      </c>
      <c r="I990" s="23" t="n">
        <f aca="false">Test1_Hand!$B$4+H990*D990</f>
        <v>16</v>
      </c>
      <c r="J990" s="24" t="n">
        <f aca="false">Test1_Hand!$B$6*H990*D990+Test1_Hand!$B$7*MAX(0,I990-Test1_Hand!$B$5)+Test1_Hand!$B$14</f>
        <v>6000</v>
      </c>
    </row>
    <row r="991" customFormat="false" ht="15" hidden="false" customHeight="false" outlineLevel="0" collapsed="false">
      <c r="A991" s="2" t="n">
        <v>979</v>
      </c>
      <c r="B991" s="22" t="n">
        <v>0.0386418551258484</v>
      </c>
      <c r="C991" s="22" t="n">
        <v>0.675735011449185</v>
      </c>
      <c r="D991" s="23" t="n">
        <f aca="false">BETAINV(C991,Test1_Hand!$B$21,Test1_Hand!$B$22,Test1_Hand!$B$9,Test1_Hand!$B$11)</f>
        <v>4.0468381785995</v>
      </c>
      <c r="E991" s="2" t="n">
        <f aca="false">IF(B991&lt;Test1_Hand!$B$12,1,0)</f>
        <v>1</v>
      </c>
      <c r="F991" s="23" t="n">
        <f aca="false">Test1_Hand!$B$4+E991*D991</f>
        <v>20.0468381785995</v>
      </c>
      <c r="G991" s="24" t="n">
        <f aca="false">Test1_Hand!$B$6*E991*D991+Test1_Hand!$B$7*MAX(0,F991-Test1_Hand!$B$5)</f>
        <v>32608.8963217934</v>
      </c>
      <c r="H991" s="2" t="n">
        <f aca="false">IF(B991&lt;Test1_Hand!$B$13,1,0)</f>
        <v>1</v>
      </c>
      <c r="I991" s="23" t="n">
        <f aca="false">Test1_Hand!$B$4+H991*D991</f>
        <v>20.0468381785995</v>
      </c>
      <c r="J991" s="24" t="n">
        <f aca="false">Test1_Hand!$B$6*H991*D991+Test1_Hand!$B$7*MAX(0,I991-Test1_Hand!$B$5)+Test1_Hand!$B$14</f>
        <v>38608.8963217934</v>
      </c>
    </row>
    <row r="992" customFormat="false" ht="15" hidden="false" customHeight="false" outlineLevel="0" collapsed="false">
      <c r="A992" s="2" t="n">
        <v>980</v>
      </c>
      <c r="B992" s="22" t="n">
        <v>0.727574659080925</v>
      </c>
      <c r="C992" s="22" t="n">
        <v>0.725678369682016</v>
      </c>
      <c r="D992" s="23" t="n">
        <f aca="false">BETAINV(C992,Test1_Hand!$B$21,Test1_Hand!$B$22,Test1_Hand!$B$9,Test1_Hand!$B$11)</f>
        <v>4.26259303587855</v>
      </c>
      <c r="E992" s="2" t="n">
        <f aca="false">IF(B992&lt;Test1_Hand!$B$12,1,0)</f>
        <v>0</v>
      </c>
      <c r="F992" s="23" t="n">
        <f aca="false">Test1_Hand!$B$4+E992*D992</f>
        <v>16</v>
      </c>
      <c r="G992" s="24" t="n">
        <f aca="false">Test1_Hand!$B$6*E992*D992+Test1_Hand!$B$7*MAX(0,F992-Test1_Hand!$B$5)</f>
        <v>0</v>
      </c>
      <c r="H992" s="2" t="n">
        <f aca="false">IF(B992&lt;Test1_Hand!$B$13,1,0)</f>
        <v>0</v>
      </c>
      <c r="I992" s="23" t="n">
        <f aca="false">Test1_Hand!$B$4+H992*D992</f>
        <v>16</v>
      </c>
      <c r="J992" s="24" t="n">
        <f aca="false">Test1_Hand!$B$6*H992*D992+Test1_Hand!$B$7*MAX(0,I992-Test1_Hand!$B$5)+Test1_Hand!$B$14</f>
        <v>6000</v>
      </c>
    </row>
    <row r="993" customFormat="false" ht="15" hidden="false" customHeight="false" outlineLevel="0" collapsed="false">
      <c r="A993" s="2" t="n">
        <v>981</v>
      </c>
      <c r="B993" s="22" t="n">
        <v>0.496806046633583</v>
      </c>
      <c r="C993" s="22" t="n">
        <v>0.480751437839382</v>
      </c>
      <c r="D993" s="23" t="n">
        <f aca="false">BETAINV(C993,Test1_Hand!$B$21,Test1_Hand!$B$22,Test1_Hand!$B$9,Test1_Hand!$B$11)</f>
        <v>3.31496769561138</v>
      </c>
      <c r="E993" s="2" t="n">
        <f aca="false">IF(B993&lt;Test1_Hand!$B$12,1,0)</f>
        <v>1</v>
      </c>
      <c r="F993" s="23" t="n">
        <f aca="false">Test1_Hand!$B$4+E993*D993</f>
        <v>19.3149676956114</v>
      </c>
      <c r="G993" s="24" t="n">
        <f aca="false">Test1_Hand!$B$6*E993*D993+Test1_Hand!$B$7*MAX(0,F993-Test1_Hand!$B$5)</f>
        <v>26519.741564891</v>
      </c>
      <c r="H993" s="2" t="n">
        <f aca="false">IF(B993&lt;Test1_Hand!$B$13,1,0)</f>
        <v>0</v>
      </c>
      <c r="I993" s="23" t="n">
        <f aca="false">Test1_Hand!$B$4+H993*D993</f>
        <v>16</v>
      </c>
      <c r="J993" s="24" t="n">
        <f aca="false">Test1_Hand!$B$6*H993*D993+Test1_Hand!$B$7*MAX(0,I993-Test1_Hand!$B$5)+Test1_Hand!$B$14</f>
        <v>6000</v>
      </c>
    </row>
    <row r="994" customFormat="false" ht="15" hidden="false" customHeight="false" outlineLevel="0" collapsed="false">
      <c r="A994" s="2" t="n">
        <v>982</v>
      </c>
      <c r="B994" s="22" t="n">
        <v>0.821642683406098</v>
      </c>
      <c r="C994" s="22" t="n">
        <v>0.649511429732301</v>
      </c>
      <c r="D994" s="23" t="n">
        <f aca="false">BETAINV(C994,Test1_Hand!$B$21,Test1_Hand!$B$22,Test1_Hand!$B$9,Test1_Hand!$B$11)</f>
        <v>3.93990006406836</v>
      </c>
      <c r="E994" s="2" t="n">
        <f aca="false">IF(B994&lt;Test1_Hand!$B$12,1,0)</f>
        <v>0</v>
      </c>
      <c r="F994" s="23" t="n">
        <f aca="false">Test1_Hand!$B$4+E994*D994</f>
        <v>16</v>
      </c>
      <c r="G994" s="24" t="n">
        <f aca="false">Test1_Hand!$B$6*E994*D994+Test1_Hand!$B$7*MAX(0,F994-Test1_Hand!$B$5)</f>
        <v>0</v>
      </c>
      <c r="H994" s="2" t="n">
        <f aca="false">IF(B994&lt;Test1_Hand!$B$13,1,0)</f>
        <v>0</v>
      </c>
      <c r="I994" s="23" t="n">
        <f aca="false">Test1_Hand!$B$4+H994*D994</f>
        <v>16</v>
      </c>
      <c r="J994" s="24" t="n">
        <f aca="false">Test1_Hand!$B$6*H994*D994+Test1_Hand!$B$7*MAX(0,I994-Test1_Hand!$B$5)+Test1_Hand!$B$14</f>
        <v>6000</v>
      </c>
    </row>
    <row r="995" customFormat="false" ht="15" hidden="false" customHeight="false" outlineLevel="0" collapsed="false">
      <c r="A995" s="2" t="n">
        <v>983</v>
      </c>
      <c r="B995" s="22" t="n">
        <v>0.764828620759617</v>
      </c>
      <c r="C995" s="22" t="n">
        <v>0.896693201940403</v>
      </c>
      <c r="D995" s="23" t="n">
        <f aca="false">BETAINV(C995,Test1_Hand!$B$21,Test1_Hand!$B$22,Test1_Hand!$B$9,Test1_Hand!$B$11)</f>
        <v>5.24603647092695</v>
      </c>
      <c r="E995" s="2" t="n">
        <f aca="false">IF(B995&lt;Test1_Hand!$B$12,1,0)</f>
        <v>0</v>
      </c>
      <c r="F995" s="23" t="n">
        <f aca="false">Test1_Hand!$B$4+E995*D995</f>
        <v>16</v>
      </c>
      <c r="G995" s="24" t="n">
        <f aca="false">Test1_Hand!$B$6*E995*D995+Test1_Hand!$B$7*MAX(0,F995-Test1_Hand!$B$5)</f>
        <v>0</v>
      </c>
      <c r="H995" s="2" t="n">
        <f aca="false">IF(B995&lt;Test1_Hand!$B$13,1,0)</f>
        <v>0</v>
      </c>
      <c r="I995" s="23" t="n">
        <f aca="false">Test1_Hand!$B$4+H995*D995</f>
        <v>16</v>
      </c>
      <c r="J995" s="24" t="n">
        <f aca="false">Test1_Hand!$B$6*H995*D995+Test1_Hand!$B$7*MAX(0,I995-Test1_Hand!$B$5)+Test1_Hand!$B$14</f>
        <v>6000</v>
      </c>
    </row>
    <row r="996" customFormat="false" ht="15" hidden="false" customHeight="false" outlineLevel="0" collapsed="false">
      <c r="A996" s="2" t="n">
        <v>984</v>
      </c>
      <c r="B996" s="22" t="n">
        <v>0.565502622694262</v>
      </c>
      <c r="C996" s="22" t="n">
        <v>0.961067558420335</v>
      </c>
      <c r="D996" s="23" t="n">
        <f aca="false">BETAINV(C996,Test1_Hand!$B$21,Test1_Hand!$B$22,Test1_Hand!$B$9,Test1_Hand!$B$11)</f>
        <v>5.92793019459576</v>
      </c>
      <c r="E996" s="2" t="n">
        <f aca="false">IF(B996&lt;Test1_Hand!$B$12,1,0)</f>
        <v>0</v>
      </c>
      <c r="F996" s="23" t="n">
        <f aca="false">Test1_Hand!$B$4+E996*D996</f>
        <v>16</v>
      </c>
      <c r="G996" s="24" t="n">
        <f aca="false">Test1_Hand!$B$6*E996*D996+Test1_Hand!$B$7*MAX(0,F996-Test1_Hand!$B$5)</f>
        <v>0</v>
      </c>
      <c r="H996" s="2" t="n">
        <f aca="false">IF(B996&lt;Test1_Hand!$B$13,1,0)</f>
        <v>0</v>
      </c>
      <c r="I996" s="23" t="n">
        <f aca="false">Test1_Hand!$B$4+H996*D996</f>
        <v>16</v>
      </c>
      <c r="J996" s="24" t="n">
        <f aca="false">Test1_Hand!$B$6*H996*D996+Test1_Hand!$B$7*MAX(0,I996-Test1_Hand!$B$5)+Test1_Hand!$B$14</f>
        <v>6000</v>
      </c>
    </row>
    <row r="997" customFormat="false" ht="15" hidden="false" customHeight="false" outlineLevel="0" collapsed="false">
      <c r="A997" s="2" t="n">
        <v>985</v>
      </c>
      <c r="B997" s="22" t="n">
        <v>0.557666653428606</v>
      </c>
      <c r="C997" s="22" t="n">
        <v>0.846841148883502</v>
      </c>
      <c r="D997" s="23" t="n">
        <f aca="false">BETAINV(C997,Test1_Hand!$B$21,Test1_Hand!$B$22,Test1_Hand!$B$9,Test1_Hand!$B$11)</f>
        <v>4.89605626732475</v>
      </c>
      <c r="E997" s="2" t="n">
        <f aca="false">IF(B997&lt;Test1_Hand!$B$12,1,0)</f>
        <v>0</v>
      </c>
      <c r="F997" s="23" t="n">
        <f aca="false">Test1_Hand!$B$4+E997*D997</f>
        <v>16</v>
      </c>
      <c r="G997" s="24" t="n">
        <f aca="false">Test1_Hand!$B$6*E997*D997+Test1_Hand!$B$7*MAX(0,F997-Test1_Hand!$B$5)</f>
        <v>0</v>
      </c>
      <c r="H997" s="2" t="n">
        <f aca="false">IF(B997&lt;Test1_Hand!$B$13,1,0)</f>
        <v>0</v>
      </c>
      <c r="I997" s="23" t="n">
        <f aca="false">Test1_Hand!$B$4+H997*D997</f>
        <v>16</v>
      </c>
      <c r="J997" s="24" t="n">
        <f aca="false">Test1_Hand!$B$6*H997*D997+Test1_Hand!$B$7*MAX(0,I997-Test1_Hand!$B$5)+Test1_Hand!$B$14</f>
        <v>6000</v>
      </c>
    </row>
    <row r="998" customFormat="false" ht="15" hidden="false" customHeight="false" outlineLevel="0" collapsed="false">
      <c r="A998" s="2" t="n">
        <v>986</v>
      </c>
      <c r="B998" s="22" t="n">
        <v>0.634716101564631</v>
      </c>
      <c r="C998" s="22" t="n">
        <v>0.956719457579442</v>
      </c>
      <c r="D998" s="23" t="n">
        <f aca="false">BETAINV(C998,Test1_Hand!$B$21,Test1_Hand!$B$22,Test1_Hand!$B$9,Test1_Hand!$B$11)</f>
        <v>5.86428832619905</v>
      </c>
      <c r="E998" s="2" t="n">
        <f aca="false">IF(B998&lt;Test1_Hand!$B$12,1,0)</f>
        <v>0</v>
      </c>
      <c r="F998" s="23" t="n">
        <f aca="false">Test1_Hand!$B$4+E998*D998</f>
        <v>16</v>
      </c>
      <c r="G998" s="24" t="n">
        <f aca="false">Test1_Hand!$B$6*E998*D998+Test1_Hand!$B$7*MAX(0,F998-Test1_Hand!$B$5)</f>
        <v>0</v>
      </c>
      <c r="H998" s="2" t="n">
        <f aca="false">IF(B998&lt;Test1_Hand!$B$13,1,0)</f>
        <v>0</v>
      </c>
      <c r="I998" s="23" t="n">
        <f aca="false">Test1_Hand!$B$4+H998*D998</f>
        <v>16</v>
      </c>
      <c r="J998" s="24" t="n">
        <f aca="false">Test1_Hand!$B$6*H998*D998+Test1_Hand!$B$7*MAX(0,I998-Test1_Hand!$B$5)+Test1_Hand!$B$14</f>
        <v>6000</v>
      </c>
    </row>
    <row r="999" customFormat="false" ht="15" hidden="false" customHeight="false" outlineLevel="0" collapsed="false">
      <c r="A999" s="2" t="n">
        <v>987</v>
      </c>
      <c r="B999" s="22" t="n">
        <v>0.619880460870336</v>
      </c>
      <c r="C999" s="22" t="n">
        <v>0.19866204691641</v>
      </c>
      <c r="D999" s="23" t="n">
        <f aca="false">BETAINV(C999,Test1_Hand!$B$21,Test1_Hand!$B$22,Test1_Hand!$B$9,Test1_Hand!$B$11)</f>
        <v>2.32158574509663</v>
      </c>
      <c r="E999" s="2" t="n">
        <f aca="false">IF(B999&lt;Test1_Hand!$B$12,1,0)</f>
        <v>0</v>
      </c>
      <c r="F999" s="23" t="n">
        <f aca="false">Test1_Hand!$B$4+E999*D999</f>
        <v>16</v>
      </c>
      <c r="G999" s="24" t="n">
        <f aca="false">Test1_Hand!$B$6*E999*D999+Test1_Hand!$B$7*MAX(0,F999-Test1_Hand!$B$5)</f>
        <v>0</v>
      </c>
      <c r="H999" s="2" t="n">
        <f aca="false">IF(B999&lt;Test1_Hand!$B$13,1,0)</f>
        <v>0</v>
      </c>
      <c r="I999" s="23" t="n">
        <f aca="false">Test1_Hand!$B$4+H999*D999</f>
        <v>16</v>
      </c>
      <c r="J999" s="24" t="n">
        <f aca="false">Test1_Hand!$B$6*H999*D999+Test1_Hand!$B$7*MAX(0,I999-Test1_Hand!$B$5)+Test1_Hand!$B$14</f>
        <v>6000</v>
      </c>
    </row>
    <row r="1000" customFormat="false" ht="15" hidden="false" customHeight="false" outlineLevel="0" collapsed="false">
      <c r="A1000" s="2" t="n">
        <v>988</v>
      </c>
      <c r="B1000" s="22" t="n">
        <v>0.61838695958322</v>
      </c>
      <c r="C1000" s="22" t="n">
        <v>0.241046714398263</v>
      </c>
      <c r="D1000" s="23" t="n">
        <f aca="false">BETAINV(C1000,Test1_Hand!$B$21,Test1_Hand!$B$22,Test1_Hand!$B$9,Test1_Hand!$B$11)</f>
        <v>2.47989271882746</v>
      </c>
      <c r="E1000" s="2" t="n">
        <f aca="false">IF(B1000&lt;Test1_Hand!$B$12,1,0)</f>
        <v>0</v>
      </c>
      <c r="F1000" s="23" t="n">
        <f aca="false">Test1_Hand!$B$4+E1000*D1000</f>
        <v>16</v>
      </c>
      <c r="G1000" s="24" t="n">
        <f aca="false">Test1_Hand!$B$6*E1000*D1000+Test1_Hand!$B$7*MAX(0,F1000-Test1_Hand!$B$5)</f>
        <v>0</v>
      </c>
      <c r="H1000" s="2" t="n">
        <f aca="false">IF(B1000&lt;Test1_Hand!$B$13,1,0)</f>
        <v>0</v>
      </c>
      <c r="I1000" s="23" t="n">
        <f aca="false">Test1_Hand!$B$4+H1000*D1000</f>
        <v>16</v>
      </c>
      <c r="J1000" s="24" t="n">
        <f aca="false">Test1_Hand!$B$6*H1000*D1000+Test1_Hand!$B$7*MAX(0,I1000-Test1_Hand!$B$5)+Test1_Hand!$B$14</f>
        <v>6000</v>
      </c>
    </row>
    <row r="1001" customFormat="false" ht="15" hidden="false" customHeight="false" outlineLevel="0" collapsed="false">
      <c r="A1001" s="2" t="n">
        <v>989</v>
      </c>
      <c r="B1001" s="22" t="n">
        <v>0.840937636682179</v>
      </c>
      <c r="C1001" s="22" t="n">
        <v>0.997657659846133</v>
      </c>
      <c r="D1001" s="23" t="n">
        <f aca="false">BETAINV(C1001,Test1_Hand!$B$21,Test1_Hand!$B$22,Test1_Hand!$B$9,Test1_Hand!$B$11)</f>
        <v>7.04445498243866</v>
      </c>
      <c r="E1001" s="2" t="n">
        <f aca="false">IF(B1001&lt;Test1_Hand!$B$12,1,0)</f>
        <v>0</v>
      </c>
      <c r="F1001" s="23" t="n">
        <f aca="false">Test1_Hand!$B$4+E1001*D1001</f>
        <v>16</v>
      </c>
      <c r="G1001" s="24" t="n">
        <f aca="false">Test1_Hand!$B$6*E1001*D1001+Test1_Hand!$B$7*MAX(0,F1001-Test1_Hand!$B$5)</f>
        <v>0</v>
      </c>
      <c r="H1001" s="2" t="n">
        <f aca="false">IF(B1001&lt;Test1_Hand!$B$13,1,0)</f>
        <v>0</v>
      </c>
      <c r="I1001" s="23" t="n">
        <f aca="false">Test1_Hand!$B$4+H1001*D1001</f>
        <v>16</v>
      </c>
      <c r="J1001" s="24" t="n">
        <f aca="false">Test1_Hand!$B$6*H1001*D1001+Test1_Hand!$B$7*MAX(0,I1001-Test1_Hand!$B$5)+Test1_Hand!$B$14</f>
        <v>6000</v>
      </c>
    </row>
    <row r="1002" customFormat="false" ht="15" hidden="false" customHeight="false" outlineLevel="0" collapsed="false">
      <c r="A1002" s="2" t="n">
        <v>990</v>
      </c>
      <c r="B1002" s="22" t="n">
        <v>0.822032476640874</v>
      </c>
      <c r="C1002" s="22" t="n">
        <v>0.49031627122349</v>
      </c>
      <c r="D1002" s="23" t="n">
        <f aca="false">BETAINV(C1002,Test1_Hand!$B$21,Test1_Hand!$B$22,Test1_Hand!$B$9,Test1_Hand!$B$11)</f>
        <v>3.34849634648644</v>
      </c>
      <c r="E1002" s="2" t="n">
        <f aca="false">IF(B1002&lt;Test1_Hand!$B$12,1,0)</f>
        <v>0</v>
      </c>
      <c r="F1002" s="23" t="n">
        <f aca="false">Test1_Hand!$B$4+E1002*D1002</f>
        <v>16</v>
      </c>
      <c r="G1002" s="24" t="n">
        <f aca="false">Test1_Hand!$B$6*E1002*D1002+Test1_Hand!$B$7*MAX(0,F1002-Test1_Hand!$B$5)</f>
        <v>0</v>
      </c>
      <c r="H1002" s="2" t="n">
        <f aca="false">IF(B1002&lt;Test1_Hand!$B$13,1,0)</f>
        <v>0</v>
      </c>
      <c r="I1002" s="23" t="n">
        <f aca="false">Test1_Hand!$B$4+H1002*D1002</f>
        <v>16</v>
      </c>
      <c r="J1002" s="24" t="n">
        <f aca="false">Test1_Hand!$B$6*H1002*D1002+Test1_Hand!$B$7*MAX(0,I1002-Test1_Hand!$B$5)+Test1_Hand!$B$14</f>
        <v>6000</v>
      </c>
    </row>
    <row r="1003" customFormat="false" ht="15" hidden="false" customHeight="false" outlineLevel="0" collapsed="false">
      <c r="A1003" s="2" t="n">
        <v>991</v>
      </c>
      <c r="B1003" s="22" t="n">
        <v>0.437734429552492</v>
      </c>
      <c r="C1003" s="22" t="n">
        <v>0.861945207115573</v>
      </c>
      <c r="D1003" s="23" t="n">
        <f aca="false">BETAINV(C1003,Test1_Hand!$B$21,Test1_Hand!$B$22,Test1_Hand!$B$9,Test1_Hand!$B$11)</f>
        <v>4.99353199735541</v>
      </c>
      <c r="E1003" s="2" t="n">
        <f aca="false">IF(B1003&lt;Test1_Hand!$B$12,1,0)</f>
        <v>1</v>
      </c>
      <c r="F1003" s="23" t="n">
        <f aca="false">Test1_Hand!$B$4+E1003*D1003</f>
        <v>20.9935319973554</v>
      </c>
      <c r="G1003" s="24" t="n">
        <f aca="false">Test1_Hand!$B$6*E1003*D1003+Test1_Hand!$B$7*MAX(0,F1003-Test1_Hand!$B$5)</f>
        <v>44915.9159656203</v>
      </c>
      <c r="H1003" s="2" t="n">
        <f aca="false">IF(B1003&lt;Test1_Hand!$B$13,1,0)</f>
        <v>0</v>
      </c>
      <c r="I1003" s="23" t="n">
        <f aca="false">Test1_Hand!$B$4+H1003*D1003</f>
        <v>16</v>
      </c>
      <c r="J1003" s="24" t="n">
        <f aca="false">Test1_Hand!$B$6*H1003*D1003+Test1_Hand!$B$7*MAX(0,I1003-Test1_Hand!$B$5)+Test1_Hand!$B$14</f>
        <v>6000</v>
      </c>
    </row>
    <row r="1004" customFormat="false" ht="15" hidden="false" customHeight="false" outlineLevel="0" collapsed="false">
      <c r="A1004" s="2" t="n">
        <v>992</v>
      </c>
      <c r="B1004" s="22" t="n">
        <v>0.122947680456769</v>
      </c>
      <c r="C1004" s="22" t="n">
        <v>0.694207712954129</v>
      </c>
      <c r="D1004" s="23" t="n">
        <f aca="false">BETAINV(C1004,Test1_Hand!$B$21,Test1_Hand!$B$22,Test1_Hand!$B$9,Test1_Hand!$B$11)</f>
        <v>4.12460678827869</v>
      </c>
      <c r="E1004" s="2" t="n">
        <f aca="false">IF(B1004&lt;Test1_Hand!$B$12,1,0)</f>
        <v>1</v>
      </c>
      <c r="F1004" s="23" t="n">
        <f aca="false">Test1_Hand!$B$4+E1004*D1004</f>
        <v>20.1246067882787</v>
      </c>
      <c r="G1004" s="24" t="n">
        <f aca="false">Test1_Hand!$B$6*E1004*D1004+Test1_Hand!$B$7*MAX(0,F1004-Test1_Hand!$B$5)</f>
        <v>33619.8882476229</v>
      </c>
      <c r="H1004" s="2" t="n">
        <f aca="false">IF(B1004&lt;Test1_Hand!$B$13,1,0)</f>
        <v>1</v>
      </c>
      <c r="I1004" s="23" t="n">
        <f aca="false">Test1_Hand!$B$4+H1004*D1004</f>
        <v>20.1246067882787</v>
      </c>
      <c r="J1004" s="24" t="n">
        <f aca="false">Test1_Hand!$B$6*H1004*D1004+Test1_Hand!$B$7*MAX(0,I1004-Test1_Hand!$B$5)+Test1_Hand!$B$14</f>
        <v>39619.8882476229</v>
      </c>
    </row>
    <row r="1005" customFormat="false" ht="15" hidden="false" customHeight="false" outlineLevel="0" collapsed="false">
      <c r="A1005" s="2" t="n">
        <v>993</v>
      </c>
      <c r="B1005" s="22" t="n">
        <v>0.216572771808958</v>
      </c>
      <c r="C1005" s="22" t="n">
        <v>0.119165265712008</v>
      </c>
      <c r="D1005" s="23" t="n">
        <f aca="false">BETAINV(C1005,Test1_Hand!$B$21,Test1_Hand!$B$22,Test1_Hand!$B$9,Test1_Hand!$B$11)</f>
        <v>1.99380873325172</v>
      </c>
      <c r="E1005" s="2" t="n">
        <f aca="false">IF(B1005&lt;Test1_Hand!$B$12,1,0)</f>
        <v>1</v>
      </c>
      <c r="F1005" s="23" t="n">
        <f aca="false">Test1_Hand!$B$4+E1005*D1005</f>
        <v>17.9938087332517</v>
      </c>
      <c r="G1005" s="24" t="n">
        <f aca="false">Test1_Hand!$B$6*E1005*D1005+Test1_Hand!$B$7*MAX(0,F1005-Test1_Hand!$B$5)</f>
        <v>15950.4698660137</v>
      </c>
      <c r="H1005" s="2" t="n">
        <f aca="false">IF(B1005&lt;Test1_Hand!$B$13,1,0)</f>
        <v>0</v>
      </c>
      <c r="I1005" s="23" t="n">
        <f aca="false">Test1_Hand!$B$4+H1005*D1005</f>
        <v>16</v>
      </c>
      <c r="J1005" s="24" t="n">
        <f aca="false">Test1_Hand!$B$6*H1005*D1005+Test1_Hand!$B$7*MAX(0,I1005-Test1_Hand!$B$5)+Test1_Hand!$B$14</f>
        <v>6000</v>
      </c>
    </row>
    <row r="1006" customFormat="false" ht="15" hidden="false" customHeight="false" outlineLevel="0" collapsed="false">
      <c r="A1006" s="2" t="n">
        <v>994</v>
      </c>
      <c r="B1006" s="22" t="n">
        <v>0.888940350589293</v>
      </c>
      <c r="C1006" s="22" t="n">
        <v>0.126684773548698</v>
      </c>
      <c r="D1006" s="23" t="n">
        <f aca="false">BETAINV(C1006,Test1_Hand!$B$21,Test1_Hand!$B$22,Test1_Hand!$B$9,Test1_Hand!$B$11)</f>
        <v>2.02743511458036</v>
      </c>
      <c r="E1006" s="2" t="n">
        <f aca="false">IF(B1006&lt;Test1_Hand!$B$12,1,0)</f>
        <v>0</v>
      </c>
      <c r="F1006" s="23" t="n">
        <f aca="false">Test1_Hand!$B$4+E1006*D1006</f>
        <v>16</v>
      </c>
      <c r="G1006" s="24" t="n">
        <f aca="false">Test1_Hand!$B$6*E1006*D1006+Test1_Hand!$B$7*MAX(0,F1006-Test1_Hand!$B$5)</f>
        <v>0</v>
      </c>
      <c r="H1006" s="2" t="n">
        <f aca="false">IF(B1006&lt;Test1_Hand!$B$13,1,0)</f>
        <v>0</v>
      </c>
      <c r="I1006" s="23" t="n">
        <f aca="false">Test1_Hand!$B$4+H1006*D1006</f>
        <v>16</v>
      </c>
      <c r="J1006" s="24" t="n">
        <f aca="false">Test1_Hand!$B$6*H1006*D1006+Test1_Hand!$B$7*MAX(0,I1006-Test1_Hand!$B$5)+Test1_Hand!$B$14</f>
        <v>6000</v>
      </c>
    </row>
    <row r="1007" customFormat="false" ht="15" hidden="false" customHeight="false" outlineLevel="0" collapsed="false">
      <c r="A1007" s="2" t="n">
        <v>995</v>
      </c>
      <c r="B1007" s="22" t="n">
        <v>0.31428973541141</v>
      </c>
      <c r="C1007" s="22" t="n">
        <v>0.46326807641046</v>
      </c>
      <c r="D1007" s="23" t="n">
        <f aca="false">BETAINV(C1007,Test1_Hand!$B$21,Test1_Hand!$B$22,Test1_Hand!$B$9,Test1_Hand!$B$11)</f>
        <v>3.2540077198531</v>
      </c>
      <c r="E1007" s="2" t="n">
        <f aca="false">IF(B1007&lt;Test1_Hand!$B$12,1,0)</f>
        <v>1</v>
      </c>
      <c r="F1007" s="23" t="n">
        <f aca="false">Test1_Hand!$B$4+E1007*D1007</f>
        <v>19.2540077198531</v>
      </c>
      <c r="G1007" s="24" t="n">
        <f aca="false">Test1_Hand!$B$6*E1007*D1007+Test1_Hand!$B$7*MAX(0,F1007-Test1_Hand!$B$5)</f>
        <v>26032.0617588248</v>
      </c>
      <c r="H1007" s="2" t="n">
        <f aca="false">IF(B1007&lt;Test1_Hand!$B$13,1,0)</f>
        <v>0</v>
      </c>
      <c r="I1007" s="23" t="n">
        <f aca="false">Test1_Hand!$B$4+H1007*D1007</f>
        <v>16</v>
      </c>
      <c r="J1007" s="24" t="n">
        <f aca="false">Test1_Hand!$B$6*H1007*D1007+Test1_Hand!$B$7*MAX(0,I1007-Test1_Hand!$B$5)+Test1_Hand!$B$14</f>
        <v>6000</v>
      </c>
    </row>
    <row r="1008" customFormat="false" ht="15" hidden="false" customHeight="false" outlineLevel="0" collapsed="false">
      <c r="A1008" s="2" t="n">
        <v>996</v>
      </c>
      <c r="B1008" s="22" t="n">
        <v>0.246352970742998</v>
      </c>
      <c r="C1008" s="22" t="n">
        <v>0.831400497018729</v>
      </c>
      <c r="D1008" s="23" t="n">
        <f aca="false">BETAINV(C1008,Test1_Hand!$B$21,Test1_Hand!$B$22,Test1_Hand!$B$9,Test1_Hand!$B$11)</f>
        <v>4.80221309337588</v>
      </c>
      <c r="E1008" s="2" t="n">
        <f aca="false">IF(B1008&lt;Test1_Hand!$B$12,1,0)</f>
        <v>1</v>
      </c>
      <c r="F1008" s="23" t="n">
        <f aca="false">Test1_Hand!$B$4+E1008*D1008</f>
        <v>20.8022130933759</v>
      </c>
      <c r="G1008" s="24" t="n">
        <f aca="false">Test1_Hand!$B$6*E1008*D1008+Test1_Hand!$B$7*MAX(0,F1008-Test1_Hand!$B$5)</f>
        <v>42428.7702138864</v>
      </c>
      <c r="H1008" s="2" t="n">
        <f aca="false">IF(B1008&lt;Test1_Hand!$B$13,1,0)</f>
        <v>0</v>
      </c>
      <c r="I1008" s="23" t="n">
        <f aca="false">Test1_Hand!$B$4+H1008*D1008</f>
        <v>16</v>
      </c>
      <c r="J1008" s="24" t="n">
        <f aca="false">Test1_Hand!$B$6*H1008*D1008+Test1_Hand!$B$7*MAX(0,I1008-Test1_Hand!$B$5)+Test1_Hand!$B$14</f>
        <v>6000</v>
      </c>
    </row>
    <row r="1009" customFormat="false" ht="15" hidden="false" customHeight="false" outlineLevel="0" collapsed="false">
      <c r="A1009" s="2" t="n">
        <v>997</v>
      </c>
      <c r="B1009" s="22" t="n">
        <v>0.989567784738571</v>
      </c>
      <c r="C1009" s="22" t="n">
        <v>0.0373845068481559</v>
      </c>
      <c r="D1009" s="23" t="n">
        <f aca="false">BETAINV(C1009,Test1_Hand!$B$21,Test1_Hand!$B$22,Test1_Hand!$B$9,Test1_Hand!$B$11)</f>
        <v>1.54377897731755</v>
      </c>
      <c r="E1009" s="2" t="n">
        <f aca="false">IF(B1009&lt;Test1_Hand!$B$12,1,0)</f>
        <v>0</v>
      </c>
      <c r="F1009" s="23" t="n">
        <f aca="false">Test1_Hand!$B$4+E1009*D1009</f>
        <v>16</v>
      </c>
      <c r="G1009" s="24" t="n">
        <f aca="false">Test1_Hand!$B$6*E1009*D1009+Test1_Hand!$B$7*MAX(0,F1009-Test1_Hand!$B$5)</f>
        <v>0</v>
      </c>
      <c r="H1009" s="2" t="n">
        <f aca="false">IF(B1009&lt;Test1_Hand!$B$13,1,0)</f>
        <v>0</v>
      </c>
      <c r="I1009" s="23" t="n">
        <f aca="false">Test1_Hand!$B$4+H1009*D1009</f>
        <v>16</v>
      </c>
      <c r="J1009" s="24" t="n">
        <f aca="false">Test1_Hand!$B$6*H1009*D1009+Test1_Hand!$B$7*MAX(0,I1009-Test1_Hand!$B$5)+Test1_Hand!$B$14</f>
        <v>6000</v>
      </c>
    </row>
    <row r="1010" customFormat="false" ht="15" hidden="false" customHeight="false" outlineLevel="0" collapsed="false">
      <c r="A1010" s="2" t="n">
        <v>998</v>
      </c>
      <c r="B1010" s="22" t="n">
        <v>0.896794081294553</v>
      </c>
      <c r="C1010" s="22" t="n">
        <v>0.425347505277121</v>
      </c>
      <c r="D1010" s="23" t="n">
        <f aca="false">BETAINV(C1010,Test1_Hand!$B$21,Test1_Hand!$B$22,Test1_Hand!$B$9,Test1_Hand!$B$11)</f>
        <v>3.12288367579993</v>
      </c>
      <c r="E1010" s="2" t="n">
        <f aca="false">IF(B1010&lt;Test1_Hand!$B$12,1,0)</f>
        <v>0</v>
      </c>
      <c r="F1010" s="23" t="n">
        <f aca="false">Test1_Hand!$B$4+E1010*D1010</f>
        <v>16</v>
      </c>
      <c r="G1010" s="24" t="n">
        <f aca="false">Test1_Hand!$B$6*E1010*D1010+Test1_Hand!$B$7*MAX(0,F1010-Test1_Hand!$B$5)</f>
        <v>0</v>
      </c>
      <c r="H1010" s="2" t="n">
        <f aca="false">IF(B1010&lt;Test1_Hand!$B$13,1,0)</f>
        <v>0</v>
      </c>
      <c r="I1010" s="23" t="n">
        <f aca="false">Test1_Hand!$B$4+H1010*D1010</f>
        <v>16</v>
      </c>
      <c r="J1010" s="24" t="n">
        <f aca="false">Test1_Hand!$B$6*H1010*D1010+Test1_Hand!$B$7*MAX(0,I1010-Test1_Hand!$B$5)+Test1_Hand!$B$14</f>
        <v>6000</v>
      </c>
    </row>
    <row r="1011" customFormat="false" ht="15" hidden="false" customHeight="false" outlineLevel="0" collapsed="false">
      <c r="A1011" s="2" t="n">
        <v>999</v>
      </c>
      <c r="B1011" s="22" t="n">
        <v>0.639027240102288</v>
      </c>
      <c r="C1011" s="22" t="n">
        <v>0.467840737839074</v>
      </c>
      <c r="D1011" s="23" t="n">
        <f aca="false">BETAINV(C1011,Test1_Hand!$B$21,Test1_Hand!$B$22,Test1_Hand!$B$9,Test1_Hand!$B$11)</f>
        <v>3.26991415270992</v>
      </c>
      <c r="E1011" s="2" t="n">
        <f aca="false">IF(B1011&lt;Test1_Hand!$B$12,1,0)</f>
        <v>0</v>
      </c>
      <c r="F1011" s="23" t="n">
        <f aca="false">Test1_Hand!$B$4+E1011*D1011</f>
        <v>16</v>
      </c>
      <c r="G1011" s="24" t="n">
        <f aca="false">Test1_Hand!$B$6*E1011*D1011+Test1_Hand!$B$7*MAX(0,F1011-Test1_Hand!$B$5)</f>
        <v>0</v>
      </c>
      <c r="H1011" s="2" t="n">
        <f aca="false">IF(B1011&lt;Test1_Hand!$B$13,1,0)</f>
        <v>0</v>
      </c>
      <c r="I1011" s="23" t="n">
        <f aca="false">Test1_Hand!$B$4+H1011*D1011</f>
        <v>16</v>
      </c>
      <c r="J1011" s="24" t="n">
        <f aca="false">Test1_Hand!$B$6*H1011*D1011+Test1_Hand!$B$7*MAX(0,I1011-Test1_Hand!$B$5)+Test1_Hand!$B$14</f>
        <v>6000</v>
      </c>
    </row>
    <row r="1012" customFormat="false" ht="15" hidden="false" customHeight="false" outlineLevel="0" collapsed="false">
      <c r="A1012" s="2" t="n">
        <v>1000</v>
      </c>
      <c r="B1012" s="22" t="n">
        <v>0.428118301822924</v>
      </c>
      <c r="C1012" s="22" t="n">
        <v>0.439502027901816</v>
      </c>
      <c r="D1012" s="23" t="n">
        <f aca="false">BETAINV(C1012,Test1_Hand!$B$21,Test1_Hand!$B$22,Test1_Hand!$B$9,Test1_Hand!$B$11)</f>
        <v>3.17168839642748</v>
      </c>
      <c r="E1012" s="2" t="n">
        <f aca="false">IF(B1012&lt;Test1_Hand!$B$12,1,0)</f>
        <v>1</v>
      </c>
      <c r="F1012" s="23" t="n">
        <f aca="false">Test1_Hand!$B$4+E1012*D1012</f>
        <v>19.1716883964275</v>
      </c>
      <c r="G1012" s="24" t="n">
        <f aca="false">Test1_Hand!$B$6*E1012*D1012+Test1_Hand!$B$7*MAX(0,F1012-Test1_Hand!$B$5)</f>
        <v>25373.5071714198</v>
      </c>
      <c r="H1012" s="2" t="n">
        <f aca="false">IF(B1012&lt;Test1_Hand!$B$13,1,0)</f>
        <v>0</v>
      </c>
      <c r="I1012" s="23" t="n">
        <f aca="false">Test1_Hand!$B$4+H1012*D1012</f>
        <v>16</v>
      </c>
      <c r="J1012" s="24" t="n">
        <f aca="false">Test1_Hand!$B$6*H1012*D1012+Test1_Hand!$B$7*MAX(0,I1012-Test1_Hand!$B$5)+Test1_Hand!$B$14</f>
        <v>6000</v>
      </c>
    </row>
    <row r="1013" customFormat="false" ht="15" hidden="false" customHeight="false" outlineLevel="0" collapsed="false">
      <c r="A1013" s="2" t="n">
        <v>1001</v>
      </c>
      <c r="B1013" s="22" t="n">
        <v>0.762184142662103</v>
      </c>
      <c r="C1013" s="22" t="n">
        <v>0.219049293128559</v>
      </c>
      <c r="D1013" s="23" t="n">
        <f aca="false">BETAINV(C1013,Test1_Hand!$B$21,Test1_Hand!$B$22,Test1_Hand!$B$9,Test1_Hand!$B$11)</f>
        <v>2.39869115869653</v>
      </c>
      <c r="E1013" s="2" t="n">
        <f aca="false">IF(B1013&lt;Test1_Hand!$B$12,1,0)</f>
        <v>0</v>
      </c>
      <c r="F1013" s="23" t="n">
        <f aca="false">Test1_Hand!$B$4+E1013*D1013</f>
        <v>16</v>
      </c>
      <c r="G1013" s="24" t="n">
        <f aca="false">Test1_Hand!$B$6*E1013*D1013+Test1_Hand!$B$7*MAX(0,F1013-Test1_Hand!$B$5)</f>
        <v>0</v>
      </c>
      <c r="H1013" s="2" t="n">
        <f aca="false">IF(B1013&lt;Test1_Hand!$B$13,1,0)</f>
        <v>0</v>
      </c>
      <c r="I1013" s="23" t="n">
        <f aca="false">Test1_Hand!$B$4+H1013*D1013</f>
        <v>16</v>
      </c>
      <c r="J1013" s="24" t="n">
        <f aca="false">Test1_Hand!$B$6*H1013*D1013+Test1_Hand!$B$7*MAX(0,I1013-Test1_Hand!$B$5)+Test1_Hand!$B$14</f>
        <v>6000</v>
      </c>
    </row>
    <row r="1014" customFormat="false" ht="15" hidden="false" customHeight="false" outlineLevel="0" collapsed="false">
      <c r="A1014" s="2" t="n">
        <v>1002</v>
      </c>
      <c r="B1014" s="22" t="n">
        <v>0.962257941959853</v>
      </c>
      <c r="C1014" s="22" t="n">
        <v>0.800984904419326</v>
      </c>
      <c r="D1014" s="23" t="n">
        <f aca="false">BETAINV(C1014,Test1_Hand!$B$21,Test1_Hand!$B$22,Test1_Hand!$B$9,Test1_Hand!$B$11)</f>
        <v>4.6311574527011</v>
      </c>
      <c r="E1014" s="2" t="n">
        <f aca="false">IF(B1014&lt;Test1_Hand!$B$12,1,0)</f>
        <v>0</v>
      </c>
      <c r="F1014" s="23" t="n">
        <f aca="false">Test1_Hand!$B$4+E1014*D1014</f>
        <v>16</v>
      </c>
      <c r="G1014" s="24" t="n">
        <f aca="false">Test1_Hand!$B$6*E1014*D1014+Test1_Hand!$B$7*MAX(0,F1014-Test1_Hand!$B$5)</f>
        <v>0</v>
      </c>
      <c r="H1014" s="2" t="n">
        <f aca="false">IF(B1014&lt;Test1_Hand!$B$13,1,0)</f>
        <v>0</v>
      </c>
      <c r="I1014" s="23" t="n">
        <f aca="false">Test1_Hand!$B$4+H1014*D1014</f>
        <v>16</v>
      </c>
      <c r="J1014" s="24" t="n">
        <f aca="false">Test1_Hand!$B$6*H1014*D1014+Test1_Hand!$B$7*MAX(0,I1014-Test1_Hand!$B$5)+Test1_Hand!$B$14</f>
        <v>6000</v>
      </c>
    </row>
    <row r="1015" customFormat="false" ht="15" hidden="false" customHeight="false" outlineLevel="0" collapsed="false">
      <c r="A1015" s="2" t="n">
        <v>1003</v>
      </c>
      <c r="B1015" s="22" t="n">
        <v>0.154605188213005</v>
      </c>
      <c r="C1015" s="22" t="n">
        <v>0.0165964156491304</v>
      </c>
      <c r="D1015" s="23" t="n">
        <f aca="false">BETAINV(C1015,Test1_Hand!$B$21,Test1_Hand!$B$22,Test1_Hand!$B$9,Test1_Hand!$B$11)</f>
        <v>1.36332853115325</v>
      </c>
      <c r="E1015" s="2" t="n">
        <f aca="false">IF(B1015&lt;Test1_Hand!$B$12,1,0)</f>
        <v>1</v>
      </c>
      <c r="F1015" s="23" t="n">
        <f aca="false">Test1_Hand!$B$4+E1015*D1015</f>
        <v>17.3633285311532</v>
      </c>
      <c r="G1015" s="24" t="n">
        <f aca="false">Test1_Hand!$B$6*E1015*D1015+Test1_Hand!$B$7*MAX(0,F1015-Test1_Hand!$B$5)</f>
        <v>10906.628249226</v>
      </c>
      <c r="H1015" s="2" t="n">
        <f aca="false">IF(B1015&lt;Test1_Hand!$B$13,1,0)</f>
        <v>1</v>
      </c>
      <c r="I1015" s="23" t="n">
        <f aca="false">Test1_Hand!$B$4+H1015*D1015</f>
        <v>17.3633285311532</v>
      </c>
      <c r="J1015" s="24" t="n">
        <f aca="false">Test1_Hand!$B$6*H1015*D1015+Test1_Hand!$B$7*MAX(0,I1015-Test1_Hand!$B$5)+Test1_Hand!$B$14</f>
        <v>16906.628249226</v>
      </c>
    </row>
    <row r="1016" customFormat="false" ht="15" hidden="false" customHeight="false" outlineLevel="0" collapsed="false">
      <c r="A1016" s="2" t="n">
        <v>1004</v>
      </c>
      <c r="B1016" s="22" t="n">
        <v>0.331653254677756</v>
      </c>
      <c r="C1016" s="22" t="n">
        <v>0.222213877273141</v>
      </c>
      <c r="D1016" s="23" t="n">
        <f aca="false">BETAINV(C1016,Test1_Hand!$B$21,Test1_Hand!$B$22,Test1_Hand!$B$9,Test1_Hand!$B$11)</f>
        <v>2.41048994065317</v>
      </c>
      <c r="E1016" s="2" t="n">
        <f aca="false">IF(B1016&lt;Test1_Hand!$B$12,1,0)</f>
        <v>1</v>
      </c>
      <c r="F1016" s="23" t="n">
        <f aca="false">Test1_Hand!$B$4+E1016*D1016</f>
        <v>18.4104899406532</v>
      </c>
      <c r="G1016" s="24" t="n">
        <f aca="false">Test1_Hand!$B$6*E1016*D1016+Test1_Hand!$B$7*MAX(0,F1016-Test1_Hand!$B$5)</f>
        <v>19283.9195252254</v>
      </c>
      <c r="H1016" s="2" t="n">
        <f aca="false">IF(B1016&lt;Test1_Hand!$B$13,1,0)</f>
        <v>0</v>
      </c>
      <c r="I1016" s="23" t="n">
        <f aca="false">Test1_Hand!$B$4+H1016*D1016</f>
        <v>16</v>
      </c>
      <c r="J1016" s="24" t="n">
        <f aca="false">Test1_Hand!$B$6*H1016*D1016+Test1_Hand!$B$7*MAX(0,I1016-Test1_Hand!$B$5)+Test1_Hand!$B$14</f>
        <v>6000</v>
      </c>
    </row>
    <row r="1017" customFormat="false" ht="15" hidden="false" customHeight="false" outlineLevel="0" collapsed="false">
      <c r="A1017" s="2" t="n">
        <v>1005</v>
      </c>
      <c r="B1017" s="22" t="n">
        <v>0.117620192867713</v>
      </c>
      <c r="C1017" s="22" t="n">
        <v>0.745190977651558</v>
      </c>
      <c r="D1017" s="23" t="n">
        <f aca="false">BETAINV(C1017,Test1_Hand!$B$21,Test1_Hand!$B$22,Test1_Hand!$B$9,Test1_Hand!$B$11)</f>
        <v>4.3522322555781</v>
      </c>
      <c r="E1017" s="2" t="n">
        <f aca="false">IF(B1017&lt;Test1_Hand!$B$12,1,0)</f>
        <v>1</v>
      </c>
      <c r="F1017" s="23" t="n">
        <f aca="false">Test1_Hand!$B$4+E1017*D1017</f>
        <v>20.3522322555781</v>
      </c>
      <c r="G1017" s="24" t="n">
        <f aca="false">Test1_Hand!$B$6*E1017*D1017+Test1_Hand!$B$7*MAX(0,F1017-Test1_Hand!$B$5)</f>
        <v>36579.0193225153</v>
      </c>
      <c r="H1017" s="2" t="n">
        <f aca="false">IF(B1017&lt;Test1_Hand!$B$13,1,0)</f>
        <v>1</v>
      </c>
      <c r="I1017" s="23" t="n">
        <f aca="false">Test1_Hand!$B$4+H1017*D1017</f>
        <v>20.3522322555781</v>
      </c>
      <c r="J1017" s="24" t="n">
        <f aca="false">Test1_Hand!$B$6*H1017*D1017+Test1_Hand!$B$7*MAX(0,I1017-Test1_Hand!$B$5)+Test1_Hand!$B$14</f>
        <v>42579.0193225153</v>
      </c>
    </row>
    <row r="1018" customFormat="false" ht="15" hidden="false" customHeight="false" outlineLevel="0" collapsed="false">
      <c r="A1018" s="2" t="n">
        <v>1006</v>
      </c>
      <c r="B1018" s="22" t="n">
        <v>0.0879065983858866</v>
      </c>
      <c r="C1018" s="22" t="n">
        <v>0.327069757994428</v>
      </c>
      <c r="D1018" s="23" t="n">
        <f aca="false">BETAINV(C1018,Test1_Hand!$B$21,Test1_Hand!$B$22,Test1_Hand!$B$9,Test1_Hand!$B$11)</f>
        <v>2.78465293260646</v>
      </c>
      <c r="E1018" s="2" t="n">
        <f aca="false">IF(B1018&lt;Test1_Hand!$B$12,1,0)</f>
        <v>1</v>
      </c>
      <c r="F1018" s="23" t="n">
        <f aca="false">Test1_Hand!$B$4+E1018*D1018</f>
        <v>18.7846529326065</v>
      </c>
      <c r="G1018" s="24" t="n">
        <f aca="false">Test1_Hand!$B$6*E1018*D1018+Test1_Hand!$B$7*MAX(0,F1018-Test1_Hand!$B$5)</f>
        <v>22277.2234608517</v>
      </c>
      <c r="H1018" s="2" t="n">
        <f aca="false">IF(B1018&lt;Test1_Hand!$B$13,1,0)</f>
        <v>1</v>
      </c>
      <c r="I1018" s="23" t="n">
        <f aca="false">Test1_Hand!$B$4+H1018*D1018</f>
        <v>18.7846529326065</v>
      </c>
      <c r="J1018" s="24" t="n">
        <f aca="false">Test1_Hand!$B$6*H1018*D1018+Test1_Hand!$B$7*MAX(0,I1018-Test1_Hand!$B$5)+Test1_Hand!$B$14</f>
        <v>28277.2234608517</v>
      </c>
    </row>
    <row r="1019" customFormat="false" ht="15" hidden="false" customHeight="false" outlineLevel="0" collapsed="false">
      <c r="A1019" s="2" t="n">
        <v>1007</v>
      </c>
      <c r="B1019" s="22" t="n">
        <v>0.287422311170479</v>
      </c>
      <c r="C1019" s="22" t="n">
        <v>0.777851940050268</v>
      </c>
      <c r="D1019" s="23" t="n">
        <f aca="false">BETAINV(C1019,Test1_Hand!$B$21,Test1_Hand!$B$22,Test1_Hand!$B$9,Test1_Hand!$B$11)</f>
        <v>4.51086134530747</v>
      </c>
      <c r="E1019" s="2" t="n">
        <f aca="false">IF(B1019&lt;Test1_Hand!$B$12,1,0)</f>
        <v>1</v>
      </c>
      <c r="F1019" s="23" t="n">
        <f aca="false">Test1_Hand!$B$4+E1019*D1019</f>
        <v>20.5108613453075</v>
      </c>
      <c r="G1019" s="24" t="n">
        <f aca="false">Test1_Hand!$B$6*E1019*D1019+Test1_Hand!$B$7*MAX(0,F1019-Test1_Hand!$B$5)</f>
        <v>38641.1974889972</v>
      </c>
      <c r="H1019" s="2" t="n">
        <f aca="false">IF(B1019&lt;Test1_Hand!$B$13,1,0)</f>
        <v>0</v>
      </c>
      <c r="I1019" s="23" t="n">
        <f aca="false">Test1_Hand!$B$4+H1019*D1019</f>
        <v>16</v>
      </c>
      <c r="J1019" s="24" t="n">
        <f aca="false">Test1_Hand!$B$6*H1019*D1019+Test1_Hand!$B$7*MAX(0,I1019-Test1_Hand!$B$5)+Test1_Hand!$B$14</f>
        <v>6000</v>
      </c>
    </row>
    <row r="1020" customFormat="false" ht="15" hidden="false" customHeight="false" outlineLevel="0" collapsed="false">
      <c r="A1020" s="2" t="n">
        <v>1008</v>
      </c>
      <c r="B1020" s="22" t="n">
        <v>0.930154264845751</v>
      </c>
      <c r="C1020" s="22" t="n">
        <v>0.500508672752997</v>
      </c>
      <c r="D1020" s="23" t="n">
        <f aca="false">BETAINV(C1020,Test1_Hand!$B$21,Test1_Hand!$B$22,Test1_Hand!$B$9,Test1_Hand!$B$11)</f>
        <v>3.38438378048277</v>
      </c>
      <c r="E1020" s="2" t="n">
        <f aca="false">IF(B1020&lt;Test1_Hand!$B$12,1,0)</f>
        <v>0</v>
      </c>
      <c r="F1020" s="23" t="n">
        <f aca="false">Test1_Hand!$B$4+E1020*D1020</f>
        <v>16</v>
      </c>
      <c r="G1020" s="24" t="n">
        <f aca="false">Test1_Hand!$B$6*E1020*D1020+Test1_Hand!$B$7*MAX(0,F1020-Test1_Hand!$B$5)</f>
        <v>0</v>
      </c>
      <c r="H1020" s="2" t="n">
        <f aca="false">IF(B1020&lt;Test1_Hand!$B$13,1,0)</f>
        <v>0</v>
      </c>
      <c r="I1020" s="23" t="n">
        <f aca="false">Test1_Hand!$B$4+H1020*D1020</f>
        <v>16</v>
      </c>
      <c r="J1020" s="24" t="n">
        <f aca="false">Test1_Hand!$B$6*H1020*D1020+Test1_Hand!$B$7*MAX(0,I1020-Test1_Hand!$B$5)+Test1_Hand!$B$14</f>
        <v>6000</v>
      </c>
    </row>
    <row r="1021" customFormat="false" ht="15" hidden="false" customHeight="false" outlineLevel="0" collapsed="false">
      <c r="A1021" s="2" t="n">
        <v>1009</v>
      </c>
      <c r="B1021" s="22" t="n">
        <v>0.390598795351973</v>
      </c>
      <c r="C1021" s="22" t="n">
        <v>0.324769076534241</v>
      </c>
      <c r="D1021" s="23" t="n">
        <f aca="false">BETAINV(C1021,Test1_Hand!$B$21,Test1_Hand!$B$22,Test1_Hand!$B$9,Test1_Hand!$B$11)</f>
        <v>2.77667375417923</v>
      </c>
      <c r="E1021" s="2" t="n">
        <f aca="false">IF(B1021&lt;Test1_Hand!$B$12,1,0)</f>
        <v>1</v>
      </c>
      <c r="F1021" s="23" t="n">
        <f aca="false">Test1_Hand!$B$4+E1021*D1021</f>
        <v>18.7766737541792</v>
      </c>
      <c r="G1021" s="24" t="n">
        <f aca="false">Test1_Hand!$B$6*E1021*D1021+Test1_Hand!$B$7*MAX(0,F1021-Test1_Hand!$B$5)</f>
        <v>22213.3900334338</v>
      </c>
      <c r="H1021" s="2" t="n">
        <f aca="false">IF(B1021&lt;Test1_Hand!$B$13,1,0)</f>
        <v>0</v>
      </c>
      <c r="I1021" s="23" t="n">
        <f aca="false">Test1_Hand!$B$4+H1021*D1021</f>
        <v>16</v>
      </c>
      <c r="J1021" s="24" t="n">
        <f aca="false">Test1_Hand!$B$6*H1021*D1021+Test1_Hand!$B$7*MAX(0,I1021-Test1_Hand!$B$5)+Test1_Hand!$B$14</f>
        <v>6000</v>
      </c>
    </row>
    <row r="1022" customFormat="false" ht="15" hidden="false" customHeight="false" outlineLevel="0" collapsed="false">
      <c r="A1022" s="2" t="n">
        <v>1010</v>
      </c>
      <c r="B1022" s="22" t="n">
        <v>0.518916355566852</v>
      </c>
      <c r="C1022" s="22" t="n">
        <v>0.308489970449372</v>
      </c>
      <c r="D1022" s="23" t="n">
        <f aca="false">BETAINV(C1022,Test1_Hand!$B$21,Test1_Hand!$B$22,Test1_Hand!$B$9,Test1_Hand!$B$11)</f>
        <v>2.72002505422146</v>
      </c>
      <c r="E1022" s="2" t="n">
        <f aca="false">IF(B1022&lt;Test1_Hand!$B$12,1,0)</f>
        <v>0</v>
      </c>
      <c r="F1022" s="23" t="n">
        <f aca="false">Test1_Hand!$B$4+E1022*D1022</f>
        <v>16</v>
      </c>
      <c r="G1022" s="24" t="n">
        <f aca="false">Test1_Hand!$B$6*E1022*D1022+Test1_Hand!$B$7*MAX(0,F1022-Test1_Hand!$B$5)</f>
        <v>0</v>
      </c>
      <c r="H1022" s="2" t="n">
        <f aca="false">IF(B1022&lt;Test1_Hand!$B$13,1,0)</f>
        <v>0</v>
      </c>
      <c r="I1022" s="23" t="n">
        <f aca="false">Test1_Hand!$B$4+H1022*D1022</f>
        <v>16</v>
      </c>
      <c r="J1022" s="24" t="n">
        <f aca="false">Test1_Hand!$B$6*H1022*D1022+Test1_Hand!$B$7*MAX(0,I1022-Test1_Hand!$B$5)+Test1_Hand!$B$14</f>
        <v>6000</v>
      </c>
    </row>
    <row r="1023" customFormat="false" ht="15" hidden="false" customHeight="false" outlineLevel="0" collapsed="false">
      <c r="A1023" s="2" t="n">
        <v>1011</v>
      </c>
      <c r="B1023" s="22" t="n">
        <v>0.711625803385431</v>
      </c>
      <c r="C1023" s="22" t="n">
        <v>0.0473139075923281</v>
      </c>
      <c r="D1023" s="23" t="n">
        <f aca="false">BETAINV(C1023,Test1_Hand!$B$21,Test1_Hand!$B$22,Test1_Hand!$B$9,Test1_Hand!$B$11)</f>
        <v>1.61266577514411</v>
      </c>
      <c r="E1023" s="2" t="n">
        <f aca="false">IF(B1023&lt;Test1_Hand!$B$12,1,0)</f>
        <v>0</v>
      </c>
      <c r="F1023" s="23" t="n">
        <f aca="false">Test1_Hand!$B$4+E1023*D1023</f>
        <v>16</v>
      </c>
      <c r="G1023" s="24" t="n">
        <f aca="false">Test1_Hand!$B$6*E1023*D1023+Test1_Hand!$B$7*MAX(0,F1023-Test1_Hand!$B$5)</f>
        <v>0</v>
      </c>
      <c r="H1023" s="2" t="n">
        <f aca="false">IF(B1023&lt;Test1_Hand!$B$13,1,0)</f>
        <v>0</v>
      </c>
      <c r="I1023" s="23" t="n">
        <f aca="false">Test1_Hand!$B$4+H1023*D1023</f>
        <v>16</v>
      </c>
      <c r="J1023" s="24" t="n">
        <f aca="false">Test1_Hand!$B$6*H1023*D1023+Test1_Hand!$B$7*MAX(0,I1023-Test1_Hand!$B$5)+Test1_Hand!$B$14</f>
        <v>6000</v>
      </c>
    </row>
    <row r="1024" customFormat="false" ht="15" hidden="false" customHeight="false" outlineLevel="0" collapsed="false">
      <c r="A1024" s="2" t="n">
        <v>1012</v>
      </c>
      <c r="B1024" s="22" t="n">
        <v>0.880291070741249</v>
      </c>
      <c r="C1024" s="22" t="n">
        <v>0.819199338254383</v>
      </c>
      <c r="D1024" s="23" t="n">
        <f aca="false">BETAINV(C1024,Test1_Hand!$B$21,Test1_Hand!$B$22,Test1_Hand!$B$9,Test1_Hand!$B$11)</f>
        <v>4.73159893868325</v>
      </c>
      <c r="E1024" s="2" t="n">
        <f aca="false">IF(B1024&lt;Test1_Hand!$B$12,1,0)</f>
        <v>0</v>
      </c>
      <c r="F1024" s="23" t="n">
        <f aca="false">Test1_Hand!$B$4+E1024*D1024</f>
        <v>16</v>
      </c>
      <c r="G1024" s="24" t="n">
        <f aca="false">Test1_Hand!$B$6*E1024*D1024+Test1_Hand!$B$7*MAX(0,F1024-Test1_Hand!$B$5)</f>
        <v>0</v>
      </c>
      <c r="H1024" s="2" t="n">
        <f aca="false">IF(B1024&lt;Test1_Hand!$B$13,1,0)</f>
        <v>0</v>
      </c>
      <c r="I1024" s="23" t="n">
        <f aca="false">Test1_Hand!$B$4+H1024*D1024</f>
        <v>16</v>
      </c>
      <c r="J1024" s="24" t="n">
        <f aca="false">Test1_Hand!$B$6*H1024*D1024+Test1_Hand!$B$7*MAX(0,I1024-Test1_Hand!$B$5)+Test1_Hand!$B$14</f>
        <v>6000</v>
      </c>
    </row>
    <row r="1025" customFormat="false" ht="15" hidden="false" customHeight="false" outlineLevel="0" collapsed="false">
      <c r="A1025" s="2" t="n">
        <v>1013</v>
      </c>
      <c r="B1025" s="22" t="n">
        <v>0.255006458204553</v>
      </c>
      <c r="C1025" s="22" t="n">
        <v>0.0113054429963134</v>
      </c>
      <c r="D1025" s="23" t="n">
        <f aca="false">BETAINV(C1025,Test1_Hand!$B$21,Test1_Hand!$B$22,Test1_Hand!$B$9,Test1_Hand!$B$11)</f>
        <v>1.30123151445378</v>
      </c>
      <c r="E1025" s="2" t="n">
        <f aca="false">IF(B1025&lt;Test1_Hand!$B$12,1,0)</f>
        <v>1</v>
      </c>
      <c r="F1025" s="23" t="n">
        <f aca="false">Test1_Hand!$B$4+E1025*D1025</f>
        <v>17.3012315144538</v>
      </c>
      <c r="G1025" s="24" t="n">
        <f aca="false">Test1_Hand!$B$6*E1025*D1025+Test1_Hand!$B$7*MAX(0,F1025-Test1_Hand!$B$5)</f>
        <v>10409.8521156302</v>
      </c>
      <c r="H1025" s="2" t="n">
        <f aca="false">IF(B1025&lt;Test1_Hand!$B$13,1,0)</f>
        <v>0</v>
      </c>
      <c r="I1025" s="23" t="n">
        <f aca="false">Test1_Hand!$B$4+H1025*D1025</f>
        <v>16</v>
      </c>
      <c r="J1025" s="24" t="n">
        <f aca="false">Test1_Hand!$B$6*H1025*D1025+Test1_Hand!$B$7*MAX(0,I1025-Test1_Hand!$B$5)+Test1_Hand!$B$14</f>
        <v>6000</v>
      </c>
    </row>
    <row r="1026" customFormat="false" ht="15" hidden="false" customHeight="false" outlineLevel="0" collapsed="false">
      <c r="A1026" s="2" t="n">
        <v>1014</v>
      </c>
      <c r="B1026" s="22" t="n">
        <v>0.732629643187502</v>
      </c>
      <c r="C1026" s="22" t="n">
        <v>0.201580946349884</v>
      </c>
      <c r="D1026" s="23" t="n">
        <f aca="false">BETAINV(C1026,Test1_Hand!$B$21,Test1_Hand!$B$22,Test1_Hand!$B$9,Test1_Hand!$B$11)</f>
        <v>2.33274999521242</v>
      </c>
      <c r="E1026" s="2" t="n">
        <f aca="false">IF(B1026&lt;Test1_Hand!$B$12,1,0)</f>
        <v>0</v>
      </c>
      <c r="F1026" s="23" t="n">
        <f aca="false">Test1_Hand!$B$4+E1026*D1026</f>
        <v>16</v>
      </c>
      <c r="G1026" s="24" t="n">
        <f aca="false">Test1_Hand!$B$6*E1026*D1026+Test1_Hand!$B$7*MAX(0,F1026-Test1_Hand!$B$5)</f>
        <v>0</v>
      </c>
      <c r="H1026" s="2" t="n">
        <f aca="false">IF(B1026&lt;Test1_Hand!$B$13,1,0)</f>
        <v>0</v>
      </c>
      <c r="I1026" s="23" t="n">
        <f aca="false">Test1_Hand!$B$4+H1026*D1026</f>
        <v>16</v>
      </c>
      <c r="J1026" s="24" t="n">
        <f aca="false">Test1_Hand!$B$6*H1026*D1026+Test1_Hand!$B$7*MAX(0,I1026-Test1_Hand!$B$5)+Test1_Hand!$B$14</f>
        <v>6000</v>
      </c>
    </row>
    <row r="1027" customFormat="false" ht="15" hidden="false" customHeight="false" outlineLevel="0" collapsed="false">
      <c r="A1027" s="2" t="n">
        <v>1015</v>
      </c>
      <c r="B1027" s="22" t="n">
        <v>0.438650098527228</v>
      </c>
      <c r="C1027" s="22" t="n">
        <v>0.336571011793465</v>
      </c>
      <c r="D1027" s="23" t="n">
        <f aca="false">BETAINV(C1027,Test1_Hand!$B$21,Test1_Hand!$B$22,Test1_Hand!$B$9,Test1_Hand!$B$11)</f>
        <v>2.81754529449673</v>
      </c>
      <c r="E1027" s="2" t="n">
        <f aca="false">IF(B1027&lt;Test1_Hand!$B$12,1,0)</f>
        <v>1</v>
      </c>
      <c r="F1027" s="23" t="n">
        <f aca="false">Test1_Hand!$B$4+E1027*D1027</f>
        <v>18.8175452944967</v>
      </c>
      <c r="G1027" s="24" t="n">
        <f aca="false">Test1_Hand!$B$6*E1027*D1027+Test1_Hand!$B$7*MAX(0,F1027-Test1_Hand!$B$5)</f>
        <v>22540.3623559738</v>
      </c>
      <c r="H1027" s="2" t="n">
        <f aca="false">IF(B1027&lt;Test1_Hand!$B$13,1,0)</f>
        <v>0</v>
      </c>
      <c r="I1027" s="23" t="n">
        <f aca="false">Test1_Hand!$B$4+H1027*D1027</f>
        <v>16</v>
      </c>
      <c r="J1027" s="24" t="n">
        <f aca="false">Test1_Hand!$B$6*H1027*D1027+Test1_Hand!$B$7*MAX(0,I1027-Test1_Hand!$B$5)+Test1_Hand!$B$14</f>
        <v>6000</v>
      </c>
    </row>
    <row r="1028" customFormat="false" ht="15" hidden="false" customHeight="false" outlineLevel="0" collapsed="false">
      <c r="A1028" s="2" t="n">
        <v>1016</v>
      </c>
      <c r="B1028" s="22" t="n">
        <v>0.542378999163994</v>
      </c>
      <c r="C1028" s="22" t="n">
        <v>0.900520915192576</v>
      </c>
      <c r="D1028" s="23" t="n">
        <f aca="false">BETAINV(C1028,Test1_Hand!$B$21,Test1_Hand!$B$22,Test1_Hand!$B$9,Test1_Hand!$B$11)</f>
        <v>5.276954268802</v>
      </c>
      <c r="E1028" s="2" t="n">
        <f aca="false">IF(B1028&lt;Test1_Hand!$B$12,1,0)</f>
        <v>0</v>
      </c>
      <c r="F1028" s="23" t="n">
        <f aca="false">Test1_Hand!$B$4+E1028*D1028</f>
        <v>16</v>
      </c>
      <c r="G1028" s="24" t="n">
        <f aca="false">Test1_Hand!$B$6*E1028*D1028+Test1_Hand!$B$7*MAX(0,F1028-Test1_Hand!$B$5)</f>
        <v>0</v>
      </c>
      <c r="H1028" s="2" t="n">
        <f aca="false">IF(B1028&lt;Test1_Hand!$B$13,1,0)</f>
        <v>0</v>
      </c>
      <c r="I1028" s="23" t="n">
        <f aca="false">Test1_Hand!$B$4+H1028*D1028</f>
        <v>16</v>
      </c>
      <c r="J1028" s="24" t="n">
        <f aca="false">Test1_Hand!$B$6*H1028*D1028+Test1_Hand!$B$7*MAX(0,I1028-Test1_Hand!$B$5)+Test1_Hand!$B$14</f>
        <v>6000</v>
      </c>
    </row>
    <row r="1029" customFormat="false" ht="15" hidden="false" customHeight="false" outlineLevel="0" collapsed="false">
      <c r="A1029" s="2" t="n">
        <v>1017</v>
      </c>
      <c r="B1029" s="22" t="n">
        <v>0.367446724971416</v>
      </c>
      <c r="C1029" s="22" t="n">
        <v>0.749442711346977</v>
      </c>
      <c r="D1029" s="23" t="n">
        <f aca="false">BETAINV(C1029,Test1_Hand!$B$21,Test1_Hand!$B$22,Test1_Hand!$B$9,Test1_Hand!$B$11)</f>
        <v>4.37223692320622</v>
      </c>
      <c r="E1029" s="2" t="n">
        <f aca="false">IF(B1029&lt;Test1_Hand!$B$12,1,0)</f>
        <v>1</v>
      </c>
      <c r="F1029" s="23" t="n">
        <f aca="false">Test1_Hand!$B$4+E1029*D1029</f>
        <v>20.3722369232062</v>
      </c>
      <c r="G1029" s="24" t="n">
        <f aca="false">Test1_Hand!$B$6*E1029*D1029+Test1_Hand!$B$7*MAX(0,F1029-Test1_Hand!$B$5)</f>
        <v>36839.0800016809</v>
      </c>
      <c r="H1029" s="2" t="n">
        <f aca="false">IF(B1029&lt;Test1_Hand!$B$13,1,0)</f>
        <v>0</v>
      </c>
      <c r="I1029" s="23" t="n">
        <f aca="false">Test1_Hand!$B$4+H1029*D1029</f>
        <v>16</v>
      </c>
      <c r="J1029" s="24" t="n">
        <f aca="false">Test1_Hand!$B$6*H1029*D1029+Test1_Hand!$B$7*MAX(0,I1029-Test1_Hand!$B$5)+Test1_Hand!$B$14</f>
        <v>6000</v>
      </c>
    </row>
    <row r="1030" customFormat="false" ht="15" hidden="false" customHeight="false" outlineLevel="0" collapsed="false">
      <c r="A1030" s="2" t="n">
        <v>1018</v>
      </c>
      <c r="B1030" s="22" t="n">
        <v>0.577297077556288</v>
      </c>
      <c r="C1030" s="22" t="n">
        <v>0.110465017894957</v>
      </c>
      <c r="D1030" s="23" t="n">
        <f aca="false">BETAINV(C1030,Test1_Hand!$B$21,Test1_Hand!$B$22,Test1_Hand!$B$9,Test1_Hand!$B$11)</f>
        <v>1.95392222503564</v>
      </c>
      <c r="E1030" s="2" t="n">
        <f aca="false">IF(B1030&lt;Test1_Hand!$B$12,1,0)</f>
        <v>0</v>
      </c>
      <c r="F1030" s="23" t="n">
        <f aca="false">Test1_Hand!$B$4+E1030*D1030</f>
        <v>16</v>
      </c>
      <c r="G1030" s="24" t="n">
        <f aca="false">Test1_Hand!$B$6*E1030*D1030+Test1_Hand!$B$7*MAX(0,F1030-Test1_Hand!$B$5)</f>
        <v>0</v>
      </c>
      <c r="H1030" s="2" t="n">
        <f aca="false">IF(B1030&lt;Test1_Hand!$B$13,1,0)</f>
        <v>0</v>
      </c>
      <c r="I1030" s="23" t="n">
        <f aca="false">Test1_Hand!$B$4+H1030*D1030</f>
        <v>16</v>
      </c>
      <c r="J1030" s="24" t="n">
        <f aca="false">Test1_Hand!$B$6*H1030*D1030+Test1_Hand!$B$7*MAX(0,I1030-Test1_Hand!$B$5)+Test1_Hand!$B$14</f>
        <v>6000</v>
      </c>
    </row>
    <row r="1031" customFormat="false" ht="15" hidden="false" customHeight="false" outlineLevel="0" collapsed="false">
      <c r="A1031" s="2" t="n">
        <v>1019</v>
      </c>
      <c r="B1031" s="22" t="n">
        <v>0.705082831486113</v>
      </c>
      <c r="C1031" s="22" t="n">
        <v>0.808641309434697</v>
      </c>
      <c r="D1031" s="23" t="n">
        <f aca="false">BETAINV(C1031,Test1_Hand!$B$21,Test1_Hand!$B$22,Test1_Hand!$B$9,Test1_Hand!$B$11)</f>
        <v>4.67270455634427</v>
      </c>
      <c r="E1031" s="2" t="n">
        <f aca="false">IF(B1031&lt;Test1_Hand!$B$12,1,0)</f>
        <v>0</v>
      </c>
      <c r="F1031" s="23" t="n">
        <f aca="false">Test1_Hand!$B$4+E1031*D1031</f>
        <v>16</v>
      </c>
      <c r="G1031" s="24" t="n">
        <f aca="false">Test1_Hand!$B$6*E1031*D1031+Test1_Hand!$B$7*MAX(0,F1031-Test1_Hand!$B$5)</f>
        <v>0</v>
      </c>
      <c r="H1031" s="2" t="n">
        <f aca="false">IF(B1031&lt;Test1_Hand!$B$13,1,0)</f>
        <v>0</v>
      </c>
      <c r="I1031" s="23" t="n">
        <f aca="false">Test1_Hand!$B$4+H1031*D1031</f>
        <v>16</v>
      </c>
      <c r="J1031" s="24" t="n">
        <f aca="false">Test1_Hand!$B$6*H1031*D1031+Test1_Hand!$B$7*MAX(0,I1031-Test1_Hand!$B$5)+Test1_Hand!$B$14</f>
        <v>6000</v>
      </c>
    </row>
    <row r="1032" customFormat="false" ht="15" hidden="false" customHeight="false" outlineLevel="0" collapsed="false">
      <c r="A1032" s="2" t="n">
        <v>1020</v>
      </c>
      <c r="B1032" s="22" t="n">
        <v>0.45565531773747</v>
      </c>
      <c r="C1032" s="22" t="n">
        <v>0.404985400550738</v>
      </c>
      <c r="D1032" s="23" t="n">
        <f aca="false">BETAINV(C1032,Test1_Hand!$B$21,Test1_Hand!$B$22,Test1_Hand!$B$9,Test1_Hand!$B$11)</f>
        <v>3.05286174002381</v>
      </c>
      <c r="E1032" s="2" t="n">
        <f aca="false">IF(B1032&lt;Test1_Hand!$B$12,1,0)</f>
        <v>1</v>
      </c>
      <c r="F1032" s="23" t="n">
        <f aca="false">Test1_Hand!$B$4+E1032*D1032</f>
        <v>19.0528617400238</v>
      </c>
      <c r="G1032" s="24" t="n">
        <f aca="false">Test1_Hand!$B$6*E1032*D1032+Test1_Hand!$B$7*MAX(0,F1032-Test1_Hand!$B$5)</f>
        <v>24422.8939201905</v>
      </c>
      <c r="H1032" s="2" t="n">
        <f aca="false">IF(B1032&lt;Test1_Hand!$B$13,1,0)</f>
        <v>0</v>
      </c>
      <c r="I1032" s="23" t="n">
        <f aca="false">Test1_Hand!$B$4+H1032*D1032</f>
        <v>16</v>
      </c>
      <c r="J1032" s="24" t="n">
        <f aca="false">Test1_Hand!$B$6*H1032*D1032+Test1_Hand!$B$7*MAX(0,I1032-Test1_Hand!$B$5)+Test1_Hand!$B$14</f>
        <v>6000</v>
      </c>
    </row>
    <row r="1033" customFormat="false" ht="15" hidden="false" customHeight="false" outlineLevel="0" collapsed="false">
      <c r="A1033" s="2" t="n">
        <v>1021</v>
      </c>
      <c r="B1033" s="22" t="n">
        <v>0.763003144362684</v>
      </c>
      <c r="C1033" s="22" t="n">
        <v>0.694221501387878</v>
      </c>
      <c r="D1033" s="23" t="n">
        <f aca="false">BETAINV(C1033,Test1_Hand!$B$21,Test1_Hand!$B$22,Test1_Hand!$B$9,Test1_Hand!$B$11)</f>
        <v>4.12466566544328</v>
      </c>
      <c r="E1033" s="2" t="n">
        <f aca="false">IF(B1033&lt;Test1_Hand!$B$12,1,0)</f>
        <v>0</v>
      </c>
      <c r="F1033" s="23" t="n">
        <f aca="false">Test1_Hand!$B$4+E1033*D1033</f>
        <v>16</v>
      </c>
      <c r="G1033" s="24" t="n">
        <f aca="false">Test1_Hand!$B$6*E1033*D1033+Test1_Hand!$B$7*MAX(0,F1033-Test1_Hand!$B$5)</f>
        <v>0</v>
      </c>
      <c r="H1033" s="2" t="n">
        <f aca="false">IF(B1033&lt;Test1_Hand!$B$13,1,0)</f>
        <v>0</v>
      </c>
      <c r="I1033" s="23" t="n">
        <f aca="false">Test1_Hand!$B$4+H1033*D1033</f>
        <v>16</v>
      </c>
      <c r="J1033" s="24" t="n">
        <f aca="false">Test1_Hand!$B$6*H1033*D1033+Test1_Hand!$B$7*MAX(0,I1033-Test1_Hand!$B$5)+Test1_Hand!$B$14</f>
        <v>6000</v>
      </c>
    </row>
    <row r="1034" customFormat="false" ht="15" hidden="false" customHeight="false" outlineLevel="0" collapsed="false">
      <c r="A1034" s="2" t="n">
        <v>1022</v>
      </c>
      <c r="B1034" s="22" t="n">
        <v>0.249980942535167</v>
      </c>
      <c r="C1034" s="22" t="n">
        <v>0.881443257301708</v>
      </c>
      <c r="D1034" s="23" t="n">
        <f aca="false">BETAINV(C1034,Test1_Hand!$B$21,Test1_Hand!$B$22,Test1_Hand!$B$9,Test1_Hand!$B$11)</f>
        <v>5.12956558904582</v>
      </c>
      <c r="E1034" s="2" t="n">
        <f aca="false">IF(B1034&lt;Test1_Hand!$B$12,1,0)</f>
        <v>1</v>
      </c>
      <c r="F1034" s="23" t="n">
        <f aca="false">Test1_Hand!$B$4+E1034*D1034</f>
        <v>21.1295655890458</v>
      </c>
      <c r="G1034" s="24" t="n">
        <f aca="false">Test1_Hand!$B$6*E1034*D1034+Test1_Hand!$B$7*MAX(0,F1034-Test1_Hand!$B$5)</f>
        <v>46684.3526575957</v>
      </c>
      <c r="H1034" s="2" t="n">
        <f aca="false">IF(B1034&lt;Test1_Hand!$B$13,1,0)</f>
        <v>0</v>
      </c>
      <c r="I1034" s="23" t="n">
        <f aca="false">Test1_Hand!$B$4+H1034*D1034</f>
        <v>16</v>
      </c>
      <c r="J1034" s="24" t="n">
        <f aca="false">Test1_Hand!$B$6*H1034*D1034+Test1_Hand!$B$7*MAX(0,I1034-Test1_Hand!$B$5)+Test1_Hand!$B$14</f>
        <v>6000</v>
      </c>
    </row>
    <row r="1035" customFormat="false" ht="15" hidden="false" customHeight="false" outlineLevel="0" collapsed="false">
      <c r="A1035" s="2" t="n">
        <v>1023</v>
      </c>
      <c r="B1035" s="22" t="n">
        <v>0.900213861600751</v>
      </c>
      <c r="C1035" s="22" t="n">
        <v>0.781797417076246</v>
      </c>
      <c r="D1035" s="23" t="n">
        <f aca="false">BETAINV(C1035,Test1_Hand!$B$21,Test1_Hand!$B$22,Test1_Hand!$B$9,Test1_Hand!$B$11)</f>
        <v>4.53086487320713</v>
      </c>
      <c r="E1035" s="2" t="n">
        <f aca="false">IF(B1035&lt;Test1_Hand!$B$12,1,0)</f>
        <v>0</v>
      </c>
      <c r="F1035" s="23" t="n">
        <f aca="false">Test1_Hand!$B$4+E1035*D1035</f>
        <v>16</v>
      </c>
      <c r="G1035" s="24" t="n">
        <f aca="false">Test1_Hand!$B$6*E1035*D1035+Test1_Hand!$B$7*MAX(0,F1035-Test1_Hand!$B$5)</f>
        <v>0</v>
      </c>
      <c r="H1035" s="2" t="n">
        <f aca="false">IF(B1035&lt;Test1_Hand!$B$13,1,0)</f>
        <v>0</v>
      </c>
      <c r="I1035" s="23" t="n">
        <f aca="false">Test1_Hand!$B$4+H1035*D1035</f>
        <v>16</v>
      </c>
      <c r="J1035" s="24" t="n">
        <f aca="false">Test1_Hand!$B$6*H1035*D1035+Test1_Hand!$B$7*MAX(0,I1035-Test1_Hand!$B$5)+Test1_Hand!$B$14</f>
        <v>6000</v>
      </c>
    </row>
    <row r="1036" customFormat="false" ht="15" hidden="false" customHeight="false" outlineLevel="0" collapsed="false">
      <c r="A1036" s="2" t="n">
        <v>1024</v>
      </c>
      <c r="B1036" s="22" t="n">
        <v>0.260535095024847</v>
      </c>
      <c r="C1036" s="22" t="n">
        <v>0.949013686384234</v>
      </c>
      <c r="D1036" s="23" t="n">
        <f aca="false">BETAINV(C1036,Test1_Hand!$B$21,Test1_Hand!$B$22,Test1_Hand!$B$9,Test1_Hand!$B$11)</f>
        <v>5.76135685490783</v>
      </c>
      <c r="E1036" s="2" t="n">
        <f aca="false">IF(B1036&lt;Test1_Hand!$B$12,1,0)</f>
        <v>1</v>
      </c>
      <c r="F1036" s="23" t="n">
        <f aca="false">Test1_Hand!$B$4+E1036*D1036</f>
        <v>21.7613568549078</v>
      </c>
      <c r="G1036" s="24" t="n">
        <f aca="false">Test1_Hand!$B$6*E1036*D1036+Test1_Hand!$B$7*MAX(0,F1036-Test1_Hand!$B$5)</f>
        <v>54897.6391138018</v>
      </c>
      <c r="H1036" s="2" t="n">
        <f aca="false">IF(B1036&lt;Test1_Hand!$B$13,1,0)</f>
        <v>0</v>
      </c>
      <c r="I1036" s="23" t="n">
        <f aca="false">Test1_Hand!$B$4+H1036*D1036</f>
        <v>16</v>
      </c>
      <c r="J1036" s="24" t="n">
        <f aca="false">Test1_Hand!$B$6*H1036*D1036+Test1_Hand!$B$7*MAX(0,I1036-Test1_Hand!$B$5)+Test1_Hand!$B$14</f>
        <v>6000</v>
      </c>
    </row>
    <row r="1037" customFormat="false" ht="15" hidden="false" customHeight="false" outlineLevel="0" collapsed="false">
      <c r="A1037" s="2" t="n">
        <v>1025</v>
      </c>
      <c r="B1037" s="22" t="n">
        <v>0.739793111580453</v>
      </c>
      <c r="C1037" s="22" t="n">
        <v>0.029793583142168</v>
      </c>
      <c r="D1037" s="23" t="n">
        <f aca="false">BETAINV(C1037,Test1_Hand!$B$21,Test1_Hand!$B$22,Test1_Hand!$B$9,Test1_Hand!$B$11)</f>
        <v>1.48527781364436</v>
      </c>
      <c r="E1037" s="2" t="n">
        <f aca="false">IF(B1037&lt;Test1_Hand!$B$12,1,0)</f>
        <v>0</v>
      </c>
      <c r="F1037" s="23" t="n">
        <f aca="false">Test1_Hand!$B$4+E1037*D1037</f>
        <v>16</v>
      </c>
      <c r="G1037" s="24" t="n">
        <f aca="false">Test1_Hand!$B$6*E1037*D1037+Test1_Hand!$B$7*MAX(0,F1037-Test1_Hand!$B$5)</f>
        <v>0</v>
      </c>
      <c r="H1037" s="2" t="n">
        <f aca="false">IF(B1037&lt;Test1_Hand!$B$13,1,0)</f>
        <v>0</v>
      </c>
      <c r="I1037" s="23" t="n">
        <f aca="false">Test1_Hand!$B$4+H1037*D1037</f>
        <v>16</v>
      </c>
      <c r="J1037" s="24" t="n">
        <f aca="false">Test1_Hand!$B$6*H1037*D1037+Test1_Hand!$B$7*MAX(0,I1037-Test1_Hand!$B$5)+Test1_Hand!$B$14</f>
        <v>6000</v>
      </c>
    </row>
    <row r="1038" customFormat="false" ht="15" hidden="false" customHeight="false" outlineLevel="0" collapsed="false">
      <c r="A1038" s="2" t="n">
        <v>1026</v>
      </c>
      <c r="B1038" s="22" t="n">
        <v>0.847499838259974</v>
      </c>
      <c r="C1038" s="22" t="n">
        <v>0.506624118026453</v>
      </c>
      <c r="D1038" s="23" t="n">
        <f aca="false">BETAINV(C1038,Test1_Hand!$B$21,Test1_Hand!$B$22,Test1_Hand!$B$9,Test1_Hand!$B$11)</f>
        <v>3.40600194118927</v>
      </c>
      <c r="E1038" s="2" t="n">
        <f aca="false">IF(B1038&lt;Test1_Hand!$B$12,1,0)</f>
        <v>0</v>
      </c>
      <c r="F1038" s="23" t="n">
        <f aca="false">Test1_Hand!$B$4+E1038*D1038</f>
        <v>16</v>
      </c>
      <c r="G1038" s="24" t="n">
        <f aca="false">Test1_Hand!$B$6*E1038*D1038+Test1_Hand!$B$7*MAX(0,F1038-Test1_Hand!$B$5)</f>
        <v>0</v>
      </c>
      <c r="H1038" s="2" t="n">
        <f aca="false">IF(B1038&lt;Test1_Hand!$B$13,1,0)</f>
        <v>0</v>
      </c>
      <c r="I1038" s="23" t="n">
        <f aca="false">Test1_Hand!$B$4+H1038*D1038</f>
        <v>16</v>
      </c>
      <c r="J1038" s="24" t="n">
        <f aca="false">Test1_Hand!$B$6*H1038*D1038+Test1_Hand!$B$7*MAX(0,I1038-Test1_Hand!$B$5)+Test1_Hand!$B$14</f>
        <v>6000</v>
      </c>
    </row>
    <row r="1039" customFormat="false" ht="15" hidden="false" customHeight="false" outlineLevel="0" collapsed="false">
      <c r="A1039" s="2" t="n">
        <v>1027</v>
      </c>
      <c r="B1039" s="22" t="n">
        <v>0.00913701277872048</v>
      </c>
      <c r="C1039" s="22" t="n">
        <v>0.1628514200145</v>
      </c>
      <c r="D1039" s="23" t="n">
        <f aca="false">BETAINV(C1039,Test1_Hand!$B$21,Test1_Hand!$B$22,Test1_Hand!$B$9,Test1_Hand!$B$11)</f>
        <v>2.18045052760992</v>
      </c>
      <c r="E1039" s="2" t="n">
        <f aca="false">IF(B1039&lt;Test1_Hand!$B$12,1,0)</f>
        <v>1</v>
      </c>
      <c r="F1039" s="23" t="n">
        <f aca="false">Test1_Hand!$B$4+E1039*D1039</f>
        <v>18.1804505276099</v>
      </c>
      <c r="G1039" s="24" t="n">
        <f aca="false">Test1_Hand!$B$6*E1039*D1039+Test1_Hand!$B$7*MAX(0,F1039-Test1_Hand!$B$5)</f>
        <v>17443.6042208794</v>
      </c>
      <c r="H1039" s="2" t="n">
        <f aca="false">IF(B1039&lt;Test1_Hand!$B$13,1,0)</f>
        <v>1</v>
      </c>
      <c r="I1039" s="23" t="n">
        <f aca="false">Test1_Hand!$B$4+H1039*D1039</f>
        <v>18.1804505276099</v>
      </c>
      <c r="J1039" s="24" t="n">
        <f aca="false">Test1_Hand!$B$6*H1039*D1039+Test1_Hand!$B$7*MAX(0,I1039-Test1_Hand!$B$5)+Test1_Hand!$B$14</f>
        <v>23443.6042208794</v>
      </c>
    </row>
    <row r="1040" customFormat="false" ht="15" hidden="false" customHeight="false" outlineLevel="0" collapsed="false">
      <c r="A1040" s="2" t="n">
        <v>1028</v>
      </c>
      <c r="B1040" s="22" t="n">
        <v>0.234677934024736</v>
      </c>
      <c r="C1040" s="22" t="n">
        <v>0.662814442424671</v>
      </c>
      <c r="D1040" s="23" t="n">
        <f aca="false">BETAINV(C1040,Test1_Hand!$B$21,Test1_Hand!$B$22,Test1_Hand!$B$9,Test1_Hand!$B$11)</f>
        <v>3.99367535062417</v>
      </c>
      <c r="E1040" s="2" t="n">
        <f aca="false">IF(B1040&lt;Test1_Hand!$B$12,1,0)</f>
        <v>1</v>
      </c>
      <c r="F1040" s="23" t="n">
        <f aca="false">Test1_Hand!$B$4+E1040*D1040</f>
        <v>19.9936753506242</v>
      </c>
      <c r="G1040" s="24" t="n">
        <f aca="false">Test1_Hand!$B$6*E1040*D1040+Test1_Hand!$B$7*MAX(0,F1040-Test1_Hand!$B$5)</f>
        <v>31949.4028049934</v>
      </c>
      <c r="H1040" s="2" t="n">
        <f aca="false">IF(B1040&lt;Test1_Hand!$B$13,1,0)</f>
        <v>0</v>
      </c>
      <c r="I1040" s="23" t="n">
        <f aca="false">Test1_Hand!$B$4+H1040*D1040</f>
        <v>16</v>
      </c>
      <c r="J1040" s="24" t="n">
        <f aca="false">Test1_Hand!$B$6*H1040*D1040+Test1_Hand!$B$7*MAX(0,I1040-Test1_Hand!$B$5)+Test1_Hand!$B$14</f>
        <v>6000</v>
      </c>
    </row>
    <row r="1041" customFormat="false" ht="15" hidden="false" customHeight="false" outlineLevel="0" collapsed="false">
      <c r="A1041" s="2" t="n">
        <v>1029</v>
      </c>
      <c r="B1041" s="22" t="n">
        <v>0.119915551719229</v>
      </c>
      <c r="C1041" s="22" t="n">
        <v>0.227022217542458</v>
      </c>
      <c r="D1041" s="23" t="n">
        <f aca="false">BETAINV(C1041,Test1_Hand!$B$21,Test1_Hand!$B$22,Test1_Hand!$B$9,Test1_Hand!$B$11)</f>
        <v>2.42833830788944</v>
      </c>
      <c r="E1041" s="2" t="n">
        <f aca="false">IF(B1041&lt;Test1_Hand!$B$12,1,0)</f>
        <v>1</v>
      </c>
      <c r="F1041" s="23" t="n">
        <f aca="false">Test1_Hand!$B$4+E1041*D1041</f>
        <v>18.4283383078894</v>
      </c>
      <c r="G1041" s="24" t="n">
        <f aca="false">Test1_Hand!$B$6*E1041*D1041+Test1_Hand!$B$7*MAX(0,F1041-Test1_Hand!$B$5)</f>
        <v>19426.7064631155</v>
      </c>
      <c r="H1041" s="2" t="n">
        <f aca="false">IF(B1041&lt;Test1_Hand!$B$13,1,0)</f>
        <v>1</v>
      </c>
      <c r="I1041" s="23" t="n">
        <f aca="false">Test1_Hand!$B$4+H1041*D1041</f>
        <v>18.4283383078894</v>
      </c>
      <c r="J1041" s="24" t="n">
        <f aca="false">Test1_Hand!$B$6*H1041*D1041+Test1_Hand!$B$7*MAX(0,I1041-Test1_Hand!$B$5)+Test1_Hand!$B$14</f>
        <v>25426.7064631155</v>
      </c>
    </row>
    <row r="1042" customFormat="false" ht="15" hidden="false" customHeight="false" outlineLevel="0" collapsed="false">
      <c r="A1042" s="2" t="n">
        <v>1030</v>
      </c>
      <c r="B1042" s="22" t="n">
        <v>0.100816717716525</v>
      </c>
      <c r="C1042" s="22" t="n">
        <v>0.516824793809791</v>
      </c>
      <c r="D1042" s="23" t="n">
        <f aca="false">BETAINV(C1042,Test1_Hand!$B$21,Test1_Hand!$B$22,Test1_Hand!$B$9,Test1_Hand!$B$11)</f>
        <v>3.44221661600233</v>
      </c>
      <c r="E1042" s="2" t="n">
        <f aca="false">IF(B1042&lt;Test1_Hand!$B$12,1,0)</f>
        <v>1</v>
      </c>
      <c r="F1042" s="23" t="n">
        <f aca="false">Test1_Hand!$B$4+E1042*D1042</f>
        <v>19.4422166160023</v>
      </c>
      <c r="G1042" s="24" t="n">
        <f aca="false">Test1_Hand!$B$6*E1042*D1042+Test1_Hand!$B$7*MAX(0,F1042-Test1_Hand!$B$5)</f>
        <v>27537.7329280186</v>
      </c>
      <c r="H1042" s="2" t="n">
        <f aca="false">IF(B1042&lt;Test1_Hand!$B$13,1,0)</f>
        <v>1</v>
      </c>
      <c r="I1042" s="23" t="n">
        <f aca="false">Test1_Hand!$B$4+H1042*D1042</f>
        <v>19.4422166160023</v>
      </c>
      <c r="J1042" s="24" t="n">
        <f aca="false">Test1_Hand!$B$6*H1042*D1042+Test1_Hand!$B$7*MAX(0,I1042-Test1_Hand!$B$5)+Test1_Hand!$B$14</f>
        <v>33537.7329280186</v>
      </c>
    </row>
    <row r="1043" customFormat="false" ht="15" hidden="false" customHeight="false" outlineLevel="0" collapsed="false">
      <c r="A1043" s="2" t="n">
        <v>1031</v>
      </c>
      <c r="B1043" s="22" t="n">
        <v>0.184514564998985</v>
      </c>
      <c r="C1043" s="22" t="n">
        <v>0.235431236378452</v>
      </c>
      <c r="D1043" s="23" t="n">
        <f aca="false">BETAINV(C1043,Test1_Hand!$B$21,Test1_Hand!$B$22,Test1_Hand!$B$9,Test1_Hand!$B$11)</f>
        <v>2.45933604288205</v>
      </c>
      <c r="E1043" s="2" t="n">
        <f aca="false">IF(B1043&lt;Test1_Hand!$B$12,1,0)</f>
        <v>1</v>
      </c>
      <c r="F1043" s="23" t="n">
        <f aca="false">Test1_Hand!$B$4+E1043*D1043</f>
        <v>18.4593360428821</v>
      </c>
      <c r="G1043" s="24" t="n">
        <f aca="false">Test1_Hand!$B$6*E1043*D1043+Test1_Hand!$B$7*MAX(0,F1043-Test1_Hand!$B$5)</f>
        <v>19674.6883430564</v>
      </c>
      <c r="H1043" s="2" t="n">
        <f aca="false">IF(B1043&lt;Test1_Hand!$B$13,1,0)</f>
        <v>1</v>
      </c>
      <c r="I1043" s="23" t="n">
        <f aca="false">Test1_Hand!$B$4+H1043*D1043</f>
        <v>18.4593360428821</v>
      </c>
      <c r="J1043" s="24" t="n">
        <f aca="false">Test1_Hand!$B$6*H1043*D1043+Test1_Hand!$B$7*MAX(0,I1043-Test1_Hand!$B$5)+Test1_Hand!$B$14</f>
        <v>25674.6883430564</v>
      </c>
    </row>
    <row r="1044" customFormat="false" ht="15" hidden="false" customHeight="false" outlineLevel="0" collapsed="false">
      <c r="A1044" s="2" t="n">
        <v>1032</v>
      </c>
      <c r="B1044" s="22" t="n">
        <v>0.889973964915404</v>
      </c>
      <c r="C1044" s="22" t="n">
        <v>0.811753723753458</v>
      </c>
      <c r="D1044" s="23" t="n">
        <f aca="false">BETAINV(C1044,Test1_Hand!$B$21,Test1_Hand!$B$22,Test1_Hand!$B$9,Test1_Hand!$B$11)</f>
        <v>4.68986646087894</v>
      </c>
      <c r="E1044" s="2" t="n">
        <f aca="false">IF(B1044&lt;Test1_Hand!$B$12,1,0)</f>
        <v>0</v>
      </c>
      <c r="F1044" s="23" t="n">
        <f aca="false">Test1_Hand!$B$4+E1044*D1044</f>
        <v>16</v>
      </c>
      <c r="G1044" s="24" t="n">
        <f aca="false">Test1_Hand!$B$6*E1044*D1044+Test1_Hand!$B$7*MAX(0,F1044-Test1_Hand!$B$5)</f>
        <v>0</v>
      </c>
      <c r="H1044" s="2" t="n">
        <f aca="false">IF(B1044&lt;Test1_Hand!$B$13,1,0)</f>
        <v>0</v>
      </c>
      <c r="I1044" s="23" t="n">
        <f aca="false">Test1_Hand!$B$4+H1044*D1044</f>
        <v>16</v>
      </c>
      <c r="J1044" s="24" t="n">
        <f aca="false">Test1_Hand!$B$6*H1044*D1044+Test1_Hand!$B$7*MAX(0,I1044-Test1_Hand!$B$5)+Test1_Hand!$B$14</f>
        <v>6000</v>
      </c>
    </row>
    <row r="1045" customFormat="false" ht="15" hidden="false" customHeight="false" outlineLevel="0" collapsed="false">
      <c r="A1045" s="2" t="n">
        <v>1033</v>
      </c>
      <c r="B1045" s="22" t="n">
        <v>0.248890556504154</v>
      </c>
      <c r="C1045" s="22" t="n">
        <v>0.933376046941119</v>
      </c>
      <c r="D1045" s="23" t="n">
        <f aca="false">BETAINV(C1045,Test1_Hand!$B$21,Test1_Hand!$B$22,Test1_Hand!$B$9,Test1_Hand!$B$11)</f>
        <v>5.58077034368355</v>
      </c>
      <c r="E1045" s="2" t="n">
        <f aca="false">IF(B1045&lt;Test1_Hand!$B$12,1,0)</f>
        <v>1</v>
      </c>
      <c r="F1045" s="23" t="n">
        <f aca="false">Test1_Hand!$B$4+E1045*D1045</f>
        <v>21.5807703436836</v>
      </c>
      <c r="G1045" s="24" t="n">
        <f aca="false">Test1_Hand!$B$6*E1045*D1045+Test1_Hand!$B$7*MAX(0,F1045-Test1_Hand!$B$5)</f>
        <v>52550.0144678862</v>
      </c>
      <c r="H1045" s="2" t="n">
        <f aca="false">IF(B1045&lt;Test1_Hand!$B$13,1,0)</f>
        <v>0</v>
      </c>
      <c r="I1045" s="23" t="n">
        <f aca="false">Test1_Hand!$B$4+H1045*D1045</f>
        <v>16</v>
      </c>
      <c r="J1045" s="24" t="n">
        <f aca="false">Test1_Hand!$B$6*H1045*D1045+Test1_Hand!$B$7*MAX(0,I1045-Test1_Hand!$B$5)+Test1_Hand!$B$14</f>
        <v>6000</v>
      </c>
    </row>
    <row r="1046" customFormat="false" ht="15" hidden="false" customHeight="false" outlineLevel="0" collapsed="false">
      <c r="A1046" s="2" t="n">
        <v>1034</v>
      </c>
      <c r="B1046" s="22" t="n">
        <v>0.350147820551686</v>
      </c>
      <c r="C1046" s="22" t="n">
        <v>0.150934099668052</v>
      </c>
      <c r="D1046" s="23" t="n">
        <f aca="false">BETAINV(C1046,Test1_Hand!$B$21,Test1_Hand!$B$22,Test1_Hand!$B$9,Test1_Hand!$B$11)</f>
        <v>2.13141845515549</v>
      </c>
      <c r="E1046" s="2" t="n">
        <f aca="false">IF(B1046&lt;Test1_Hand!$B$12,1,0)</f>
        <v>1</v>
      </c>
      <c r="F1046" s="23" t="n">
        <f aca="false">Test1_Hand!$B$4+E1046*D1046</f>
        <v>18.1314184551555</v>
      </c>
      <c r="G1046" s="24" t="n">
        <f aca="false">Test1_Hand!$B$6*E1046*D1046+Test1_Hand!$B$7*MAX(0,F1046-Test1_Hand!$B$5)</f>
        <v>17051.3476412439</v>
      </c>
      <c r="H1046" s="2" t="n">
        <f aca="false">IF(B1046&lt;Test1_Hand!$B$13,1,0)</f>
        <v>0</v>
      </c>
      <c r="I1046" s="23" t="n">
        <f aca="false">Test1_Hand!$B$4+H1046*D1046</f>
        <v>16</v>
      </c>
      <c r="J1046" s="24" t="n">
        <f aca="false">Test1_Hand!$B$6*H1046*D1046+Test1_Hand!$B$7*MAX(0,I1046-Test1_Hand!$B$5)+Test1_Hand!$B$14</f>
        <v>6000</v>
      </c>
    </row>
    <row r="1047" customFormat="false" ht="15" hidden="false" customHeight="false" outlineLevel="0" collapsed="false">
      <c r="A1047" s="2" t="n">
        <v>1035</v>
      </c>
      <c r="B1047" s="22" t="n">
        <v>0.675885808120129</v>
      </c>
      <c r="C1047" s="22" t="n">
        <v>0.609067453350575</v>
      </c>
      <c r="D1047" s="23" t="n">
        <f aca="false">BETAINV(C1047,Test1_Hand!$B$21,Test1_Hand!$B$22,Test1_Hand!$B$9,Test1_Hand!$B$11)</f>
        <v>3.78161475899471</v>
      </c>
      <c r="E1047" s="2" t="n">
        <f aca="false">IF(B1047&lt;Test1_Hand!$B$12,1,0)</f>
        <v>0</v>
      </c>
      <c r="F1047" s="23" t="n">
        <f aca="false">Test1_Hand!$B$4+E1047*D1047</f>
        <v>16</v>
      </c>
      <c r="G1047" s="24" t="n">
        <f aca="false">Test1_Hand!$B$6*E1047*D1047+Test1_Hand!$B$7*MAX(0,F1047-Test1_Hand!$B$5)</f>
        <v>0</v>
      </c>
      <c r="H1047" s="2" t="n">
        <f aca="false">IF(B1047&lt;Test1_Hand!$B$13,1,0)</f>
        <v>0</v>
      </c>
      <c r="I1047" s="23" t="n">
        <f aca="false">Test1_Hand!$B$4+H1047*D1047</f>
        <v>16</v>
      </c>
      <c r="J1047" s="24" t="n">
        <f aca="false">Test1_Hand!$B$6*H1047*D1047+Test1_Hand!$B$7*MAX(0,I1047-Test1_Hand!$B$5)+Test1_Hand!$B$14</f>
        <v>6000</v>
      </c>
    </row>
    <row r="1048" customFormat="false" ht="15" hidden="false" customHeight="false" outlineLevel="0" collapsed="false">
      <c r="A1048" s="2" t="n">
        <v>1036</v>
      </c>
      <c r="B1048" s="22" t="n">
        <v>0.523902707683476</v>
      </c>
      <c r="C1048" s="22" t="n">
        <v>0.969503725771939</v>
      </c>
      <c r="D1048" s="23" t="n">
        <f aca="false">BETAINV(C1048,Test1_Hand!$B$21,Test1_Hand!$B$22,Test1_Hand!$B$9,Test1_Hand!$B$11)</f>
        <v>6.06674094701474</v>
      </c>
      <c r="E1048" s="2" t="n">
        <f aca="false">IF(B1048&lt;Test1_Hand!$B$12,1,0)</f>
        <v>0</v>
      </c>
      <c r="F1048" s="23" t="n">
        <f aca="false">Test1_Hand!$B$4+E1048*D1048</f>
        <v>16</v>
      </c>
      <c r="G1048" s="24" t="n">
        <f aca="false">Test1_Hand!$B$6*E1048*D1048+Test1_Hand!$B$7*MAX(0,F1048-Test1_Hand!$B$5)</f>
        <v>0</v>
      </c>
      <c r="H1048" s="2" t="n">
        <f aca="false">IF(B1048&lt;Test1_Hand!$B$13,1,0)</f>
        <v>0</v>
      </c>
      <c r="I1048" s="23" t="n">
        <f aca="false">Test1_Hand!$B$4+H1048*D1048</f>
        <v>16</v>
      </c>
      <c r="J1048" s="24" t="n">
        <f aca="false">Test1_Hand!$B$6*H1048*D1048+Test1_Hand!$B$7*MAX(0,I1048-Test1_Hand!$B$5)+Test1_Hand!$B$14</f>
        <v>6000</v>
      </c>
    </row>
    <row r="1049" customFormat="false" ht="15" hidden="false" customHeight="false" outlineLevel="0" collapsed="false">
      <c r="A1049" s="2" t="n">
        <v>1037</v>
      </c>
      <c r="B1049" s="22" t="n">
        <v>0.328553302165434</v>
      </c>
      <c r="C1049" s="22" t="n">
        <v>0.604291628634755</v>
      </c>
      <c r="D1049" s="23" t="n">
        <f aca="false">BETAINV(C1049,Test1_Hand!$B$21,Test1_Hand!$B$22,Test1_Hand!$B$9,Test1_Hand!$B$11)</f>
        <v>3.76337957797902</v>
      </c>
      <c r="E1049" s="2" t="n">
        <f aca="false">IF(B1049&lt;Test1_Hand!$B$12,1,0)</f>
        <v>1</v>
      </c>
      <c r="F1049" s="23" t="n">
        <f aca="false">Test1_Hand!$B$4+E1049*D1049</f>
        <v>19.763379577979</v>
      </c>
      <c r="G1049" s="24" t="n">
        <f aca="false">Test1_Hand!$B$6*E1049*D1049+Test1_Hand!$B$7*MAX(0,F1049-Test1_Hand!$B$5)</f>
        <v>30107.0366238321</v>
      </c>
      <c r="H1049" s="2" t="n">
        <f aca="false">IF(B1049&lt;Test1_Hand!$B$13,1,0)</f>
        <v>0</v>
      </c>
      <c r="I1049" s="23" t="n">
        <f aca="false">Test1_Hand!$B$4+H1049*D1049</f>
        <v>16</v>
      </c>
      <c r="J1049" s="24" t="n">
        <f aca="false">Test1_Hand!$B$6*H1049*D1049+Test1_Hand!$B$7*MAX(0,I1049-Test1_Hand!$B$5)+Test1_Hand!$B$14</f>
        <v>6000</v>
      </c>
    </row>
    <row r="1050" customFormat="false" ht="15" hidden="false" customHeight="false" outlineLevel="0" collapsed="false">
      <c r="A1050" s="2" t="n">
        <v>1038</v>
      </c>
      <c r="B1050" s="22" t="n">
        <v>0.21509073846228</v>
      </c>
      <c r="C1050" s="22" t="n">
        <v>0.707731492429887</v>
      </c>
      <c r="D1050" s="23" t="n">
        <f aca="false">BETAINV(C1050,Test1_Hand!$B$21,Test1_Hand!$B$22,Test1_Hand!$B$9,Test1_Hand!$B$11)</f>
        <v>4.18299189812114</v>
      </c>
      <c r="E1050" s="2" t="n">
        <f aca="false">IF(B1050&lt;Test1_Hand!$B$12,1,0)</f>
        <v>1</v>
      </c>
      <c r="F1050" s="23" t="n">
        <f aca="false">Test1_Hand!$B$4+E1050*D1050</f>
        <v>20.1829918981211</v>
      </c>
      <c r="G1050" s="24" t="n">
        <f aca="false">Test1_Hand!$B$6*E1050*D1050+Test1_Hand!$B$7*MAX(0,F1050-Test1_Hand!$B$5)</f>
        <v>34378.8946755748</v>
      </c>
      <c r="H1050" s="2" t="n">
        <f aca="false">IF(B1050&lt;Test1_Hand!$B$13,1,0)</f>
        <v>0</v>
      </c>
      <c r="I1050" s="23" t="n">
        <f aca="false">Test1_Hand!$B$4+H1050*D1050</f>
        <v>16</v>
      </c>
      <c r="J1050" s="24" t="n">
        <f aca="false">Test1_Hand!$B$6*H1050*D1050+Test1_Hand!$B$7*MAX(0,I1050-Test1_Hand!$B$5)+Test1_Hand!$B$14</f>
        <v>6000</v>
      </c>
    </row>
    <row r="1051" customFormat="false" ht="15" hidden="false" customHeight="false" outlineLevel="0" collapsed="false">
      <c r="A1051" s="2" t="n">
        <v>1039</v>
      </c>
      <c r="B1051" s="22" t="n">
        <v>0.676862703042616</v>
      </c>
      <c r="C1051" s="22" t="n">
        <v>0.354959815217609</v>
      </c>
      <c r="D1051" s="23" t="n">
        <f aca="false">BETAINV(C1051,Test1_Hand!$B$21,Test1_Hand!$B$22,Test1_Hand!$B$9,Test1_Hand!$B$11)</f>
        <v>2.88098210324311</v>
      </c>
      <c r="E1051" s="2" t="n">
        <f aca="false">IF(B1051&lt;Test1_Hand!$B$12,1,0)</f>
        <v>0</v>
      </c>
      <c r="F1051" s="23" t="n">
        <f aca="false">Test1_Hand!$B$4+E1051*D1051</f>
        <v>16</v>
      </c>
      <c r="G1051" s="24" t="n">
        <f aca="false">Test1_Hand!$B$6*E1051*D1051+Test1_Hand!$B$7*MAX(0,F1051-Test1_Hand!$B$5)</f>
        <v>0</v>
      </c>
      <c r="H1051" s="2" t="n">
        <f aca="false">IF(B1051&lt;Test1_Hand!$B$13,1,0)</f>
        <v>0</v>
      </c>
      <c r="I1051" s="23" t="n">
        <f aca="false">Test1_Hand!$B$4+H1051*D1051</f>
        <v>16</v>
      </c>
      <c r="J1051" s="24" t="n">
        <f aca="false">Test1_Hand!$B$6*H1051*D1051+Test1_Hand!$B$7*MAX(0,I1051-Test1_Hand!$B$5)+Test1_Hand!$B$14</f>
        <v>6000</v>
      </c>
    </row>
    <row r="1052" customFormat="false" ht="15" hidden="false" customHeight="false" outlineLevel="0" collapsed="false">
      <c r="A1052" s="2" t="n">
        <v>1040</v>
      </c>
      <c r="B1052" s="22" t="n">
        <v>0.00154275607747756</v>
      </c>
      <c r="C1052" s="22" t="n">
        <v>0.341518929714321</v>
      </c>
      <c r="D1052" s="23" t="n">
        <f aca="false">BETAINV(C1052,Test1_Hand!$B$21,Test1_Hand!$B$22,Test1_Hand!$B$9,Test1_Hand!$B$11)</f>
        <v>2.83464031429835</v>
      </c>
      <c r="E1052" s="2" t="n">
        <f aca="false">IF(B1052&lt;Test1_Hand!$B$12,1,0)</f>
        <v>1</v>
      </c>
      <c r="F1052" s="23" t="n">
        <f aca="false">Test1_Hand!$B$4+E1052*D1052</f>
        <v>18.8346403142984</v>
      </c>
      <c r="G1052" s="24" t="n">
        <f aca="false">Test1_Hand!$B$6*E1052*D1052+Test1_Hand!$B$7*MAX(0,F1052-Test1_Hand!$B$5)</f>
        <v>22677.1225143868</v>
      </c>
      <c r="H1052" s="2" t="n">
        <f aca="false">IF(B1052&lt;Test1_Hand!$B$13,1,0)</f>
        <v>1</v>
      </c>
      <c r="I1052" s="23" t="n">
        <f aca="false">Test1_Hand!$B$4+H1052*D1052</f>
        <v>18.8346403142984</v>
      </c>
      <c r="J1052" s="24" t="n">
        <f aca="false">Test1_Hand!$B$6*H1052*D1052+Test1_Hand!$B$7*MAX(0,I1052-Test1_Hand!$B$5)+Test1_Hand!$B$14</f>
        <v>28677.1225143868</v>
      </c>
    </row>
    <row r="1053" customFormat="false" ht="15" hidden="false" customHeight="false" outlineLevel="0" collapsed="false">
      <c r="A1053" s="2" t="n">
        <v>1041</v>
      </c>
      <c r="B1053" s="22" t="n">
        <v>0.178300965075413</v>
      </c>
      <c r="C1053" s="22" t="n">
        <v>0.623138395699605</v>
      </c>
      <c r="D1053" s="23" t="n">
        <f aca="false">BETAINV(C1053,Test1_Hand!$B$21,Test1_Hand!$B$22,Test1_Hand!$B$9,Test1_Hand!$B$11)</f>
        <v>3.83586898223392</v>
      </c>
      <c r="E1053" s="2" t="n">
        <f aca="false">IF(B1053&lt;Test1_Hand!$B$12,1,0)</f>
        <v>1</v>
      </c>
      <c r="F1053" s="23" t="n">
        <f aca="false">Test1_Hand!$B$4+E1053*D1053</f>
        <v>19.8358689822339</v>
      </c>
      <c r="G1053" s="24" t="n">
        <f aca="false">Test1_Hand!$B$6*E1053*D1053+Test1_Hand!$B$7*MAX(0,F1053-Test1_Hand!$B$5)</f>
        <v>30686.9518578714</v>
      </c>
      <c r="H1053" s="2" t="n">
        <f aca="false">IF(B1053&lt;Test1_Hand!$B$13,1,0)</f>
        <v>1</v>
      </c>
      <c r="I1053" s="23" t="n">
        <f aca="false">Test1_Hand!$B$4+H1053*D1053</f>
        <v>19.8358689822339</v>
      </c>
      <c r="J1053" s="24" t="n">
        <f aca="false">Test1_Hand!$B$6*H1053*D1053+Test1_Hand!$B$7*MAX(0,I1053-Test1_Hand!$B$5)+Test1_Hand!$B$14</f>
        <v>36686.9518578714</v>
      </c>
    </row>
    <row r="1054" customFormat="false" ht="15" hidden="false" customHeight="false" outlineLevel="0" collapsed="false">
      <c r="A1054" s="2" t="n">
        <v>1042</v>
      </c>
      <c r="B1054" s="22" t="n">
        <v>0.250241740882073</v>
      </c>
      <c r="C1054" s="22" t="n">
        <v>0.168023474289035</v>
      </c>
      <c r="D1054" s="23" t="n">
        <f aca="false">BETAINV(C1054,Test1_Hand!$B$21,Test1_Hand!$B$22,Test1_Hand!$B$9,Test1_Hand!$B$11)</f>
        <v>2.20137204427654</v>
      </c>
      <c r="E1054" s="2" t="n">
        <f aca="false">IF(B1054&lt;Test1_Hand!$B$12,1,0)</f>
        <v>1</v>
      </c>
      <c r="F1054" s="23" t="n">
        <f aca="false">Test1_Hand!$B$4+E1054*D1054</f>
        <v>18.2013720442765</v>
      </c>
      <c r="G1054" s="24" t="n">
        <f aca="false">Test1_Hand!$B$6*E1054*D1054+Test1_Hand!$B$7*MAX(0,F1054-Test1_Hand!$B$5)</f>
        <v>17610.9763542123</v>
      </c>
      <c r="H1054" s="2" t="n">
        <f aca="false">IF(B1054&lt;Test1_Hand!$B$13,1,0)</f>
        <v>0</v>
      </c>
      <c r="I1054" s="23" t="n">
        <f aca="false">Test1_Hand!$B$4+H1054*D1054</f>
        <v>16</v>
      </c>
      <c r="J1054" s="24" t="n">
        <f aca="false">Test1_Hand!$B$6*H1054*D1054+Test1_Hand!$B$7*MAX(0,I1054-Test1_Hand!$B$5)+Test1_Hand!$B$14</f>
        <v>6000</v>
      </c>
    </row>
    <row r="1055" customFormat="false" ht="15" hidden="false" customHeight="false" outlineLevel="0" collapsed="false">
      <c r="A1055" s="2" t="n">
        <v>1043</v>
      </c>
      <c r="B1055" s="22" t="n">
        <v>0.433143417276541</v>
      </c>
      <c r="C1055" s="22" t="n">
        <v>0.554163226454654</v>
      </c>
      <c r="D1055" s="23" t="n">
        <f aca="false">BETAINV(C1055,Test1_Hand!$B$21,Test1_Hand!$B$22,Test1_Hand!$B$9,Test1_Hand!$B$11)</f>
        <v>3.57670591535193</v>
      </c>
      <c r="E1055" s="2" t="n">
        <f aca="false">IF(B1055&lt;Test1_Hand!$B$12,1,0)</f>
        <v>1</v>
      </c>
      <c r="F1055" s="23" t="n">
        <f aca="false">Test1_Hand!$B$4+E1055*D1055</f>
        <v>19.5767059153519</v>
      </c>
      <c r="G1055" s="24" t="n">
        <f aca="false">Test1_Hand!$B$6*E1055*D1055+Test1_Hand!$B$7*MAX(0,F1055-Test1_Hand!$B$5)</f>
        <v>28613.6473228155</v>
      </c>
      <c r="H1055" s="2" t="n">
        <f aca="false">IF(B1055&lt;Test1_Hand!$B$13,1,0)</f>
        <v>0</v>
      </c>
      <c r="I1055" s="23" t="n">
        <f aca="false">Test1_Hand!$B$4+H1055*D1055</f>
        <v>16</v>
      </c>
      <c r="J1055" s="24" t="n">
        <f aca="false">Test1_Hand!$B$6*H1055*D1055+Test1_Hand!$B$7*MAX(0,I1055-Test1_Hand!$B$5)+Test1_Hand!$B$14</f>
        <v>6000</v>
      </c>
    </row>
    <row r="1056" customFormat="false" ht="15" hidden="false" customHeight="false" outlineLevel="0" collapsed="false">
      <c r="A1056" s="2" t="n">
        <v>1044</v>
      </c>
      <c r="B1056" s="22" t="n">
        <v>0.064092006580166</v>
      </c>
      <c r="C1056" s="22" t="n">
        <v>0.940571829126081</v>
      </c>
      <c r="D1056" s="23" t="n">
        <f aca="false">BETAINV(C1056,Test1_Hand!$B$21,Test1_Hand!$B$22,Test1_Hand!$B$9,Test1_Hand!$B$11)</f>
        <v>5.65992321170731</v>
      </c>
      <c r="E1056" s="2" t="n">
        <f aca="false">IF(B1056&lt;Test1_Hand!$B$12,1,0)</f>
        <v>1</v>
      </c>
      <c r="F1056" s="23" t="n">
        <f aca="false">Test1_Hand!$B$4+E1056*D1056</f>
        <v>21.6599232117073</v>
      </c>
      <c r="G1056" s="24" t="n">
        <f aca="false">Test1_Hand!$B$6*E1056*D1056+Test1_Hand!$B$7*MAX(0,F1056-Test1_Hand!$B$5)</f>
        <v>53579.001752195</v>
      </c>
      <c r="H1056" s="2" t="n">
        <f aca="false">IF(B1056&lt;Test1_Hand!$B$13,1,0)</f>
        <v>1</v>
      </c>
      <c r="I1056" s="23" t="n">
        <f aca="false">Test1_Hand!$B$4+H1056*D1056</f>
        <v>21.6599232117073</v>
      </c>
      <c r="J1056" s="24" t="n">
        <f aca="false">Test1_Hand!$B$6*H1056*D1056+Test1_Hand!$B$7*MAX(0,I1056-Test1_Hand!$B$5)+Test1_Hand!$B$14</f>
        <v>59579.001752195</v>
      </c>
    </row>
    <row r="1057" customFormat="false" ht="15" hidden="false" customHeight="false" outlineLevel="0" collapsed="false">
      <c r="A1057" s="2" t="n">
        <v>1045</v>
      </c>
      <c r="B1057" s="22" t="n">
        <v>0.20461878073484</v>
      </c>
      <c r="C1057" s="22" t="n">
        <v>0.383402824007575</v>
      </c>
      <c r="D1057" s="23" t="n">
        <f aca="false">BETAINV(C1057,Test1_Hand!$B$21,Test1_Hand!$B$22,Test1_Hand!$B$9,Test1_Hand!$B$11)</f>
        <v>2.97875073444869</v>
      </c>
      <c r="E1057" s="2" t="n">
        <f aca="false">IF(B1057&lt;Test1_Hand!$B$12,1,0)</f>
        <v>1</v>
      </c>
      <c r="F1057" s="23" t="n">
        <f aca="false">Test1_Hand!$B$4+E1057*D1057</f>
        <v>18.9787507344487</v>
      </c>
      <c r="G1057" s="24" t="n">
        <f aca="false">Test1_Hand!$B$6*E1057*D1057+Test1_Hand!$B$7*MAX(0,F1057-Test1_Hand!$B$5)</f>
        <v>23830.0058755896</v>
      </c>
      <c r="H1057" s="2" t="n">
        <f aca="false">IF(B1057&lt;Test1_Hand!$B$13,1,0)</f>
        <v>0</v>
      </c>
      <c r="I1057" s="23" t="n">
        <f aca="false">Test1_Hand!$B$4+H1057*D1057</f>
        <v>16</v>
      </c>
      <c r="J1057" s="24" t="n">
        <f aca="false">Test1_Hand!$B$6*H1057*D1057+Test1_Hand!$B$7*MAX(0,I1057-Test1_Hand!$B$5)+Test1_Hand!$B$14</f>
        <v>6000</v>
      </c>
    </row>
    <row r="1058" customFormat="false" ht="15" hidden="false" customHeight="false" outlineLevel="0" collapsed="false">
      <c r="A1058" s="2" t="n">
        <v>1046</v>
      </c>
      <c r="B1058" s="22" t="n">
        <v>0.299916119105082</v>
      </c>
      <c r="C1058" s="22" t="n">
        <v>0.959117881329097</v>
      </c>
      <c r="D1058" s="23" t="n">
        <f aca="false">BETAINV(C1058,Test1_Hand!$B$21,Test1_Hand!$B$22,Test1_Hand!$B$9,Test1_Hand!$B$11)</f>
        <v>5.89882846037273</v>
      </c>
      <c r="E1058" s="2" t="n">
        <f aca="false">IF(B1058&lt;Test1_Hand!$B$12,1,0)</f>
        <v>1</v>
      </c>
      <c r="F1058" s="23" t="n">
        <f aca="false">Test1_Hand!$B$4+E1058*D1058</f>
        <v>21.8988284603727</v>
      </c>
      <c r="G1058" s="24" t="n">
        <f aca="false">Test1_Hand!$B$6*E1058*D1058+Test1_Hand!$B$7*MAX(0,F1058-Test1_Hand!$B$5)</f>
        <v>56684.7699848455</v>
      </c>
      <c r="H1058" s="2" t="n">
        <f aca="false">IF(B1058&lt;Test1_Hand!$B$13,1,0)</f>
        <v>0</v>
      </c>
      <c r="I1058" s="23" t="n">
        <f aca="false">Test1_Hand!$B$4+H1058*D1058</f>
        <v>16</v>
      </c>
      <c r="J1058" s="24" t="n">
        <f aca="false">Test1_Hand!$B$6*H1058*D1058+Test1_Hand!$B$7*MAX(0,I1058-Test1_Hand!$B$5)+Test1_Hand!$B$14</f>
        <v>6000</v>
      </c>
    </row>
    <row r="1059" customFormat="false" ht="15" hidden="false" customHeight="false" outlineLevel="0" collapsed="false">
      <c r="A1059" s="2" t="n">
        <v>1047</v>
      </c>
      <c r="B1059" s="22" t="n">
        <v>0.864038553840419</v>
      </c>
      <c r="C1059" s="22" t="n">
        <v>0.166942464670709</v>
      </c>
      <c r="D1059" s="23" t="n">
        <f aca="false">BETAINV(C1059,Test1_Hand!$B$21,Test1_Hand!$B$22,Test1_Hand!$B$9,Test1_Hand!$B$11)</f>
        <v>2.19701607322814</v>
      </c>
      <c r="E1059" s="2" t="n">
        <f aca="false">IF(B1059&lt;Test1_Hand!$B$12,1,0)</f>
        <v>0</v>
      </c>
      <c r="F1059" s="23" t="n">
        <f aca="false">Test1_Hand!$B$4+E1059*D1059</f>
        <v>16</v>
      </c>
      <c r="G1059" s="24" t="n">
        <f aca="false">Test1_Hand!$B$6*E1059*D1059+Test1_Hand!$B$7*MAX(0,F1059-Test1_Hand!$B$5)</f>
        <v>0</v>
      </c>
      <c r="H1059" s="2" t="n">
        <f aca="false">IF(B1059&lt;Test1_Hand!$B$13,1,0)</f>
        <v>0</v>
      </c>
      <c r="I1059" s="23" t="n">
        <f aca="false">Test1_Hand!$B$4+H1059*D1059</f>
        <v>16</v>
      </c>
      <c r="J1059" s="24" t="n">
        <f aca="false">Test1_Hand!$B$6*H1059*D1059+Test1_Hand!$B$7*MAX(0,I1059-Test1_Hand!$B$5)+Test1_Hand!$B$14</f>
        <v>6000</v>
      </c>
    </row>
    <row r="1060" customFormat="false" ht="15" hidden="false" customHeight="false" outlineLevel="0" collapsed="false">
      <c r="A1060" s="2" t="n">
        <v>1048</v>
      </c>
      <c r="B1060" s="22" t="n">
        <v>0.884628966648446</v>
      </c>
      <c r="C1060" s="22" t="n">
        <v>0.589925025029906</v>
      </c>
      <c r="D1060" s="23" t="n">
        <f aca="false">BETAINV(C1060,Test1_Hand!$B$21,Test1_Hand!$B$22,Test1_Hand!$B$9,Test1_Hand!$B$11)</f>
        <v>3.70903442241543</v>
      </c>
      <c r="E1060" s="2" t="n">
        <f aca="false">IF(B1060&lt;Test1_Hand!$B$12,1,0)</f>
        <v>0</v>
      </c>
      <c r="F1060" s="23" t="n">
        <f aca="false">Test1_Hand!$B$4+E1060*D1060</f>
        <v>16</v>
      </c>
      <c r="G1060" s="24" t="n">
        <f aca="false">Test1_Hand!$B$6*E1060*D1060+Test1_Hand!$B$7*MAX(0,F1060-Test1_Hand!$B$5)</f>
        <v>0</v>
      </c>
      <c r="H1060" s="2" t="n">
        <f aca="false">IF(B1060&lt;Test1_Hand!$B$13,1,0)</f>
        <v>0</v>
      </c>
      <c r="I1060" s="23" t="n">
        <f aca="false">Test1_Hand!$B$4+H1060*D1060</f>
        <v>16</v>
      </c>
      <c r="J1060" s="24" t="n">
        <f aca="false">Test1_Hand!$B$6*H1060*D1060+Test1_Hand!$B$7*MAX(0,I1060-Test1_Hand!$B$5)+Test1_Hand!$B$14</f>
        <v>6000</v>
      </c>
    </row>
    <row r="1061" customFormat="false" ht="15" hidden="false" customHeight="false" outlineLevel="0" collapsed="false">
      <c r="A1061" s="2" t="n">
        <v>1049</v>
      </c>
      <c r="B1061" s="22" t="n">
        <v>0.326500584325117</v>
      </c>
      <c r="C1061" s="22" t="n">
        <v>0.959291275434793</v>
      </c>
      <c r="D1061" s="23" t="n">
        <f aca="false">BETAINV(C1061,Test1_Hand!$B$21,Test1_Hand!$B$22,Test1_Hand!$B$9,Test1_Hand!$B$11)</f>
        <v>5.90137806348626</v>
      </c>
      <c r="E1061" s="2" t="n">
        <f aca="false">IF(B1061&lt;Test1_Hand!$B$12,1,0)</f>
        <v>1</v>
      </c>
      <c r="F1061" s="23" t="n">
        <f aca="false">Test1_Hand!$B$4+E1061*D1061</f>
        <v>21.9013780634863</v>
      </c>
      <c r="G1061" s="24" t="n">
        <f aca="false">Test1_Hand!$B$6*E1061*D1061+Test1_Hand!$B$7*MAX(0,F1061-Test1_Hand!$B$5)</f>
        <v>56717.9148253213</v>
      </c>
      <c r="H1061" s="2" t="n">
        <f aca="false">IF(B1061&lt;Test1_Hand!$B$13,1,0)</f>
        <v>0</v>
      </c>
      <c r="I1061" s="23" t="n">
        <f aca="false">Test1_Hand!$B$4+H1061*D1061</f>
        <v>16</v>
      </c>
      <c r="J1061" s="24" t="n">
        <f aca="false">Test1_Hand!$B$6*H1061*D1061+Test1_Hand!$B$7*MAX(0,I1061-Test1_Hand!$B$5)+Test1_Hand!$B$14</f>
        <v>6000</v>
      </c>
    </row>
    <row r="1062" customFormat="false" ht="15" hidden="false" customHeight="false" outlineLevel="0" collapsed="false">
      <c r="A1062" s="2" t="n">
        <v>1050</v>
      </c>
      <c r="B1062" s="22" t="n">
        <v>0.745203029100894</v>
      </c>
      <c r="C1062" s="22" t="n">
        <v>0.204012543267983</v>
      </c>
      <c r="D1062" s="23" t="n">
        <f aca="false">BETAINV(C1062,Test1_Hand!$B$21,Test1_Hand!$B$22,Test1_Hand!$B$9,Test1_Hand!$B$11)</f>
        <v>2.34201684827461</v>
      </c>
      <c r="E1062" s="2" t="n">
        <f aca="false">IF(B1062&lt;Test1_Hand!$B$12,1,0)</f>
        <v>0</v>
      </c>
      <c r="F1062" s="23" t="n">
        <f aca="false">Test1_Hand!$B$4+E1062*D1062</f>
        <v>16</v>
      </c>
      <c r="G1062" s="24" t="n">
        <f aca="false">Test1_Hand!$B$6*E1062*D1062+Test1_Hand!$B$7*MAX(0,F1062-Test1_Hand!$B$5)</f>
        <v>0</v>
      </c>
      <c r="H1062" s="2" t="n">
        <f aca="false">IF(B1062&lt;Test1_Hand!$B$13,1,0)</f>
        <v>0</v>
      </c>
      <c r="I1062" s="23" t="n">
        <f aca="false">Test1_Hand!$B$4+H1062*D1062</f>
        <v>16</v>
      </c>
      <c r="J1062" s="24" t="n">
        <f aca="false">Test1_Hand!$B$6*H1062*D1062+Test1_Hand!$B$7*MAX(0,I1062-Test1_Hand!$B$5)+Test1_Hand!$B$14</f>
        <v>6000</v>
      </c>
    </row>
    <row r="1063" customFormat="false" ht="15" hidden="false" customHeight="false" outlineLevel="0" collapsed="false">
      <c r="A1063" s="2" t="n">
        <v>1051</v>
      </c>
      <c r="B1063" s="22" t="n">
        <v>0.985535784111646</v>
      </c>
      <c r="C1063" s="22" t="n">
        <v>0.644538272602025</v>
      </c>
      <c r="D1063" s="23" t="n">
        <f aca="false">BETAINV(C1063,Test1_Hand!$B$21,Test1_Hand!$B$22,Test1_Hand!$B$9,Test1_Hand!$B$11)</f>
        <v>3.92003099449416</v>
      </c>
      <c r="E1063" s="2" t="n">
        <f aca="false">IF(B1063&lt;Test1_Hand!$B$12,1,0)</f>
        <v>0</v>
      </c>
      <c r="F1063" s="23" t="n">
        <f aca="false">Test1_Hand!$B$4+E1063*D1063</f>
        <v>16</v>
      </c>
      <c r="G1063" s="24" t="n">
        <f aca="false">Test1_Hand!$B$6*E1063*D1063+Test1_Hand!$B$7*MAX(0,F1063-Test1_Hand!$B$5)</f>
        <v>0</v>
      </c>
      <c r="H1063" s="2" t="n">
        <f aca="false">IF(B1063&lt;Test1_Hand!$B$13,1,0)</f>
        <v>0</v>
      </c>
      <c r="I1063" s="23" t="n">
        <f aca="false">Test1_Hand!$B$4+H1063*D1063</f>
        <v>16</v>
      </c>
      <c r="J1063" s="24" t="n">
        <f aca="false">Test1_Hand!$B$6*H1063*D1063+Test1_Hand!$B$7*MAX(0,I1063-Test1_Hand!$B$5)+Test1_Hand!$B$14</f>
        <v>6000</v>
      </c>
    </row>
    <row r="1064" customFormat="false" ht="15" hidden="false" customHeight="false" outlineLevel="0" collapsed="false">
      <c r="A1064" s="2" t="n">
        <v>1052</v>
      </c>
      <c r="B1064" s="22" t="n">
        <v>0.661000904534059</v>
      </c>
      <c r="C1064" s="22" t="n">
        <v>0.470668446639278</v>
      </c>
      <c r="D1064" s="23" t="n">
        <f aca="false">BETAINV(C1064,Test1_Hand!$B$21,Test1_Hand!$B$22,Test1_Hand!$B$9,Test1_Hand!$B$11)</f>
        <v>3.27976326032057</v>
      </c>
      <c r="E1064" s="2" t="n">
        <f aca="false">IF(B1064&lt;Test1_Hand!$B$12,1,0)</f>
        <v>0</v>
      </c>
      <c r="F1064" s="23" t="n">
        <f aca="false">Test1_Hand!$B$4+E1064*D1064</f>
        <v>16</v>
      </c>
      <c r="G1064" s="24" t="n">
        <f aca="false">Test1_Hand!$B$6*E1064*D1064+Test1_Hand!$B$7*MAX(0,F1064-Test1_Hand!$B$5)</f>
        <v>0</v>
      </c>
      <c r="H1064" s="2" t="n">
        <f aca="false">IF(B1064&lt;Test1_Hand!$B$13,1,0)</f>
        <v>0</v>
      </c>
      <c r="I1064" s="23" t="n">
        <f aca="false">Test1_Hand!$B$4+H1064*D1064</f>
        <v>16</v>
      </c>
      <c r="J1064" s="24" t="n">
        <f aca="false">Test1_Hand!$B$6*H1064*D1064+Test1_Hand!$B$7*MAX(0,I1064-Test1_Hand!$B$5)+Test1_Hand!$B$14</f>
        <v>6000</v>
      </c>
    </row>
    <row r="1065" customFormat="false" ht="15" hidden="false" customHeight="false" outlineLevel="0" collapsed="false">
      <c r="A1065" s="2" t="n">
        <v>1053</v>
      </c>
      <c r="B1065" s="22" t="n">
        <v>0.394698924707971</v>
      </c>
      <c r="C1065" s="22" t="n">
        <v>0.00717403405754891</v>
      </c>
      <c r="D1065" s="23" t="n">
        <f aca="false">BETAINV(C1065,Test1_Hand!$B$21,Test1_Hand!$B$22,Test1_Hand!$B$9,Test1_Hand!$B$11)</f>
        <v>1.24170983341858</v>
      </c>
      <c r="E1065" s="2" t="n">
        <f aca="false">IF(B1065&lt;Test1_Hand!$B$12,1,0)</f>
        <v>1</v>
      </c>
      <c r="F1065" s="23" t="n">
        <f aca="false">Test1_Hand!$B$4+E1065*D1065</f>
        <v>17.2417098334186</v>
      </c>
      <c r="G1065" s="24" t="n">
        <f aca="false">Test1_Hand!$B$6*E1065*D1065+Test1_Hand!$B$7*MAX(0,F1065-Test1_Hand!$B$5)</f>
        <v>9933.67866734867</v>
      </c>
      <c r="H1065" s="2" t="n">
        <f aca="false">IF(B1065&lt;Test1_Hand!$B$13,1,0)</f>
        <v>0</v>
      </c>
      <c r="I1065" s="23" t="n">
        <f aca="false">Test1_Hand!$B$4+H1065*D1065</f>
        <v>16</v>
      </c>
      <c r="J1065" s="24" t="n">
        <f aca="false">Test1_Hand!$B$6*H1065*D1065+Test1_Hand!$B$7*MAX(0,I1065-Test1_Hand!$B$5)+Test1_Hand!$B$14</f>
        <v>6000</v>
      </c>
    </row>
    <row r="1066" customFormat="false" ht="15" hidden="false" customHeight="false" outlineLevel="0" collapsed="false">
      <c r="A1066" s="2" t="n">
        <v>1054</v>
      </c>
      <c r="B1066" s="22" t="n">
        <v>0.760476251067642</v>
      </c>
      <c r="C1066" s="22" t="n">
        <v>0.604273820089869</v>
      </c>
      <c r="D1066" s="23" t="n">
        <f aca="false">BETAINV(C1066,Test1_Hand!$B$21,Test1_Hand!$B$22,Test1_Hand!$B$9,Test1_Hand!$B$11)</f>
        <v>3.76331174412242</v>
      </c>
      <c r="E1066" s="2" t="n">
        <f aca="false">IF(B1066&lt;Test1_Hand!$B$12,1,0)</f>
        <v>0</v>
      </c>
      <c r="F1066" s="23" t="n">
        <f aca="false">Test1_Hand!$B$4+E1066*D1066</f>
        <v>16</v>
      </c>
      <c r="G1066" s="24" t="n">
        <f aca="false">Test1_Hand!$B$6*E1066*D1066+Test1_Hand!$B$7*MAX(0,F1066-Test1_Hand!$B$5)</f>
        <v>0</v>
      </c>
      <c r="H1066" s="2" t="n">
        <f aca="false">IF(B1066&lt;Test1_Hand!$B$13,1,0)</f>
        <v>0</v>
      </c>
      <c r="I1066" s="23" t="n">
        <f aca="false">Test1_Hand!$B$4+H1066*D1066</f>
        <v>16</v>
      </c>
      <c r="J1066" s="24" t="n">
        <f aca="false">Test1_Hand!$B$6*H1066*D1066+Test1_Hand!$B$7*MAX(0,I1066-Test1_Hand!$B$5)+Test1_Hand!$B$14</f>
        <v>6000</v>
      </c>
    </row>
    <row r="1067" customFormat="false" ht="15" hidden="false" customHeight="false" outlineLevel="0" collapsed="false">
      <c r="A1067" s="2" t="n">
        <v>1055</v>
      </c>
      <c r="B1067" s="22" t="n">
        <v>0.721608279141612</v>
      </c>
      <c r="C1067" s="22" t="n">
        <v>0.389039270347303</v>
      </c>
      <c r="D1067" s="23" t="n">
        <f aca="false">BETAINV(C1067,Test1_Hand!$B$21,Test1_Hand!$B$22,Test1_Hand!$B$9,Test1_Hand!$B$11)</f>
        <v>2.9981032831398</v>
      </c>
      <c r="E1067" s="2" t="n">
        <f aca="false">IF(B1067&lt;Test1_Hand!$B$12,1,0)</f>
        <v>0</v>
      </c>
      <c r="F1067" s="23" t="n">
        <f aca="false">Test1_Hand!$B$4+E1067*D1067</f>
        <v>16</v>
      </c>
      <c r="G1067" s="24" t="n">
        <f aca="false">Test1_Hand!$B$6*E1067*D1067+Test1_Hand!$B$7*MAX(0,F1067-Test1_Hand!$B$5)</f>
        <v>0</v>
      </c>
      <c r="H1067" s="2" t="n">
        <f aca="false">IF(B1067&lt;Test1_Hand!$B$13,1,0)</f>
        <v>0</v>
      </c>
      <c r="I1067" s="23" t="n">
        <f aca="false">Test1_Hand!$B$4+H1067*D1067</f>
        <v>16</v>
      </c>
      <c r="J1067" s="24" t="n">
        <f aca="false">Test1_Hand!$B$6*H1067*D1067+Test1_Hand!$B$7*MAX(0,I1067-Test1_Hand!$B$5)+Test1_Hand!$B$14</f>
        <v>6000</v>
      </c>
    </row>
    <row r="1068" customFormat="false" ht="15" hidden="false" customHeight="false" outlineLevel="0" collapsed="false">
      <c r="A1068" s="2" t="n">
        <v>1056</v>
      </c>
      <c r="B1068" s="22" t="n">
        <v>0.76670856866206</v>
      </c>
      <c r="C1068" s="22" t="n">
        <v>0.147430978697281</v>
      </c>
      <c r="D1068" s="23" t="n">
        <f aca="false">BETAINV(C1068,Test1_Hand!$B$21,Test1_Hand!$B$22,Test1_Hand!$B$9,Test1_Hand!$B$11)</f>
        <v>2.11676800196635</v>
      </c>
      <c r="E1068" s="2" t="n">
        <f aca="false">IF(B1068&lt;Test1_Hand!$B$12,1,0)</f>
        <v>0</v>
      </c>
      <c r="F1068" s="23" t="n">
        <f aca="false">Test1_Hand!$B$4+E1068*D1068</f>
        <v>16</v>
      </c>
      <c r="G1068" s="24" t="n">
        <f aca="false">Test1_Hand!$B$6*E1068*D1068+Test1_Hand!$B$7*MAX(0,F1068-Test1_Hand!$B$5)</f>
        <v>0</v>
      </c>
      <c r="H1068" s="2" t="n">
        <f aca="false">IF(B1068&lt;Test1_Hand!$B$13,1,0)</f>
        <v>0</v>
      </c>
      <c r="I1068" s="23" t="n">
        <f aca="false">Test1_Hand!$B$4+H1068*D1068</f>
        <v>16</v>
      </c>
      <c r="J1068" s="24" t="n">
        <f aca="false">Test1_Hand!$B$6*H1068*D1068+Test1_Hand!$B$7*MAX(0,I1068-Test1_Hand!$B$5)+Test1_Hand!$B$14</f>
        <v>6000</v>
      </c>
    </row>
    <row r="1069" customFormat="false" ht="15" hidden="false" customHeight="false" outlineLevel="0" collapsed="false">
      <c r="A1069" s="2" t="n">
        <v>1057</v>
      </c>
      <c r="B1069" s="22" t="n">
        <v>0.999288579878998</v>
      </c>
      <c r="C1069" s="22" t="n">
        <v>0.777792224267151</v>
      </c>
      <c r="D1069" s="23" t="n">
        <f aca="false">BETAINV(C1069,Test1_Hand!$B$21,Test1_Hand!$B$22,Test1_Hand!$B$9,Test1_Hand!$B$11)</f>
        <v>4.51056010486767</v>
      </c>
      <c r="E1069" s="2" t="n">
        <f aca="false">IF(B1069&lt;Test1_Hand!$B$12,1,0)</f>
        <v>0</v>
      </c>
      <c r="F1069" s="23" t="n">
        <f aca="false">Test1_Hand!$B$4+E1069*D1069</f>
        <v>16</v>
      </c>
      <c r="G1069" s="24" t="n">
        <f aca="false">Test1_Hand!$B$6*E1069*D1069+Test1_Hand!$B$7*MAX(0,F1069-Test1_Hand!$B$5)</f>
        <v>0</v>
      </c>
      <c r="H1069" s="2" t="n">
        <f aca="false">IF(B1069&lt;Test1_Hand!$B$13,1,0)</f>
        <v>0</v>
      </c>
      <c r="I1069" s="23" t="n">
        <f aca="false">Test1_Hand!$B$4+H1069*D1069</f>
        <v>16</v>
      </c>
      <c r="J1069" s="24" t="n">
        <f aca="false">Test1_Hand!$B$6*H1069*D1069+Test1_Hand!$B$7*MAX(0,I1069-Test1_Hand!$B$5)+Test1_Hand!$B$14</f>
        <v>6000</v>
      </c>
    </row>
    <row r="1070" customFormat="false" ht="15" hidden="false" customHeight="false" outlineLevel="0" collapsed="false">
      <c r="A1070" s="2" t="n">
        <v>1058</v>
      </c>
      <c r="B1070" s="22" t="n">
        <v>0.37152888281748</v>
      </c>
      <c r="C1070" s="22" t="n">
        <v>0.644976316041326</v>
      </c>
      <c r="D1070" s="23" t="n">
        <f aca="false">BETAINV(C1070,Test1_Hand!$B$21,Test1_Hand!$B$22,Test1_Hand!$B$9,Test1_Hand!$B$11)</f>
        <v>3.921776168999</v>
      </c>
      <c r="E1070" s="2" t="n">
        <f aca="false">IF(B1070&lt;Test1_Hand!$B$12,1,0)</f>
        <v>1</v>
      </c>
      <c r="F1070" s="23" t="n">
        <f aca="false">Test1_Hand!$B$4+E1070*D1070</f>
        <v>19.921776168999</v>
      </c>
      <c r="G1070" s="24" t="n">
        <f aca="false">Test1_Hand!$B$6*E1070*D1070+Test1_Hand!$B$7*MAX(0,F1070-Test1_Hand!$B$5)</f>
        <v>31374.209351992</v>
      </c>
      <c r="H1070" s="2" t="n">
        <f aca="false">IF(B1070&lt;Test1_Hand!$B$13,1,0)</f>
        <v>0</v>
      </c>
      <c r="I1070" s="23" t="n">
        <f aca="false">Test1_Hand!$B$4+H1070*D1070</f>
        <v>16</v>
      </c>
      <c r="J1070" s="24" t="n">
        <f aca="false">Test1_Hand!$B$6*H1070*D1070+Test1_Hand!$B$7*MAX(0,I1070-Test1_Hand!$B$5)+Test1_Hand!$B$14</f>
        <v>6000</v>
      </c>
    </row>
    <row r="1071" customFormat="false" ht="15" hidden="false" customHeight="false" outlineLevel="0" collapsed="false">
      <c r="A1071" s="2" t="n">
        <v>1059</v>
      </c>
      <c r="B1071" s="22" t="n">
        <v>0.148133530944617</v>
      </c>
      <c r="C1071" s="22" t="n">
        <v>0.602642088699755</v>
      </c>
      <c r="D1071" s="23" t="n">
        <f aca="false">BETAINV(C1071,Test1_Hand!$B$21,Test1_Hand!$B$22,Test1_Hand!$B$9,Test1_Hand!$B$11)</f>
        <v>3.75710145218956</v>
      </c>
      <c r="E1071" s="2" t="n">
        <f aca="false">IF(B1071&lt;Test1_Hand!$B$12,1,0)</f>
        <v>1</v>
      </c>
      <c r="F1071" s="23" t="n">
        <f aca="false">Test1_Hand!$B$4+E1071*D1071</f>
        <v>19.7571014521896</v>
      </c>
      <c r="G1071" s="24" t="n">
        <f aca="false">Test1_Hand!$B$6*E1071*D1071+Test1_Hand!$B$7*MAX(0,F1071-Test1_Hand!$B$5)</f>
        <v>30056.8116175165</v>
      </c>
      <c r="H1071" s="2" t="n">
        <f aca="false">IF(B1071&lt;Test1_Hand!$B$13,1,0)</f>
        <v>1</v>
      </c>
      <c r="I1071" s="23" t="n">
        <f aca="false">Test1_Hand!$B$4+H1071*D1071</f>
        <v>19.7571014521896</v>
      </c>
      <c r="J1071" s="24" t="n">
        <f aca="false">Test1_Hand!$B$6*H1071*D1071+Test1_Hand!$B$7*MAX(0,I1071-Test1_Hand!$B$5)+Test1_Hand!$B$14</f>
        <v>36056.8116175165</v>
      </c>
    </row>
    <row r="1072" customFormat="false" ht="15" hidden="false" customHeight="false" outlineLevel="0" collapsed="false">
      <c r="A1072" s="2" t="n">
        <v>1060</v>
      </c>
      <c r="B1072" s="22" t="n">
        <v>0.919297114995964</v>
      </c>
      <c r="C1072" s="22" t="n">
        <v>0.755822744272209</v>
      </c>
      <c r="D1072" s="23" t="n">
        <f aca="false">BETAINV(C1072,Test1_Hand!$B$21,Test1_Hand!$B$22,Test1_Hand!$B$9,Test1_Hand!$B$11)</f>
        <v>4.4025971648041</v>
      </c>
      <c r="E1072" s="2" t="n">
        <f aca="false">IF(B1072&lt;Test1_Hand!$B$12,1,0)</f>
        <v>0</v>
      </c>
      <c r="F1072" s="23" t="n">
        <f aca="false">Test1_Hand!$B$4+E1072*D1072</f>
        <v>16</v>
      </c>
      <c r="G1072" s="24" t="n">
        <f aca="false">Test1_Hand!$B$6*E1072*D1072+Test1_Hand!$B$7*MAX(0,F1072-Test1_Hand!$B$5)</f>
        <v>0</v>
      </c>
      <c r="H1072" s="2" t="n">
        <f aca="false">IF(B1072&lt;Test1_Hand!$B$13,1,0)</f>
        <v>0</v>
      </c>
      <c r="I1072" s="23" t="n">
        <f aca="false">Test1_Hand!$B$4+H1072*D1072</f>
        <v>16</v>
      </c>
      <c r="J1072" s="24" t="n">
        <f aca="false">Test1_Hand!$B$6*H1072*D1072+Test1_Hand!$B$7*MAX(0,I1072-Test1_Hand!$B$5)+Test1_Hand!$B$14</f>
        <v>6000</v>
      </c>
    </row>
    <row r="1073" customFormat="false" ht="15" hidden="false" customHeight="false" outlineLevel="0" collapsed="false">
      <c r="A1073" s="2" t="n">
        <v>1061</v>
      </c>
      <c r="B1073" s="22" t="n">
        <v>0.757453105200247</v>
      </c>
      <c r="C1073" s="22" t="n">
        <v>0.766332764433473</v>
      </c>
      <c r="D1073" s="23" t="n">
        <f aca="false">BETAINV(C1073,Test1_Hand!$B$21,Test1_Hand!$B$22,Test1_Hand!$B$9,Test1_Hand!$B$11)</f>
        <v>4.45355505718859</v>
      </c>
      <c r="E1073" s="2" t="n">
        <f aca="false">IF(B1073&lt;Test1_Hand!$B$12,1,0)</f>
        <v>0</v>
      </c>
      <c r="F1073" s="23" t="n">
        <f aca="false">Test1_Hand!$B$4+E1073*D1073</f>
        <v>16</v>
      </c>
      <c r="G1073" s="24" t="n">
        <f aca="false">Test1_Hand!$B$6*E1073*D1073+Test1_Hand!$B$7*MAX(0,F1073-Test1_Hand!$B$5)</f>
        <v>0</v>
      </c>
      <c r="H1073" s="2" t="n">
        <f aca="false">IF(B1073&lt;Test1_Hand!$B$13,1,0)</f>
        <v>0</v>
      </c>
      <c r="I1073" s="23" t="n">
        <f aca="false">Test1_Hand!$B$4+H1073*D1073</f>
        <v>16</v>
      </c>
      <c r="J1073" s="24" t="n">
        <f aca="false">Test1_Hand!$B$6*H1073*D1073+Test1_Hand!$B$7*MAX(0,I1073-Test1_Hand!$B$5)+Test1_Hand!$B$14</f>
        <v>6000</v>
      </c>
    </row>
    <row r="1074" customFormat="false" ht="15" hidden="false" customHeight="false" outlineLevel="0" collapsed="false">
      <c r="A1074" s="2" t="n">
        <v>1062</v>
      </c>
      <c r="B1074" s="22" t="n">
        <v>0.155924018703616</v>
      </c>
      <c r="C1074" s="22" t="n">
        <v>0.281926569773643</v>
      </c>
      <c r="D1074" s="23" t="n">
        <f aca="false">BETAINV(C1074,Test1_Hand!$B$21,Test1_Hand!$B$22,Test1_Hand!$B$9,Test1_Hand!$B$11)</f>
        <v>2.62668696865108</v>
      </c>
      <c r="E1074" s="2" t="n">
        <f aca="false">IF(B1074&lt;Test1_Hand!$B$12,1,0)</f>
        <v>1</v>
      </c>
      <c r="F1074" s="23" t="n">
        <f aca="false">Test1_Hand!$B$4+E1074*D1074</f>
        <v>18.6266869686511</v>
      </c>
      <c r="G1074" s="24" t="n">
        <f aca="false">Test1_Hand!$B$6*E1074*D1074+Test1_Hand!$B$7*MAX(0,F1074-Test1_Hand!$B$5)</f>
        <v>21013.4957492086</v>
      </c>
      <c r="H1074" s="2" t="n">
        <f aca="false">IF(B1074&lt;Test1_Hand!$B$13,1,0)</f>
        <v>1</v>
      </c>
      <c r="I1074" s="23" t="n">
        <f aca="false">Test1_Hand!$B$4+H1074*D1074</f>
        <v>18.6266869686511</v>
      </c>
      <c r="J1074" s="24" t="n">
        <f aca="false">Test1_Hand!$B$6*H1074*D1074+Test1_Hand!$B$7*MAX(0,I1074-Test1_Hand!$B$5)+Test1_Hand!$B$14</f>
        <v>27013.4957492086</v>
      </c>
    </row>
    <row r="1075" customFormat="false" ht="15" hidden="false" customHeight="false" outlineLevel="0" collapsed="false">
      <c r="A1075" s="2" t="n">
        <v>1063</v>
      </c>
      <c r="B1075" s="22" t="n">
        <v>0.719773690105924</v>
      </c>
      <c r="C1075" s="22" t="n">
        <v>0.118256838016436</v>
      </c>
      <c r="D1075" s="23" t="n">
        <f aca="false">BETAINV(C1075,Test1_Hand!$B$21,Test1_Hand!$B$22,Test1_Hand!$B$9,Test1_Hand!$B$11)</f>
        <v>1.98969517777978</v>
      </c>
      <c r="E1075" s="2" t="n">
        <f aca="false">IF(B1075&lt;Test1_Hand!$B$12,1,0)</f>
        <v>0</v>
      </c>
      <c r="F1075" s="23" t="n">
        <f aca="false">Test1_Hand!$B$4+E1075*D1075</f>
        <v>16</v>
      </c>
      <c r="G1075" s="24" t="n">
        <f aca="false">Test1_Hand!$B$6*E1075*D1075+Test1_Hand!$B$7*MAX(0,F1075-Test1_Hand!$B$5)</f>
        <v>0</v>
      </c>
      <c r="H1075" s="2" t="n">
        <f aca="false">IF(B1075&lt;Test1_Hand!$B$13,1,0)</f>
        <v>0</v>
      </c>
      <c r="I1075" s="23" t="n">
        <f aca="false">Test1_Hand!$B$4+H1075*D1075</f>
        <v>16</v>
      </c>
      <c r="J1075" s="24" t="n">
        <f aca="false">Test1_Hand!$B$6*H1075*D1075+Test1_Hand!$B$7*MAX(0,I1075-Test1_Hand!$B$5)+Test1_Hand!$B$14</f>
        <v>6000</v>
      </c>
    </row>
    <row r="1076" customFormat="false" ht="15" hidden="false" customHeight="false" outlineLevel="0" collapsed="false">
      <c r="A1076" s="2" t="n">
        <v>1064</v>
      </c>
      <c r="B1076" s="22" t="n">
        <v>0.313115314108389</v>
      </c>
      <c r="C1076" s="22" t="n">
        <v>0.0393034394231184</v>
      </c>
      <c r="D1076" s="23" t="n">
        <f aca="false">BETAINV(C1076,Test1_Hand!$B$21,Test1_Hand!$B$22,Test1_Hand!$B$9,Test1_Hand!$B$11)</f>
        <v>1.55768031556835</v>
      </c>
      <c r="E1076" s="2" t="n">
        <f aca="false">IF(B1076&lt;Test1_Hand!$B$12,1,0)</f>
        <v>1</v>
      </c>
      <c r="F1076" s="23" t="n">
        <f aca="false">Test1_Hand!$B$4+E1076*D1076</f>
        <v>17.5576803155684</v>
      </c>
      <c r="G1076" s="24" t="n">
        <f aca="false">Test1_Hand!$B$6*E1076*D1076+Test1_Hand!$B$7*MAX(0,F1076-Test1_Hand!$B$5)</f>
        <v>12461.4425245468</v>
      </c>
      <c r="H1076" s="2" t="n">
        <f aca="false">IF(B1076&lt;Test1_Hand!$B$13,1,0)</f>
        <v>0</v>
      </c>
      <c r="I1076" s="23" t="n">
        <f aca="false">Test1_Hand!$B$4+H1076*D1076</f>
        <v>16</v>
      </c>
      <c r="J1076" s="24" t="n">
        <f aca="false">Test1_Hand!$B$6*H1076*D1076+Test1_Hand!$B$7*MAX(0,I1076-Test1_Hand!$B$5)+Test1_Hand!$B$14</f>
        <v>6000</v>
      </c>
    </row>
    <row r="1077" customFormat="false" ht="15" hidden="false" customHeight="false" outlineLevel="0" collapsed="false">
      <c r="A1077" s="2" t="n">
        <v>1065</v>
      </c>
      <c r="B1077" s="22" t="n">
        <v>0.193032219985034</v>
      </c>
      <c r="C1077" s="22" t="n">
        <v>0.682370493908004</v>
      </c>
      <c r="D1077" s="23" t="n">
        <f aca="false">BETAINV(C1077,Test1_Hand!$B$21,Test1_Hand!$B$22,Test1_Hand!$B$9,Test1_Hand!$B$11)</f>
        <v>4.07452422652001</v>
      </c>
      <c r="E1077" s="2" t="n">
        <f aca="false">IF(B1077&lt;Test1_Hand!$B$12,1,0)</f>
        <v>1</v>
      </c>
      <c r="F1077" s="23" t="n">
        <f aca="false">Test1_Hand!$B$4+E1077*D1077</f>
        <v>20.07452422652</v>
      </c>
      <c r="G1077" s="24" t="n">
        <f aca="false">Test1_Hand!$B$6*E1077*D1077+Test1_Hand!$B$7*MAX(0,F1077-Test1_Hand!$B$5)</f>
        <v>32968.8149447601</v>
      </c>
      <c r="H1077" s="2" t="n">
        <f aca="false">IF(B1077&lt;Test1_Hand!$B$13,1,0)</f>
        <v>1</v>
      </c>
      <c r="I1077" s="23" t="n">
        <f aca="false">Test1_Hand!$B$4+H1077*D1077</f>
        <v>20.07452422652</v>
      </c>
      <c r="J1077" s="24" t="n">
        <f aca="false">Test1_Hand!$B$6*H1077*D1077+Test1_Hand!$B$7*MAX(0,I1077-Test1_Hand!$B$5)+Test1_Hand!$B$14</f>
        <v>38968.8149447601</v>
      </c>
    </row>
    <row r="1078" customFormat="false" ht="15" hidden="false" customHeight="false" outlineLevel="0" collapsed="false">
      <c r="A1078" s="2" t="n">
        <v>1066</v>
      </c>
      <c r="B1078" s="22" t="n">
        <v>0.828916627232476</v>
      </c>
      <c r="C1078" s="22" t="n">
        <v>0.986689587721869</v>
      </c>
      <c r="D1078" s="23" t="n">
        <f aca="false">BETAINV(C1078,Test1_Hand!$B$21,Test1_Hand!$B$22,Test1_Hand!$B$9,Test1_Hand!$B$11)</f>
        <v>6.46647644773433</v>
      </c>
      <c r="E1078" s="2" t="n">
        <f aca="false">IF(B1078&lt;Test1_Hand!$B$12,1,0)</f>
        <v>0</v>
      </c>
      <c r="F1078" s="23" t="n">
        <f aca="false">Test1_Hand!$B$4+E1078*D1078</f>
        <v>16</v>
      </c>
      <c r="G1078" s="24" t="n">
        <f aca="false">Test1_Hand!$B$6*E1078*D1078+Test1_Hand!$B$7*MAX(0,F1078-Test1_Hand!$B$5)</f>
        <v>0</v>
      </c>
      <c r="H1078" s="2" t="n">
        <f aca="false">IF(B1078&lt;Test1_Hand!$B$13,1,0)</f>
        <v>0</v>
      </c>
      <c r="I1078" s="23" t="n">
        <f aca="false">Test1_Hand!$B$4+H1078*D1078</f>
        <v>16</v>
      </c>
      <c r="J1078" s="24" t="n">
        <f aca="false">Test1_Hand!$B$6*H1078*D1078+Test1_Hand!$B$7*MAX(0,I1078-Test1_Hand!$B$5)+Test1_Hand!$B$14</f>
        <v>6000</v>
      </c>
    </row>
    <row r="1079" customFormat="false" ht="15" hidden="false" customHeight="false" outlineLevel="0" collapsed="false">
      <c r="A1079" s="2" t="n">
        <v>1067</v>
      </c>
      <c r="B1079" s="22" t="n">
        <v>0.883302155034767</v>
      </c>
      <c r="C1079" s="22" t="n">
        <v>0.756984041505232</v>
      </c>
      <c r="D1079" s="23" t="n">
        <f aca="false">BETAINV(C1079,Test1_Hand!$B$21,Test1_Hand!$B$22,Test1_Hand!$B$9,Test1_Hand!$B$11)</f>
        <v>4.40816882588908</v>
      </c>
      <c r="E1079" s="2" t="n">
        <f aca="false">IF(B1079&lt;Test1_Hand!$B$12,1,0)</f>
        <v>0</v>
      </c>
      <c r="F1079" s="23" t="n">
        <f aca="false">Test1_Hand!$B$4+E1079*D1079</f>
        <v>16</v>
      </c>
      <c r="G1079" s="24" t="n">
        <f aca="false">Test1_Hand!$B$6*E1079*D1079+Test1_Hand!$B$7*MAX(0,F1079-Test1_Hand!$B$5)</f>
        <v>0</v>
      </c>
      <c r="H1079" s="2" t="n">
        <f aca="false">IF(B1079&lt;Test1_Hand!$B$13,1,0)</f>
        <v>0</v>
      </c>
      <c r="I1079" s="23" t="n">
        <f aca="false">Test1_Hand!$B$4+H1079*D1079</f>
        <v>16</v>
      </c>
      <c r="J1079" s="24" t="n">
        <f aca="false">Test1_Hand!$B$6*H1079*D1079+Test1_Hand!$B$7*MAX(0,I1079-Test1_Hand!$B$5)+Test1_Hand!$B$14</f>
        <v>6000</v>
      </c>
    </row>
    <row r="1080" customFormat="false" ht="15" hidden="false" customHeight="false" outlineLevel="0" collapsed="false">
      <c r="A1080" s="2" t="n">
        <v>1068</v>
      </c>
      <c r="B1080" s="22" t="n">
        <v>0.855931069724922</v>
      </c>
      <c r="C1080" s="22" t="n">
        <v>0.870341219419505</v>
      </c>
      <c r="D1080" s="23" t="n">
        <f aca="false">BETAINV(C1080,Test1_Hand!$B$21,Test1_Hand!$B$22,Test1_Hand!$B$9,Test1_Hand!$B$11)</f>
        <v>5.05055237291472</v>
      </c>
      <c r="E1080" s="2" t="n">
        <f aca="false">IF(B1080&lt;Test1_Hand!$B$12,1,0)</f>
        <v>0</v>
      </c>
      <c r="F1080" s="23" t="n">
        <f aca="false">Test1_Hand!$B$4+E1080*D1080</f>
        <v>16</v>
      </c>
      <c r="G1080" s="24" t="n">
        <f aca="false">Test1_Hand!$B$6*E1080*D1080+Test1_Hand!$B$7*MAX(0,F1080-Test1_Hand!$B$5)</f>
        <v>0</v>
      </c>
      <c r="H1080" s="2" t="n">
        <f aca="false">IF(B1080&lt;Test1_Hand!$B$13,1,0)</f>
        <v>0</v>
      </c>
      <c r="I1080" s="23" t="n">
        <f aca="false">Test1_Hand!$B$4+H1080*D1080</f>
        <v>16</v>
      </c>
      <c r="J1080" s="24" t="n">
        <f aca="false">Test1_Hand!$B$6*H1080*D1080+Test1_Hand!$B$7*MAX(0,I1080-Test1_Hand!$B$5)+Test1_Hand!$B$14</f>
        <v>6000</v>
      </c>
    </row>
    <row r="1081" customFormat="false" ht="15" hidden="false" customHeight="false" outlineLevel="0" collapsed="false">
      <c r="A1081" s="2" t="n">
        <v>1069</v>
      </c>
      <c r="B1081" s="22" t="n">
        <v>0.640028160064833</v>
      </c>
      <c r="C1081" s="22" t="n">
        <v>0.510011784628173</v>
      </c>
      <c r="D1081" s="23" t="n">
        <f aca="false">BETAINV(C1081,Test1_Hand!$B$21,Test1_Hand!$B$22,Test1_Hand!$B$9,Test1_Hand!$B$11)</f>
        <v>3.41800678075657</v>
      </c>
      <c r="E1081" s="2" t="n">
        <f aca="false">IF(B1081&lt;Test1_Hand!$B$12,1,0)</f>
        <v>0</v>
      </c>
      <c r="F1081" s="23" t="n">
        <f aca="false">Test1_Hand!$B$4+E1081*D1081</f>
        <v>16</v>
      </c>
      <c r="G1081" s="24" t="n">
        <f aca="false">Test1_Hand!$B$6*E1081*D1081+Test1_Hand!$B$7*MAX(0,F1081-Test1_Hand!$B$5)</f>
        <v>0</v>
      </c>
      <c r="H1081" s="2" t="n">
        <f aca="false">IF(B1081&lt;Test1_Hand!$B$13,1,0)</f>
        <v>0</v>
      </c>
      <c r="I1081" s="23" t="n">
        <f aca="false">Test1_Hand!$B$4+H1081*D1081</f>
        <v>16</v>
      </c>
      <c r="J1081" s="24" t="n">
        <f aca="false">Test1_Hand!$B$6*H1081*D1081+Test1_Hand!$B$7*MAX(0,I1081-Test1_Hand!$B$5)+Test1_Hand!$B$14</f>
        <v>6000</v>
      </c>
    </row>
    <row r="1082" customFormat="false" ht="15" hidden="false" customHeight="false" outlineLevel="0" collapsed="false">
      <c r="A1082" s="2" t="n">
        <v>1070</v>
      </c>
      <c r="B1082" s="22" t="n">
        <v>0.688689634914959</v>
      </c>
      <c r="C1082" s="22" t="n">
        <v>0.728481805225457</v>
      </c>
      <c r="D1082" s="23" t="n">
        <f aca="false">BETAINV(C1082,Test1_Hand!$B$21,Test1_Hand!$B$22,Test1_Hand!$B$9,Test1_Hand!$B$11)</f>
        <v>4.27526367950298</v>
      </c>
      <c r="E1082" s="2" t="n">
        <f aca="false">IF(B1082&lt;Test1_Hand!$B$12,1,0)</f>
        <v>0</v>
      </c>
      <c r="F1082" s="23" t="n">
        <f aca="false">Test1_Hand!$B$4+E1082*D1082</f>
        <v>16</v>
      </c>
      <c r="G1082" s="24" t="n">
        <f aca="false">Test1_Hand!$B$6*E1082*D1082+Test1_Hand!$B$7*MAX(0,F1082-Test1_Hand!$B$5)</f>
        <v>0</v>
      </c>
      <c r="H1082" s="2" t="n">
        <f aca="false">IF(B1082&lt;Test1_Hand!$B$13,1,0)</f>
        <v>0</v>
      </c>
      <c r="I1082" s="23" t="n">
        <f aca="false">Test1_Hand!$B$4+H1082*D1082</f>
        <v>16</v>
      </c>
      <c r="J1082" s="24" t="n">
        <f aca="false">Test1_Hand!$B$6*H1082*D1082+Test1_Hand!$B$7*MAX(0,I1082-Test1_Hand!$B$5)+Test1_Hand!$B$14</f>
        <v>6000</v>
      </c>
    </row>
    <row r="1083" customFormat="false" ht="15" hidden="false" customHeight="false" outlineLevel="0" collapsed="false">
      <c r="A1083" s="2" t="n">
        <v>1071</v>
      </c>
      <c r="B1083" s="22" t="n">
        <v>0.0703968909572122</v>
      </c>
      <c r="C1083" s="22" t="n">
        <v>0.841942747637165</v>
      </c>
      <c r="D1083" s="23" t="n">
        <f aca="false">BETAINV(C1083,Test1_Hand!$B$21,Test1_Hand!$B$22,Test1_Hand!$B$9,Test1_Hand!$B$11)</f>
        <v>4.86569780466372</v>
      </c>
      <c r="E1083" s="2" t="n">
        <f aca="false">IF(B1083&lt;Test1_Hand!$B$12,1,0)</f>
        <v>1</v>
      </c>
      <c r="F1083" s="23" t="n">
        <f aca="false">Test1_Hand!$B$4+E1083*D1083</f>
        <v>20.8656978046637</v>
      </c>
      <c r="G1083" s="24" t="n">
        <f aca="false">Test1_Hand!$B$6*E1083*D1083+Test1_Hand!$B$7*MAX(0,F1083-Test1_Hand!$B$5)</f>
        <v>43254.0714606283</v>
      </c>
      <c r="H1083" s="2" t="n">
        <f aca="false">IF(B1083&lt;Test1_Hand!$B$13,1,0)</f>
        <v>1</v>
      </c>
      <c r="I1083" s="23" t="n">
        <f aca="false">Test1_Hand!$B$4+H1083*D1083</f>
        <v>20.8656978046637</v>
      </c>
      <c r="J1083" s="24" t="n">
        <f aca="false">Test1_Hand!$B$6*H1083*D1083+Test1_Hand!$B$7*MAX(0,I1083-Test1_Hand!$B$5)+Test1_Hand!$B$14</f>
        <v>49254.0714606283</v>
      </c>
    </row>
    <row r="1084" customFormat="false" ht="15" hidden="false" customHeight="false" outlineLevel="0" collapsed="false">
      <c r="A1084" s="2" t="n">
        <v>1072</v>
      </c>
      <c r="B1084" s="22" t="n">
        <v>0.484024106572315</v>
      </c>
      <c r="C1084" s="22" t="n">
        <v>0.55115574689617</v>
      </c>
      <c r="D1084" s="23" t="n">
        <f aca="false">BETAINV(C1084,Test1_Hand!$B$21,Test1_Hand!$B$22,Test1_Hand!$B$9,Test1_Hand!$B$11)</f>
        <v>3.56574726367125</v>
      </c>
      <c r="E1084" s="2" t="n">
        <f aca="false">IF(B1084&lt;Test1_Hand!$B$12,1,0)</f>
        <v>1</v>
      </c>
      <c r="F1084" s="23" t="n">
        <f aca="false">Test1_Hand!$B$4+E1084*D1084</f>
        <v>19.5657472636713</v>
      </c>
      <c r="G1084" s="24" t="n">
        <f aca="false">Test1_Hand!$B$6*E1084*D1084+Test1_Hand!$B$7*MAX(0,F1084-Test1_Hand!$B$5)</f>
        <v>28525.97810937</v>
      </c>
      <c r="H1084" s="2" t="n">
        <f aca="false">IF(B1084&lt;Test1_Hand!$B$13,1,0)</f>
        <v>0</v>
      </c>
      <c r="I1084" s="23" t="n">
        <f aca="false">Test1_Hand!$B$4+H1084*D1084</f>
        <v>16</v>
      </c>
      <c r="J1084" s="24" t="n">
        <f aca="false">Test1_Hand!$B$6*H1084*D1084+Test1_Hand!$B$7*MAX(0,I1084-Test1_Hand!$B$5)+Test1_Hand!$B$14</f>
        <v>6000</v>
      </c>
    </row>
    <row r="1085" customFormat="false" ht="15" hidden="false" customHeight="false" outlineLevel="0" collapsed="false">
      <c r="A1085" s="2" t="n">
        <v>1073</v>
      </c>
      <c r="B1085" s="22" t="n">
        <v>0.42673843659584</v>
      </c>
      <c r="C1085" s="22" t="n">
        <v>0.137060443425108</v>
      </c>
      <c r="D1085" s="23" t="n">
        <f aca="false">BETAINV(C1085,Test1_Hand!$B$21,Test1_Hand!$B$22,Test1_Hand!$B$9,Test1_Hand!$B$11)</f>
        <v>2.07269511230796</v>
      </c>
      <c r="E1085" s="2" t="n">
        <f aca="false">IF(B1085&lt;Test1_Hand!$B$12,1,0)</f>
        <v>1</v>
      </c>
      <c r="F1085" s="23" t="n">
        <f aca="false">Test1_Hand!$B$4+E1085*D1085</f>
        <v>18.072695112308</v>
      </c>
      <c r="G1085" s="24" t="n">
        <f aca="false">Test1_Hand!$B$6*E1085*D1085+Test1_Hand!$B$7*MAX(0,F1085-Test1_Hand!$B$5)</f>
        <v>16581.5608984637</v>
      </c>
      <c r="H1085" s="2" t="n">
        <f aca="false">IF(B1085&lt;Test1_Hand!$B$13,1,0)</f>
        <v>0</v>
      </c>
      <c r="I1085" s="23" t="n">
        <f aca="false">Test1_Hand!$B$4+H1085*D1085</f>
        <v>16</v>
      </c>
      <c r="J1085" s="24" t="n">
        <f aca="false">Test1_Hand!$B$6*H1085*D1085+Test1_Hand!$B$7*MAX(0,I1085-Test1_Hand!$B$5)+Test1_Hand!$B$14</f>
        <v>6000</v>
      </c>
    </row>
    <row r="1086" customFormat="false" ht="15" hidden="false" customHeight="false" outlineLevel="0" collapsed="false">
      <c r="A1086" s="2" t="n">
        <v>1074</v>
      </c>
      <c r="B1086" s="22" t="n">
        <v>0.867265319150334</v>
      </c>
      <c r="C1086" s="22" t="n">
        <v>0.642470001027864</v>
      </c>
      <c r="D1086" s="23" t="n">
        <f aca="false">BETAINV(C1086,Test1_Hand!$B$21,Test1_Hand!$B$22,Test1_Hand!$B$9,Test1_Hand!$B$11)</f>
        <v>3.9118036130066</v>
      </c>
      <c r="E1086" s="2" t="n">
        <f aca="false">IF(B1086&lt;Test1_Hand!$B$12,1,0)</f>
        <v>0</v>
      </c>
      <c r="F1086" s="23" t="n">
        <f aca="false">Test1_Hand!$B$4+E1086*D1086</f>
        <v>16</v>
      </c>
      <c r="G1086" s="24" t="n">
        <f aca="false">Test1_Hand!$B$6*E1086*D1086+Test1_Hand!$B$7*MAX(0,F1086-Test1_Hand!$B$5)</f>
        <v>0</v>
      </c>
      <c r="H1086" s="2" t="n">
        <f aca="false">IF(B1086&lt;Test1_Hand!$B$13,1,0)</f>
        <v>0</v>
      </c>
      <c r="I1086" s="23" t="n">
        <f aca="false">Test1_Hand!$B$4+H1086*D1086</f>
        <v>16</v>
      </c>
      <c r="J1086" s="24" t="n">
        <f aca="false">Test1_Hand!$B$6*H1086*D1086+Test1_Hand!$B$7*MAX(0,I1086-Test1_Hand!$B$5)+Test1_Hand!$B$14</f>
        <v>6000</v>
      </c>
    </row>
    <row r="1087" customFormat="false" ht="15" hidden="false" customHeight="false" outlineLevel="0" collapsed="false">
      <c r="A1087" s="2" t="n">
        <v>1075</v>
      </c>
      <c r="B1087" s="22" t="n">
        <v>0.246609107066874</v>
      </c>
      <c r="C1087" s="22" t="n">
        <v>0.356930729096854</v>
      </c>
      <c r="D1087" s="23" t="n">
        <f aca="false">BETAINV(C1087,Test1_Hand!$B$21,Test1_Hand!$B$22,Test1_Hand!$B$9,Test1_Hand!$B$11)</f>
        <v>2.8877675122927</v>
      </c>
      <c r="E1087" s="2" t="n">
        <f aca="false">IF(B1087&lt;Test1_Hand!$B$12,1,0)</f>
        <v>1</v>
      </c>
      <c r="F1087" s="23" t="n">
        <f aca="false">Test1_Hand!$B$4+E1087*D1087</f>
        <v>18.8877675122927</v>
      </c>
      <c r="G1087" s="24" t="n">
        <f aca="false">Test1_Hand!$B$6*E1087*D1087+Test1_Hand!$B$7*MAX(0,F1087-Test1_Hand!$B$5)</f>
        <v>23102.1400983416</v>
      </c>
      <c r="H1087" s="2" t="n">
        <f aca="false">IF(B1087&lt;Test1_Hand!$B$13,1,0)</f>
        <v>0</v>
      </c>
      <c r="I1087" s="23" t="n">
        <f aca="false">Test1_Hand!$B$4+H1087*D1087</f>
        <v>16</v>
      </c>
      <c r="J1087" s="24" t="n">
        <f aca="false">Test1_Hand!$B$6*H1087*D1087+Test1_Hand!$B$7*MAX(0,I1087-Test1_Hand!$B$5)+Test1_Hand!$B$14</f>
        <v>6000</v>
      </c>
    </row>
    <row r="1088" customFormat="false" ht="15" hidden="false" customHeight="false" outlineLevel="0" collapsed="false">
      <c r="A1088" s="2" t="n">
        <v>1076</v>
      </c>
      <c r="B1088" s="22" t="n">
        <v>0.482130322348026</v>
      </c>
      <c r="C1088" s="22" t="n">
        <v>0.196855514985834</v>
      </c>
      <c r="D1088" s="23" t="n">
        <f aca="false">BETAINV(C1088,Test1_Hand!$B$21,Test1_Hand!$B$22,Test1_Hand!$B$9,Test1_Hand!$B$11)</f>
        <v>2.31465351277343</v>
      </c>
      <c r="E1088" s="2" t="n">
        <f aca="false">IF(B1088&lt;Test1_Hand!$B$12,1,0)</f>
        <v>1</v>
      </c>
      <c r="F1088" s="23" t="n">
        <f aca="false">Test1_Hand!$B$4+E1088*D1088</f>
        <v>18.3146535127734</v>
      </c>
      <c r="G1088" s="24" t="n">
        <f aca="false">Test1_Hand!$B$6*E1088*D1088+Test1_Hand!$B$7*MAX(0,F1088-Test1_Hand!$B$5)</f>
        <v>18517.2281021874</v>
      </c>
      <c r="H1088" s="2" t="n">
        <f aca="false">IF(B1088&lt;Test1_Hand!$B$13,1,0)</f>
        <v>0</v>
      </c>
      <c r="I1088" s="23" t="n">
        <f aca="false">Test1_Hand!$B$4+H1088*D1088</f>
        <v>16</v>
      </c>
      <c r="J1088" s="24" t="n">
        <f aca="false">Test1_Hand!$B$6*H1088*D1088+Test1_Hand!$B$7*MAX(0,I1088-Test1_Hand!$B$5)+Test1_Hand!$B$14</f>
        <v>6000</v>
      </c>
    </row>
    <row r="1089" customFormat="false" ht="15" hidden="false" customHeight="false" outlineLevel="0" collapsed="false">
      <c r="A1089" s="2" t="n">
        <v>1077</v>
      </c>
      <c r="B1089" s="22" t="n">
        <v>0.594726947015497</v>
      </c>
      <c r="C1089" s="22" t="n">
        <v>0.460313369791275</v>
      </c>
      <c r="D1089" s="23" t="n">
        <f aca="false">BETAINV(C1089,Test1_Hand!$B$21,Test1_Hand!$B$22,Test1_Hand!$B$9,Test1_Hand!$B$11)</f>
        <v>3.2437423495087</v>
      </c>
      <c r="E1089" s="2" t="n">
        <f aca="false">IF(B1089&lt;Test1_Hand!$B$12,1,0)</f>
        <v>0</v>
      </c>
      <c r="F1089" s="23" t="n">
        <f aca="false">Test1_Hand!$B$4+E1089*D1089</f>
        <v>16</v>
      </c>
      <c r="G1089" s="24" t="n">
        <f aca="false">Test1_Hand!$B$6*E1089*D1089+Test1_Hand!$B$7*MAX(0,F1089-Test1_Hand!$B$5)</f>
        <v>0</v>
      </c>
      <c r="H1089" s="2" t="n">
        <f aca="false">IF(B1089&lt;Test1_Hand!$B$13,1,0)</f>
        <v>0</v>
      </c>
      <c r="I1089" s="23" t="n">
        <f aca="false">Test1_Hand!$B$4+H1089*D1089</f>
        <v>16</v>
      </c>
      <c r="J1089" s="24" t="n">
        <f aca="false">Test1_Hand!$B$6*H1089*D1089+Test1_Hand!$B$7*MAX(0,I1089-Test1_Hand!$B$5)+Test1_Hand!$B$14</f>
        <v>6000</v>
      </c>
    </row>
    <row r="1090" customFormat="false" ht="15" hidden="false" customHeight="false" outlineLevel="0" collapsed="false">
      <c r="A1090" s="2" t="n">
        <v>1078</v>
      </c>
      <c r="B1090" s="22" t="n">
        <v>0.775532677503268</v>
      </c>
      <c r="C1090" s="22" t="n">
        <v>0.794479012034223</v>
      </c>
      <c r="D1090" s="23" t="n">
        <f aca="false">BETAINV(C1090,Test1_Hand!$B$21,Test1_Hand!$B$22,Test1_Hand!$B$9,Test1_Hand!$B$11)</f>
        <v>4.59656399047685</v>
      </c>
      <c r="E1090" s="2" t="n">
        <f aca="false">IF(B1090&lt;Test1_Hand!$B$12,1,0)</f>
        <v>0</v>
      </c>
      <c r="F1090" s="23" t="n">
        <f aca="false">Test1_Hand!$B$4+E1090*D1090</f>
        <v>16</v>
      </c>
      <c r="G1090" s="24" t="n">
        <f aca="false">Test1_Hand!$B$6*E1090*D1090+Test1_Hand!$B$7*MAX(0,F1090-Test1_Hand!$B$5)</f>
        <v>0</v>
      </c>
      <c r="H1090" s="2" t="n">
        <f aca="false">IF(B1090&lt;Test1_Hand!$B$13,1,0)</f>
        <v>0</v>
      </c>
      <c r="I1090" s="23" t="n">
        <f aca="false">Test1_Hand!$B$4+H1090*D1090</f>
        <v>16</v>
      </c>
      <c r="J1090" s="24" t="n">
        <f aca="false">Test1_Hand!$B$6*H1090*D1090+Test1_Hand!$B$7*MAX(0,I1090-Test1_Hand!$B$5)+Test1_Hand!$B$14</f>
        <v>6000</v>
      </c>
    </row>
    <row r="1091" customFormat="false" ht="15" hidden="false" customHeight="false" outlineLevel="0" collapsed="false">
      <c r="A1091" s="2" t="n">
        <v>1079</v>
      </c>
      <c r="B1091" s="22" t="n">
        <v>0.728069915791927</v>
      </c>
      <c r="C1091" s="22" t="n">
        <v>0.485263266775123</v>
      </c>
      <c r="D1091" s="23" t="n">
        <f aca="false">BETAINV(C1091,Test1_Hand!$B$21,Test1_Hand!$B$22,Test1_Hand!$B$9,Test1_Hand!$B$11)</f>
        <v>3.3307664425367</v>
      </c>
      <c r="E1091" s="2" t="n">
        <f aca="false">IF(B1091&lt;Test1_Hand!$B$12,1,0)</f>
        <v>0</v>
      </c>
      <c r="F1091" s="23" t="n">
        <f aca="false">Test1_Hand!$B$4+E1091*D1091</f>
        <v>16</v>
      </c>
      <c r="G1091" s="24" t="n">
        <f aca="false">Test1_Hand!$B$6*E1091*D1091+Test1_Hand!$B$7*MAX(0,F1091-Test1_Hand!$B$5)</f>
        <v>0</v>
      </c>
      <c r="H1091" s="2" t="n">
        <f aca="false">IF(B1091&lt;Test1_Hand!$B$13,1,0)</f>
        <v>0</v>
      </c>
      <c r="I1091" s="23" t="n">
        <f aca="false">Test1_Hand!$B$4+H1091*D1091</f>
        <v>16</v>
      </c>
      <c r="J1091" s="24" t="n">
        <f aca="false">Test1_Hand!$B$6*H1091*D1091+Test1_Hand!$B$7*MAX(0,I1091-Test1_Hand!$B$5)+Test1_Hand!$B$14</f>
        <v>6000</v>
      </c>
    </row>
    <row r="1092" customFormat="false" ht="15" hidden="false" customHeight="false" outlineLevel="0" collapsed="false">
      <c r="A1092" s="2" t="n">
        <v>1080</v>
      </c>
      <c r="B1092" s="22" t="n">
        <v>0.553255410746367</v>
      </c>
      <c r="C1092" s="22" t="n">
        <v>0.296623120558515</v>
      </c>
      <c r="D1092" s="23" t="n">
        <f aca="false">BETAINV(C1092,Test1_Hand!$B$21,Test1_Hand!$B$22,Test1_Hand!$B$9,Test1_Hand!$B$11)</f>
        <v>2.6784843734277</v>
      </c>
      <c r="E1092" s="2" t="n">
        <f aca="false">IF(B1092&lt;Test1_Hand!$B$12,1,0)</f>
        <v>0</v>
      </c>
      <c r="F1092" s="23" t="n">
        <f aca="false">Test1_Hand!$B$4+E1092*D1092</f>
        <v>16</v>
      </c>
      <c r="G1092" s="24" t="n">
        <f aca="false">Test1_Hand!$B$6*E1092*D1092+Test1_Hand!$B$7*MAX(0,F1092-Test1_Hand!$B$5)</f>
        <v>0</v>
      </c>
      <c r="H1092" s="2" t="n">
        <f aca="false">IF(B1092&lt;Test1_Hand!$B$13,1,0)</f>
        <v>0</v>
      </c>
      <c r="I1092" s="23" t="n">
        <f aca="false">Test1_Hand!$B$4+H1092*D1092</f>
        <v>16</v>
      </c>
      <c r="J1092" s="24" t="n">
        <f aca="false">Test1_Hand!$B$6*H1092*D1092+Test1_Hand!$B$7*MAX(0,I1092-Test1_Hand!$B$5)+Test1_Hand!$B$14</f>
        <v>6000</v>
      </c>
    </row>
    <row r="1093" customFormat="false" ht="15" hidden="false" customHeight="false" outlineLevel="0" collapsed="false">
      <c r="A1093" s="2" t="n">
        <v>1081</v>
      </c>
      <c r="B1093" s="22" t="n">
        <v>0.322868197577796</v>
      </c>
      <c r="C1093" s="22" t="n">
        <v>0.0972771866353344</v>
      </c>
      <c r="D1093" s="23" t="n">
        <f aca="false">BETAINV(C1093,Test1_Hand!$B$21,Test1_Hand!$B$22,Test1_Hand!$B$9,Test1_Hand!$B$11)</f>
        <v>1.89113710795444</v>
      </c>
      <c r="E1093" s="2" t="n">
        <f aca="false">IF(B1093&lt;Test1_Hand!$B$12,1,0)</f>
        <v>1</v>
      </c>
      <c r="F1093" s="23" t="n">
        <f aca="false">Test1_Hand!$B$4+E1093*D1093</f>
        <v>17.8911371079544</v>
      </c>
      <c r="G1093" s="24" t="n">
        <f aca="false">Test1_Hand!$B$6*E1093*D1093+Test1_Hand!$B$7*MAX(0,F1093-Test1_Hand!$B$5)</f>
        <v>15129.0968636356</v>
      </c>
      <c r="H1093" s="2" t="n">
        <f aca="false">IF(B1093&lt;Test1_Hand!$B$13,1,0)</f>
        <v>0</v>
      </c>
      <c r="I1093" s="23" t="n">
        <f aca="false">Test1_Hand!$B$4+H1093*D1093</f>
        <v>16</v>
      </c>
      <c r="J1093" s="24" t="n">
        <f aca="false">Test1_Hand!$B$6*H1093*D1093+Test1_Hand!$B$7*MAX(0,I1093-Test1_Hand!$B$5)+Test1_Hand!$B$14</f>
        <v>6000</v>
      </c>
    </row>
    <row r="1094" customFormat="false" ht="15" hidden="false" customHeight="false" outlineLevel="0" collapsed="false">
      <c r="A1094" s="2" t="n">
        <v>1082</v>
      </c>
      <c r="B1094" s="22" t="n">
        <v>0.89862797853875</v>
      </c>
      <c r="C1094" s="22" t="n">
        <v>0.355013906880459</v>
      </c>
      <c r="D1094" s="23" t="n">
        <f aca="false">BETAINV(C1094,Test1_Hand!$B$21,Test1_Hand!$B$22,Test1_Hand!$B$9,Test1_Hand!$B$11)</f>
        <v>2.88116835832611</v>
      </c>
      <c r="E1094" s="2" t="n">
        <f aca="false">IF(B1094&lt;Test1_Hand!$B$12,1,0)</f>
        <v>0</v>
      </c>
      <c r="F1094" s="23" t="n">
        <f aca="false">Test1_Hand!$B$4+E1094*D1094</f>
        <v>16</v>
      </c>
      <c r="G1094" s="24" t="n">
        <f aca="false">Test1_Hand!$B$6*E1094*D1094+Test1_Hand!$B$7*MAX(0,F1094-Test1_Hand!$B$5)</f>
        <v>0</v>
      </c>
      <c r="H1094" s="2" t="n">
        <f aca="false">IF(B1094&lt;Test1_Hand!$B$13,1,0)</f>
        <v>0</v>
      </c>
      <c r="I1094" s="23" t="n">
        <f aca="false">Test1_Hand!$B$4+H1094*D1094</f>
        <v>16</v>
      </c>
      <c r="J1094" s="24" t="n">
        <f aca="false">Test1_Hand!$B$6*H1094*D1094+Test1_Hand!$B$7*MAX(0,I1094-Test1_Hand!$B$5)+Test1_Hand!$B$14</f>
        <v>6000</v>
      </c>
    </row>
    <row r="1095" customFormat="false" ht="15" hidden="false" customHeight="false" outlineLevel="0" collapsed="false">
      <c r="A1095" s="2" t="n">
        <v>1083</v>
      </c>
      <c r="B1095" s="22" t="n">
        <v>0.401092164848717</v>
      </c>
      <c r="C1095" s="22" t="n">
        <v>0.469322505846853</v>
      </c>
      <c r="D1095" s="23" t="n">
        <f aca="false">BETAINV(C1095,Test1_Hand!$B$21,Test1_Hand!$B$22,Test1_Hand!$B$9,Test1_Hand!$B$11)</f>
        <v>3.27507401672704</v>
      </c>
      <c r="E1095" s="2" t="n">
        <f aca="false">IF(B1095&lt;Test1_Hand!$B$12,1,0)</f>
        <v>1</v>
      </c>
      <c r="F1095" s="23" t="n">
        <f aca="false">Test1_Hand!$B$4+E1095*D1095</f>
        <v>19.275074016727</v>
      </c>
      <c r="G1095" s="24" t="n">
        <f aca="false">Test1_Hand!$B$6*E1095*D1095+Test1_Hand!$B$7*MAX(0,F1095-Test1_Hand!$B$5)</f>
        <v>26200.5921338163</v>
      </c>
      <c r="H1095" s="2" t="n">
        <f aca="false">IF(B1095&lt;Test1_Hand!$B$13,1,0)</f>
        <v>0</v>
      </c>
      <c r="I1095" s="23" t="n">
        <f aca="false">Test1_Hand!$B$4+H1095*D1095</f>
        <v>16</v>
      </c>
      <c r="J1095" s="24" t="n">
        <f aca="false">Test1_Hand!$B$6*H1095*D1095+Test1_Hand!$B$7*MAX(0,I1095-Test1_Hand!$B$5)+Test1_Hand!$B$14</f>
        <v>6000</v>
      </c>
    </row>
    <row r="1096" customFormat="false" ht="15" hidden="false" customHeight="false" outlineLevel="0" collapsed="false">
      <c r="A1096" s="2" t="n">
        <v>1084</v>
      </c>
      <c r="B1096" s="22" t="n">
        <v>0.935044568661162</v>
      </c>
      <c r="C1096" s="22" t="n">
        <v>0.680600466620111</v>
      </c>
      <c r="D1096" s="23" t="n">
        <f aca="false">BETAINV(C1096,Test1_Hand!$B$21,Test1_Hand!$B$22,Test1_Hand!$B$9,Test1_Hand!$B$11)</f>
        <v>4.06711245373236</v>
      </c>
      <c r="E1096" s="2" t="n">
        <f aca="false">IF(B1096&lt;Test1_Hand!$B$12,1,0)</f>
        <v>0</v>
      </c>
      <c r="F1096" s="23" t="n">
        <f aca="false">Test1_Hand!$B$4+E1096*D1096</f>
        <v>16</v>
      </c>
      <c r="G1096" s="24" t="n">
        <f aca="false">Test1_Hand!$B$6*E1096*D1096+Test1_Hand!$B$7*MAX(0,F1096-Test1_Hand!$B$5)</f>
        <v>0</v>
      </c>
      <c r="H1096" s="2" t="n">
        <f aca="false">IF(B1096&lt;Test1_Hand!$B$13,1,0)</f>
        <v>0</v>
      </c>
      <c r="I1096" s="23" t="n">
        <f aca="false">Test1_Hand!$B$4+H1096*D1096</f>
        <v>16</v>
      </c>
      <c r="J1096" s="24" t="n">
        <f aca="false">Test1_Hand!$B$6*H1096*D1096+Test1_Hand!$B$7*MAX(0,I1096-Test1_Hand!$B$5)+Test1_Hand!$B$14</f>
        <v>6000</v>
      </c>
    </row>
    <row r="1097" customFormat="false" ht="15" hidden="false" customHeight="false" outlineLevel="0" collapsed="false">
      <c r="A1097" s="2" t="n">
        <v>1085</v>
      </c>
      <c r="B1097" s="22" t="n">
        <v>0.82193953007442</v>
      </c>
      <c r="C1097" s="22" t="n">
        <v>0.18013749372228</v>
      </c>
      <c r="D1097" s="23" t="n">
        <f aca="false">BETAINV(C1097,Test1_Hand!$B$21,Test1_Hand!$B$22,Test1_Hand!$B$9,Test1_Hand!$B$11)</f>
        <v>2.24961589296748</v>
      </c>
      <c r="E1097" s="2" t="n">
        <f aca="false">IF(B1097&lt;Test1_Hand!$B$12,1,0)</f>
        <v>0</v>
      </c>
      <c r="F1097" s="23" t="n">
        <f aca="false">Test1_Hand!$B$4+E1097*D1097</f>
        <v>16</v>
      </c>
      <c r="G1097" s="24" t="n">
        <f aca="false">Test1_Hand!$B$6*E1097*D1097+Test1_Hand!$B$7*MAX(0,F1097-Test1_Hand!$B$5)</f>
        <v>0</v>
      </c>
      <c r="H1097" s="2" t="n">
        <f aca="false">IF(B1097&lt;Test1_Hand!$B$13,1,0)</f>
        <v>0</v>
      </c>
      <c r="I1097" s="23" t="n">
        <f aca="false">Test1_Hand!$B$4+H1097*D1097</f>
        <v>16</v>
      </c>
      <c r="J1097" s="24" t="n">
        <f aca="false">Test1_Hand!$B$6*H1097*D1097+Test1_Hand!$B$7*MAX(0,I1097-Test1_Hand!$B$5)+Test1_Hand!$B$14</f>
        <v>6000</v>
      </c>
    </row>
    <row r="1098" customFormat="false" ht="15" hidden="false" customHeight="false" outlineLevel="0" collapsed="false">
      <c r="A1098" s="2" t="n">
        <v>1086</v>
      </c>
      <c r="B1098" s="22" t="n">
        <v>0.188339222422984</v>
      </c>
      <c r="C1098" s="22" t="n">
        <v>0.122101233308044</v>
      </c>
      <c r="D1098" s="23" t="n">
        <f aca="false">BETAINV(C1098,Test1_Hand!$B$21,Test1_Hand!$B$22,Test1_Hand!$B$9,Test1_Hand!$B$11)</f>
        <v>2.00702635810647</v>
      </c>
      <c r="E1098" s="2" t="n">
        <f aca="false">IF(B1098&lt;Test1_Hand!$B$12,1,0)</f>
        <v>1</v>
      </c>
      <c r="F1098" s="23" t="n">
        <f aca="false">Test1_Hand!$B$4+E1098*D1098</f>
        <v>18.0070263581065</v>
      </c>
      <c r="G1098" s="24" t="n">
        <f aca="false">Test1_Hand!$B$6*E1098*D1098+Test1_Hand!$B$7*MAX(0,F1098-Test1_Hand!$B$5)</f>
        <v>16056.2108648517</v>
      </c>
      <c r="H1098" s="2" t="n">
        <f aca="false">IF(B1098&lt;Test1_Hand!$B$13,1,0)</f>
        <v>1</v>
      </c>
      <c r="I1098" s="23" t="n">
        <f aca="false">Test1_Hand!$B$4+H1098*D1098</f>
        <v>18.0070263581065</v>
      </c>
      <c r="J1098" s="24" t="n">
        <f aca="false">Test1_Hand!$B$6*H1098*D1098+Test1_Hand!$B$7*MAX(0,I1098-Test1_Hand!$B$5)+Test1_Hand!$B$14</f>
        <v>22056.2108648517</v>
      </c>
    </row>
    <row r="1099" customFormat="false" ht="15" hidden="false" customHeight="false" outlineLevel="0" collapsed="false">
      <c r="A1099" s="2" t="n">
        <v>1087</v>
      </c>
      <c r="B1099" s="22" t="n">
        <v>0.989167945355578</v>
      </c>
      <c r="C1099" s="22" t="n">
        <v>0.644068381252745</v>
      </c>
      <c r="D1099" s="23" t="n">
        <f aca="false">BETAINV(C1099,Test1_Hand!$B$21,Test1_Hand!$B$22,Test1_Hand!$B$9,Test1_Hand!$B$11)</f>
        <v>3.91815998247938</v>
      </c>
      <c r="E1099" s="2" t="n">
        <f aca="false">IF(B1099&lt;Test1_Hand!$B$12,1,0)</f>
        <v>0</v>
      </c>
      <c r="F1099" s="23" t="n">
        <f aca="false">Test1_Hand!$B$4+E1099*D1099</f>
        <v>16</v>
      </c>
      <c r="G1099" s="24" t="n">
        <f aca="false">Test1_Hand!$B$6*E1099*D1099+Test1_Hand!$B$7*MAX(0,F1099-Test1_Hand!$B$5)</f>
        <v>0</v>
      </c>
      <c r="H1099" s="2" t="n">
        <f aca="false">IF(B1099&lt;Test1_Hand!$B$13,1,0)</f>
        <v>0</v>
      </c>
      <c r="I1099" s="23" t="n">
        <f aca="false">Test1_Hand!$B$4+H1099*D1099</f>
        <v>16</v>
      </c>
      <c r="J1099" s="24" t="n">
        <f aca="false">Test1_Hand!$B$6*H1099*D1099+Test1_Hand!$B$7*MAX(0,I1099-Test1_Hand!$B$5)+Test1_Hand!$B$14</f>
        <v>6000</v>
      </c>
    </row>
    <row r="1100" customFormat="false" ht="15" hidden="false" customHeight="false" outlineLevel="0" collapsed="false">
      <c r="A1100" s="2" t="n">
        <v>1088</v>
      </c>
      <c r="B1100" s="22" t="n">
        <v>0.456035622638386</v>
      </c>
      <c r="C1100" s="22" t="n">
        <v>0.520152499630884</v>
      </c>
      <c r="D1100" s="23" t="n">
        <f aca="false">BETAINV(C1100,Test1_Hand!$B$21,Test1_Hand!$B$22,Test1_Hand!$B$9,Test1_Hand!$B$11)</f>
        <v>3.4540751760656</v>
      </c>
      <c r="E1100" s="2" t="n">
        <f aca="false">IF(B1100&lt;Test1_Hand!$B$12,1,0)</f>
        <v>1</v>
      </c>
      <c r="F1100" s="23" t="n">
        <f aca="false">Test1_Hand!$B$4+E1100*D1100</f>
        <v>19.4540751760656</v>
      </c>
      <c r="G1100" s="24" t="n">
        <f aca="false">Test1_Hand!$B$6*E1100*D1100+Test1_Hand!$B$7*MAX(0,F1100-Test1_Hand!$B$5)</f>
        <v>27632.6014085248</v>
      </c>
      <c r="H1100" s="2" t="n">
        <f aca="false">IF(B1100&lt;Test1_Hand!$B$13,1,0)</f>
        <v>0</v>
      </c>
      <c r="I1100" s="23" t="n">
        <f aca="false">Test1_Hand!$B$4+H1100*D1100</f>
        <v>16</v>
      </c>
      <c r="J1100" s="24" t="n">
        <f aca="false">Test1_Hand!$B$6*H1100*D1100+Test1_Hand!$B$7*MAX(0,I1100-Test1_Hand!$B$5)+Test1_Hand!$B$14</f>
        <v>6000</v>
      </c>
    </row>
    <row r="1101" customFormat="false" ht="15" hidden="false" customHeight="false" outlineLevel="0" collapsed="false">
      <c r="A1101" s="2" t="n">
        <v>1089</v>
      </c>
      <c r="B1101" s="22" t="n">
        <v>0.681749679064315</v>
      </c>
      <c r="C1101" s="22" t="n">
        <v>0.821190335370255</v>
      </c>
      <c r="D1101" s="23" t="n">
        <f aca="false">BETAINV(C1101,Test1_Hand!$B$21,Test1_Hand!$B$22,Test1_Hand!$B$9,Test1_Hand!$B$11)</f>
        <v>4.74292701441109</v>
      </c>
      <c r="E1101" s="2" t="n">
        <f aca="false">IF(B1101&lt;Test1_Hand!$B$12,1,0)</f>
        <v>0</v>
      </c>
      <c r="F1101" s="23" t="n">
        <f aca="false">Test1_Hand!$B$4+E1101*D1101</f>
        <v>16</v>
      </c>
      <c r="G1101" s="24" t="n">
        <f aca="false">Test1_Hand!$B$6*E1101*D1101+Test1_Hand!$B$7*MAX(0,F1101-Test1_Hand!$B$5)</f>
        <v>0</v>
      </c>
      <c r="H1101" s="2" t="n">
        <f aca="false">IF(B1101&lt;Test1_Hand!$B$13,1,0)</f>
        <v>0</v>
      </c>
      <c r="I1101" s="23" t="n">
        <f aca="false">Test1_Hand!$B$4+H1101*D1101</f>
        <v>16</v>
      </c>
      <c r="J1101" s="24" t="n">
        <f aca="false">Test1_Hand!$B$6*H1101*D1101+Test1_Hand!$B$7*MAX(0,I1101-Test1_Hand!$B$5)+Test1_Hand!$B$14</f>
        <v>6000</v>
      </c>
    </row>
    <row r="1102" customFormat="false" ht="15" hidden="false" customHeight="false" outlineLevel="0" collapsed="false">
      <c r="A1102" s="2" t="n">
        <v>1090</v>
      </c>
      <c r="B1102" s="22" t="n">
        <v>0.636878031549304</v>
      </c>
      <c r="C1102" s="22" t="n">
        <v>0.766452687498544</v>
      </c>
      <c r="D1102" s="23" t="n">
        <f aca="false">BETAINV(C1102,Test1_Hand!$B$21,Test1_Hand!$B$22,Test1_Hand!$B$9,Test1_Hand!$B$11)</f>
        <v>4.45414359432759</v>
      </c>
      <c r="E1102" s="2" t="n">
        <f aca="false">IF(B1102&lt;Test1_Hand!$B$12,1,0)</f>
        <v>0</v>
      </c>
      <c r="F1102" s="23" t="n">
        <f aca="false">Test1_Hand!$B$4+E1102*D1102</f>
        <v>16</v>
      </c>
      <c r="G1102" s="24" t="n">
        <f aca="false">Test1_Hand!$B$6*E1102*D1102+Test1_Hand!$B$7*MAX(0,F1102-Test1_Hand!$B$5)</f>
        <v>0</v>
      </c>
      <c r="H1102" s="2" t="n">
        <f aca="false">IF(B1102&lt;Test1_Hand!$B$13,1,0)</f>
        <v>0</v>
      </c>
      <c r="I1102" s="23" t="n">
        <f aca="false">Test1_Hand!$B$4+H1102*D1102</f>
        <v>16</v>
      </c>
      <c r="J1102" s="24" t="n">
        <f aca="false">Test1_Hand!$B$6*H1102*D1102+Test1_Hand!$B$7*MAX(0,I1102-Test1_Hand!$B$5)+Test1_Hand!$B$14</f>
        <v>6000</v>
      </c>
    </row>
    <row r="1103" customFormat="false" ht="15" hidden="false" customHeight="false" outlineLevel="0" collapsed="false">
      <c r="A1103" s="2" t="n">
        <v>1091</v>
      </c>
      <c r="B1103" s="22" t="n">
        <v>0.0237296753845417</v>
      </c>
      <c r="C1103" s="22" t="n">
        <v>0.167375652351477</v>
      </c>
      <c r="D1103" s="23" t="n">
        <f aca="false">BETAINV(C1103,Test1_Hand!$B$21,Test1_Hand!$B$22,Test1_Hand!$B$9,Test1_Hand!$B$11)</f>
        <v>2.19876266967612</v>
      </c>
      <c r="E1103" s="2" t="n">
        <f aca="false">IF(B1103&lt;Test1_Hand!$B$12,1,0)</f>
        <v>1</v>
      </c>
      <c r="F1103" s="23" t="n">
        <f aca="false">Test1_Hand!$B$4+E1103*D1103</f>
        <v>18.1987626696761</v>
      </c>
      <c r="G1103" s="24" t="n">
        <f aca="false">Test1_Hand!$B$6*E1103*D1103+Test1_Hand!$B$7*MAX(0,F1103-Test1_Hand!$B$5)</f>
        <v>17590.101357409</v>
      </c>
      <c r="H1103" s="2" t="n">
        <f aca="false">IF(B1103&lt;Test1_Hand!$B$13,1,0)</f>
        <v>1</v>
      </c>
      <c r="I1103" s="23" t="n">
        <f aca="false">Test1_Hand!$B$4+H1103*D1103</f>
        <v>18.1987626696761</v>
      </c>
      <c r="J1103" s="24" t="n">
        <f aca="false">Test1_Hand!$B$6*H1103*D1103+Test1_Hand!$B$7*MAX(0,I1103-Test1_Hand!$B$5)+Test1_Hand!$B$14</f>
        <v>23590.101357409</v>
      </c>
    </row>
    <row r="1104" customFormat="false" ht="15" hidden="false" customHeight="false" outlineLevel="0" collapsed="false">
      <c r="A1104" s="2" t="n">
        <v>1092</v>
      </c>
      <c r="B1104" s="22" t="n">
        <v>0.972425179454126</v>
      </c>
      <c r="C1104" s="22" t="n">
        <v>0.865282889564041</v>
      </c>
      <c r="D1104" s="23" t="n">
        <f aca="false">BETAINV(C1104,Test1_Hand!$B$21,Test1_Hand!$B$22,Test1_Hand!$B$9,Test1_Hand!$B$11)</f>
        <v>5.0159375124867</v>
      </c>
      <c r="E1104" s="2" t="n">
        <f aca="false">IF(B1104&lt;Test1_Hand!$B$12,1,0)</f>
        <v>0</v>
      </c>
      <c r="F1104" s="23" t="n">
        <f aca="false">Test1_Hand!$B$4+E1104*D1104</f>
        <v>16</v>
      </c>
      <c r="G1104" s="24" t="n">
        <f aca="false">Test1_Hand!$B$6*E1104*D1104+Test1_Hand!$B$7*MAX(0,F1104-Test1_Hand!$B$5)</f>
        <v>0</v>
      </c>
      <c r="H1104" s="2" t="n">
        <f aca="false">IF(B1104&lt;Test1_Hand!$B$13,1,0)</f>
        <v>0</v>
      </c>
      <c r="I1104" s="23" t="n">
        <f aca="false">Test1_Hand!$B$4+H1104*D1104</f>
        <v>16</v>
      </c>
      <c r="J1104" s="24" t="n">
        <f aca="false">Test1_Hand!$B$6*H1104*D1104+Test1_Hand!$B$7*MAX(0,I1104-Test1_Hand!$B$5)+Test1_Hand!$B$14</f>
        <v>6000</v>
      </c>
    </row>
    <row r="1105" customFormat="false" ht="15" hidden="false" customHeight="false" outlineLevel="0" collapsed="false">
      <c r="A1105" s="2" t="n">
        <v>1093</v>
      </c>
      <c r="B1105" s="22" t="n">
        <v>0.430516264167935</v>
      </c>
      <c r="C1105" s="22" t="n">
        <v>0.397587344689172</v>
      </c>
      <c r="D1105" s="23" t="n">
        <f aca="false">BETAINV(C1105,Test1_Hand!$B$21,Test1_Hand!$B$22,Test1_Hand!$B$9,Test1_Hand!$B$11)</f>
        <v>3.02745321021625</v>
      </c>
      <c r="E1105" s="2" t="n">
        <f aca="false">IF(B1105&lt;Test1_Hand!$B$12,1,0)</f>
        <v>1</v>
      </c>
      <c r="F1105" s="23" t="n">
        <f aca="false">Test1_Hand!$B$4+E1105*D1105</f>
        <v>19.0274532102163</v>
      </c>
      <c r="G1105" s="24" t="n">
        <f aca="false">Test1_Hand!$B$6*E1105*D1105+Test1_Hand!$B$7*MAX(0,F1105-Test1_Hand!$B$5)</f>
        <v>24219.62568173</v>
      </c>
      <c r="H1105" s="2" t="n">
        <f aca="false">IF(B1105&lt;Test1_Hand!$B$13,1,0)</f>
        <v>0</v>
      </c>
      <c r="I1105" s="23" t="n">
        <f aca="false">Test1_Hand!$B$4+H1105*D1105</f>
        <v>16</v>
      </c>
      <c r="J1105" s="24" t="n">
        <f aca="false">Test1_Hand!$B$6*H1105*D1105+Test1_Hand!$B$7*MAX(0,I1105-Test1_Hand!$B$5)+Test1_Hand!$B$14</f>
        <v>6000</v>
      </c>
    </row>
    <row r="1106" customFormat="false" ht="15" hidden="false" customHeight="false" outlineLevel="0" collapsed="false">
      <c r="A1106" s="2" t="n">
        <v>1094</v>
      </c>
      <c r="B1106" s="22" t="n">
        <v>0.1501563820711</v>
      </c>
      <c r="C1106" s="22" t="n">
        <v>0.114020895815687</v>
      </c>
      <c r="D1106" s="23" t="n">
        <f aca="false">BETAINV(C1106,Test1_Hand!$B$21,Test1_Hand!$B$22,Test1_Hand!$B$9,Test1_Hand!$B$11)</f>
        <v>1.97035921330338</v>
      </c>
      <c r="E1106" s="2" t="n">
        <f aca="false">IF(B1106&lt;Test1_Hand!$B$12,1,0)</f>
        <v>1</v>
      </c>
      <c r="F1106" s="23" t="n">
        <f aca="false">Test1_Hand!$B$4+E1106*D1106</f>
        <v>17.9703592133034</v>
      </c>
      <c r="G1106" s="24" t="n">
        <f aca="false">Test1_Hand!$B$6*E1106*D1106+Test1_Hand!$B$7*MAX(0,F1106-Test1_Hand!$B$5)</f>
        <v>15762.8737064271</v>
      </c>
      <c r="H1106" s="2" t="n">
        <f aca="false">IF(B1106&lt;Test1_Hand!$B$13,1,0)</f>
        <v>1</v>
      </c>
      <c r="I1106" s="23" t="n">
        <f aca="false">Test1_Hand!$B$4+H1106*D1106</f>
        <v>17.9703592133034</v>
      </c>
      <c r="J1106" s="24" t="n">
        <f aca="false">Test1_Hand!$B$6*H1106*D1106+Test1_Hand!$B$7*MAX(0,I1106-Test1_Hand!$B$5)+Test1_Hand!$B$14</f>
        <v>21762.8737064271</v>
      </c>
    </row>
    <row r="1107" customFormat="false" ht="15" hidden="false" customHeight="false" outlineLevel="0" collapsed="false">
      <c r="A1107" s="2" t="n">
        <v>1095</v>
      </c>
      <c r="B1107" s="22" t="n">
        <v>0.440124668379514</v>
      </c>
      <c r="C1107" s="22" t="n">
        <v>0.113374667946629</v>
      </c>
      <c r="D1107" s="23" t="n">
        <f aca="false">BETAINV(C1107,Test1_Hand!$B$21,Test1_Hand!$B$22,Test1_Hand!$B$9,Test1_Hand!$B$11)</f>
        <v>1.96738630973874</v>
      </c>
      <c r="E1107" s="2" t="n">
        <f aca="false">IF(B1107&lt;Test1_Hand!$B$12,1,0)</f>
        <v>1</v>
      </c>
      <c r="F1107" s="23" t="n">
        <f aca="false">Test1_Hand!$B$4+E1107*D1107</f>
        <v>17.9673863097387</v>
      </c>
      <c r="G1107" s="24" t="n">
        <f aca="false">Test1_Hand!$B$6*E1107*D1107+Test1_Hand!$B$7*MAX(0,F1107-Test1_Hand!$B$5)</f>
        <v>15739.0904779099</v>
      </c>
      <c r="H1107" s="2" t="n">
        <f aca="false">IF(B1107&lt;Test1_Hand!$B$13,1,0)</f>
        <v>0</v>
      </c>
      <c r="I1107" s="23" t="n">
        <f aca="false">Test1_Hand!$B$4+H1107*D1107</f>
        <v>16</v>
      </c>
      <c r="J1107" s="24" t="n">
        <f aca="false">Test1_Hand!$B$6*H1107*D1107+Test1_Hand!$B$7*MAX(0,I1107-Test1_Hand!$B$5)+Test1_Hand!$B$14</f>
        <v>6000</v>
      </c>
    </row>
    <row r="1108" customFormat="false" ht="15" hidden="false" customHeight="false" outlineLevel="0" collapsed="false">
      <c r="A1108" s="2" t="n">
        <v>1096</v>
      </c>
      <c r="B1108" s="22" t="n">
        <v>0.80100762910434</v>
      </c>
      <c r="C1108" s="22" t="n">
        <v>0.599766316960961</v>
      </c>
      <c r="D1108" s="23" t="n">
        <f aca="false">BETAINV(C1108,Test1_Hand!$B$21,Test1_Hand!$B$22,Test1_Hand!$B$9,Test1_Hand!$B$11)</f>
        <v>3.74618060222122</v>
      </c>
      <c r="E1108" s="2" t="n">
        <f aca="false">IF(B1108&lt;Test1_Hand!$B$12,1,0)</f>
        <v>0</v>
      </c>
      <c r="F1108" s="23" t="n">
        <f aca="false">Test1_Hand!$B$4+E1108*D1108</f>
        <v>16</v>
      </c>
      <c r="G1108" s="24" t="n">
        <f aca="false">Test1_Hand!$B$6*E1108*D1108+Test1_Hand!$B$7*MAX(0,F1108-Test1_Hand!$B$5)</f>
        <v>0</v>
      </c>
      <c r="H1108" s="2" t="n">
        <f aca="false">IF(B1108&lt;Test1_Hand!$B$13,1,0)</f>
        <v>0</v>
      </c>
      <c r="I1108" s="23" t="n">
        <f aca="false">Test1_Hand!$B$4+H1108*D1108</f>
        <v>16</v>
      </c>
      <c r="J1108" s="24" t="n">
        <f aca="false">Test1_Hand!$B$6*H1108*D1108+Test1_Hand!$B$7*MAX(0,I1108-Test1_Hand!$B$5)+Test1_Hand!$B$14</f>
        <v>6000</v>
      </c>
    </row>
    <row r="1109" customFormat="false" ht="15" hidden="false" customHeight="false" outlineLevel="0" collapsed="false">
      <c r="A1109" s="2" t="n">
        <v>1097</v>
      </c>
      <c r="B1109" s="22" t="n">
        <v>0.367216086064982</v>
      </c>
      <c r="C1109" s="22" t="n">
        <v>0.882030251914607</v>
      </c>
      <c r="D1109" s="23" t="n">
        <f aca="false">BETAINV(C1109,Test1_Hand!$B$21,Test1_Hand!$B$22,Test1_Hand!$B$9,Test1_Hand!$B$11)</f>
        <v>5.1338689061644</v>
      </c>
      <c r="E1109" s="2" t="n">
        <f aca="false">IF(B1109&lt;Test1_Hand!$B$12,1,0)</f>
        <v>1</v>
      </c>
      <c r="F1109" s="23" t="n">
        <f aca="false">Test1_Hand!$B$4+E1109*D1109</f>
        <v>21.1338689061644</v>
      </c>
      <c r="G1109" s="24" t="n">
        <f aca="false">Test1_Hand!$B$6*E1109*D1109+Test1_Hand!$B$7*MAX(0,F1109-Test1_Hand!$B$5)</f>
        <v>46740.2957801372</v>
      </c>
      <c r="H1109" s="2" t="n">
        <f aca="false">IF(B1109&lt;Test1_Hand!$B$13,1,0)</f>
        <v>0</v>
      </c>
      <c r="I1109" s="23" t="n">
        <f aca="false">Test1_Hand!$B$4+H1109*D1109</f>
        <v>16</v>
      </c>
      <c r="J1109" s="24" t="n">
        <f aca="false">Test1_Hand!$B$6*H1109*D1109+Test1_Hand!$B$7*MAX(0,I1109-Test1_Hand!$B$5)+Test1_Hand!$B$14</f>
        <v>6000</v>
      </c>
    </row>
    <row r="1110" customFormat="false" ht="15" hidden="false" customHeight="false" outlineLevel="0" collapsed="false">
      <c r="A1110" s="2" t="n">
        <v>1098</v>
      </c>
      <c r="B1110" s="22" t="n">
        <v>0.206223423711308</v>
      </c>
      <c r="C1110" s="22" t="n">
        <v>0.124922210411218</v>
      </c>
      <c r="D1110" s="23" t="n">
        <f aca="false">BETAINV(C1110,Test1_Hand!$B$21,Test1_Hand!$B$22,Test1_Hand!$B$9,Test1_Hand!$B$11)</f>
        <v>2.01961885216895</v>
      </c>
      <c r="E1110" s="2" t="n">
        <f aca="false">IF(B1110&lt;Test1_Hand!$B$12,1,0)</f>
        <v>1</v>
      </c>
      <c r="F1110" s="23" t="n">
        <f aca="false">Test1_Hand!$B$4+E1110*D1110</f>
        <v>18.0196188521689</v>
      </c>
      <c r="G1110" s="24" t="n">
        <f aca="false">Test1_Hand!$B$6*E1110*D1110+Test1_Hand!$B$7*MAX(0,F1110-Test1_Hand!$B$5)</f>
        <v>16156.9508173516</v>
      </c>
      <c r="H1110" s="2" t="n">
        <f aca="false">IF(B1110&lt;Test1_Hand!$B$13,1,0)</f>
        <v>0</v>
      </c>
      <c r="I1110" s="23" t="n">
        <f aca="false">Test1_Hand!$B$4+H1110*D1110</f>
        <v>16</v>
      </c>
      <c r="J1110" s="24" t="n">
        <f aca="false">Test1_Hand!$B$6*H1110*D1110+Test1_Hand!$B$7*MAX(0,I1110-Test1_Hand!$B$5)+Test1_Hand!$B$14</f>
        <v>6000</v>
      </c>
    </row>
    <row r="1111" customFormat="false" ht="15" hidden="false" customHeight="false" outlineLevel="0" collapsed="false">
      <c r="A1111" s="2" t="n">
        <v>1099</v>
      </c>
      <c r="B1111" s="22" t="n">
        <v>0.194980009617496</v>
      </c>
      <c r="C1111" s="22" t="n">
        <v>0.893007749014323</v>
      </c>
      <c r="D1111" s="23" t="n">
        <f aca="false">BETAINV(C1111,Test1_Hand!$B$21,Test1_Hand!$B$22,Test1_Hand!$B$9,Test1_Hand!$B$11)</f>
        <v>5.21694629687732</v>
      </c>
      <c r="E1111" s="2" t="n">
        <f aca="false">IF(B1111&lt;Test1_Hand!$B$12,1,0)</f>
        <v>1</v>
      </c>
      <c r="F1111" s="23" t="n">
        <f aca="false">Test1_Hand!$B$4+E1111*D1111</f>
        <v>21.2169462968773</v>
      </c>
      <c r="G1111" s="24" t="n">
        <f aca="false">Test1_Hand!$B$6*E1111*D1111+Test1_Hand!$B$7*MAX(0,F1111-Test1_Hand!$B$5)</f>
        <v>47820.3018594051</v>
      </c>
      <c r="H1111" s="2" t="n">
        <f aca="false">IF(B1111&lt;Test1_Hand!$B$13,1,0)</f>
        <v>1</v>
      </c>
      <c r="I1111" s="23" t="n">
        <f aca="false">Test1_Hand!$B$4+H1111*D1111</f>
        <v>21.2169462968773</v>
      </c>
      <c r="J1111" s="24" t="n">
        <f aca="false">Test1_Hand!$B$6*H1111*D1111+Test1_Hand!$B$7*MAX(0,I1111-Test1_Hand!$B$5)+Test1_Hand!$B$14</f>
        <v>53820.3018594051</v>
      </c>
    </row>
    <row r="1112" customFormat="false" ht="15" hidden="false" customHeight="false" outlineLevel="0" collapsed="false">
      <c r="A1112" s="2" t="n">
        <v>1100</v>
      </c>
      <c r="B1112" s="22" t="n">
        <v>0.145403862691919</v>
      </c>
      <c r="C1112" s="22" t="n">
        <v>0.0769486610246506</v>
      </c>
      <c r="D1112" s="23" t="n">
        <f aca="false">BETAINV(C1112,Test1_Hand!$B$21,Test1_Hand!$B$22,Test1_Hand!$B$9,Test1_Hand!$B$11)</f>
        <v>1.78739164807803</v>
      </c>
      <c r="E1112" s="2" t="n">
        <f aca="false">IF(B1112&lt;Test1_Hand!$B$12,1,0)</f>
        <v>1</v>
      </c>
      <c r="F1112" s="23" t="n">
        <f aca="false">Test1_Hand!$B$4+E1112*D1112</f>
        <v>17.787391648078</v>
      </c>
      <c r="G1112" s="24" t="n">
        <f aca="false">Test1_Hand!$B$6*E1112*D1112+Test1_Hand!$B$7*MAX(0,F1112-Test1_Hand!$B$5)</f>
        <v>14299.1331846242</v>
      </c>
      <c r="H1112" s="2" t="n">
        <f aca="false">IF(B1112&lt;Test1_Hand!$B$13,1,0)</f>
        <v>1</v>
      </c>
      <c r="I1112" s="23" t="n">
        <f aca="false">Test1_Hand!$B$4+H1112*D1112</f>
        <v>17.787391648078</v>
      </c>
      <c r="J1112" s="24" t="n">
        <f aca="false">Test1_Hand!$B$6*H1112*D1112+Test1_Hand!$B$7*MAX(0,I1112-Test1_Hand!$B$5)+Test1_Hand!$B$14</f>
        <v>20299.1331846242</v>
      </c>
    </row>
    <row r="1113" customFormat="false" ht="15" hidden="false" customHeight="false" outlineLevel="0" collapsed="false">
      <c r="A1113" s="2" t="n">
        <v>1101</v>
      </c>
      <c r="B1113" s="22" t="n">
        <v>0.650771910960601</v>
      </c>
      <c r="C1113" s="22" t="n">
        <v>0.673963531479645</v>
      </c>
      <c r="D1113" s="23" t="n">
        <f aca="false">BETAINV(C1113,Test1_Hand!$B$21,Test1_Hand!$B$22,Test1_Hand!$B$9,Test1_Hand!$B$11)</f>
        <v>4.03949192576759</v>
      </c>
      <c r="E1113" s="2" t="n">
        <f aca="false">IF(B1113&lt;Test1_Hand!$B$12,1,0)</f>
        <v>0</v>
      </c>
      <c r="F1113" s="23" t="n">
        <f aca="false">Test1_Hand!$B$4+E1113*D1113</f>
        <v>16</v>
      </c>
      <c r="G1113" s="24" t="n">
        <f aca="false">Test1_Hand!$B$6*E1113*D1113+Test1_Hand!$B$7*MAX(0,F1113-Test1_Hand!$B$5)</f>
        <v>0</v>
      </c>
      <c r="H1113" s="2" t="n">
        <f aca="false">IF(B1113&lt;Test1_Hand!$B$13,1,0)</f>
        <v>0</v>
      </c>
      <c r="I1113" s="23" t="n">
        <f aca="false">Test1_Hand!$B$4+H1113*D1113</f>
        <v>16</v>
      </c>
      <c r="J1113" s="24" t="n">
        <f aca="false">Test1_Hand!$B$6*H1113*D1113+Test1_Hand!$B$7*MAX(0,I1113-Test1_Hand!$B$5)+Test1_Hand!$B$14</f>
        <v>6000</v>
      </c>
    </row>
    <row r="1114" customFormat="false" ht="15" hidden="false" customHeight="false" outlineLevel="0" collapsed="false">
      <c r="A1114" s="2" t="n">
        <v>1102</v>
      </c>
      <c r="B1114" s="22" t="n">
        <v>0.263164309621284</v>
      </c>
      <c r="C1114" s="22" t="n">
        <v>0.435019610400019</v>
      </c>
      <c r="D1114" s="23" t="n">
        <f aca="false">BETAINV(C1114,Test1_Hand!$B$21,Test1_Hand!$B$22,Test1_Hand!$B$9,Test1_Hand!$B$11)</f>
        <v>3.1562181878215</v>
      </c>
      <c r="E1114" s="2" t="n">
        <f aca="false">IF(B1114&lt;Test1_Hand!$B$12,1,0)</f>
        <v>1</v>
      </c>
      <c r="F1114" s="23" t="n">
        <f aca="false">Test1_Hand!$B$4+E1114*D1114</f>
        <v>19.1562181878215</v>
      </c>
      <c r="G1114" s="24" t="n">
        <f aca="false">Test1_Hand!$B$6*E1114*D1114+Test1_Hand!$B$7*MAX(0,F1114-Test1_Hand!$B$5)</f>
        <v>25249.745502572</v>
      </c>
      <c r="H1114" s="2" t="n">
        <f aca="false">IF(B1114&lt;Test1_Hand!$B$13,1,0)</f>
        <v>0</v>
      </c>
      <c r="I1114" s="23" t="n">
        <f aca="false">Test1_Hand!$B$4+H1114*D1114</f>
        <v>16</v>
      </c>
      <c r="J1114" s="24" t="n">
        <f aca="false">Test1_Hand!$B$6*H1114*D1114+Test1_Hand!$B$7*MAX(0,I1114-Test1_Hand!$B$5)+Test1_Hand!$B$14</f>
        <v>6000</v>
      </c>
    </row>
    <row r="1115" customFormat="false" ht="15" hidden="false" customHeight="false" outlineLevel="0" collapsed="false">
      <c r="A1115" s="2" t="n">
        <v>1103</v>
      </c>
      <c r="B1115" s="22" t="n">
        <v>0.417710909654578</v>
      </c>
      <c r="C1115" s="22" t="n">
        <v>0.814795763924873</v>
      </c>
      <c r="D1115" s="23" t="n">
        <f aca="false">BETAINV(C1115,Test1_Hand!$B$21,Test1_Hand!$B$22,Test1_Hand!$B$9,Test1_Hand!$B$11)</f>
        <v>4.70679931472853</v>
      </c>
      <c r="E1115" s="2" t="n">
        <f aca="false">IF(B1115&lt;Test1_Hand!$B$12,1,0)</f>
        <v>1</v>
      </c>
      <c r="F1115" s="23" t="n">
        <f aca="false">Test1_Hand!$B$4+E1115*D1115</f>
        <v>20.7067993147285</v>
      </c>
      <c r="G1115" s="24" t="n">
        <f aca="false">Test1_Hand!$B$6*E1115*D1115+Test1_Hand!$B$7*MAX(0,F1115-Test1_Hand!$B$5)</f>
        <v>41188.3910914709</v>
      </c>
      <c r="H1115" s="2" t="n">
        <f aca="false">IF(B1115&lt;Test1_Hand!$B$13,1,0)</f>
        <v>0</v>
      </c>
      <c r="I1115" s="23" t="n">
        <f aca="false">Test1_Hand!$B$4+H1115*D1115</f>
        <v>16</v>
      </c>
      <c r="J1115" s="24" t="n">
        <f aca="false">Test1_Hand!$B$6*H1115*D1115+Test1_Hand!$B$7*MAX(0,I1115-Test1_Hand!$B$5)+Test1_Hand!$B$14</f>
        <v>6000</v>
      </c>
    </row>
    <row r="1116" customFormat="false" ht="15" hidden="false" customHeight="false" outlineLevel="0" collapsed="false">
      <c r="A1116" s="2" t="n">
        <v>1104</v>
      </c>
      <c r="B1116" s="22" t="n">
        <v>0.654593310566499</v>
      </c>
      <c r="C1116" s="22" t="n">
        <v>0.924657627843487</v>
      </c>
      <c r="D1116" s="23" t="n">
        <f aca="false">BETAINV(C1116,Test1_Hand!$B$21,Test1_Hand!$B$22,Test1_Hand!$B$9,Test1_Hand!$B$11)</f>
        <v>5.49207223856143</v>
      </c>
      <c r="E1116" s="2" t="n">
        <f aca="false">IF(B1116&lt;Test1_Hand!$B$12,1,0)</f>
        <v>0</v>
      </c>
      <c r="F1116" s="23" t="n">
        <f aca="false">Test1_Hand!$B$4+E1116*D1116</f>
        <v>16</v>
      </c>
      <c r="G1116" s="24" t="n">
        <f aca="false">Test1_Hand!$B$6*E1116*D1116+Test1_Hand!$B$7*MAX(0,F1116-Test1_Hand!$B$5)</f>
        <v>0</v>
      </c>
      <c r="H1116" s="2" t="n">
        <f aca="false">IF(B1116&lt;Test1_Hand!$B$13,1,0)</f>
        <v>0</v>
      </c>
      <c r="I1116" s="23" t="n">
        <f aca="false">Test1_Hand!$B$4+H1116*D1116</f>
        <v>16</v>
      </c>
      <c r="J1116" s="24" t="n">
        <f aca="false">Test1_Hand!$B$6*H1116*D1116+Test1_Hand!$B$7*MAX(0,I1116-Test1_Hand!$B$5)+Test1_Hand!$B$14</f>
        <v>6000</v>
      </c>
    </row>
    <row r="1117" customFormat="false" ht="15" hidden="false" customHeight="false" outlineLevel="0" collapsed="false">
      <c r="A1117" s="2" t="n">
        <v>1105</v>
      </c>
      <c r="B1117" s="22" t="n">
        <v>0.980137922451014</v>
      </c>
      <c r="C1117" s="22" t="n">
        <v>0.165706984853848</v>
      </c>
      <c r="D1117" s="23" t="n">
        <f aca="false">BETAINV(C1117,Test1_Hand!$B$21,Test1_Hand!$B$22,Test1_Hand!$B$9,Test1_Hand!$B$11)</f>
        <v>2.19202688634616</v>
      </c>
      <c r="E1117" s="2" t="n">
        <f aca="false">IF(B1117&lt;Test1_Hand!$B$12,1,0)</f>
        <v>0</v>
      </c>
      <c r="F1117" s="23" t="n">
        <f aca="false">Test1_Hand!$B$4+E1117*D1117</f>
        <v>16</v>
      </c>
      <c r="G1117" s="24" t="n">
        <f aca="false">Test1_Hand!$B$6*E1117*D1117+Test1_Hand!$B$7*MAX(0,F1117-Test1_Hand!$B$5)</f>
        <v>0</v>
      </c>
      <c r="H1117" s="2" t="n">
        <f aca="false">IF(B1117&lt;Test1_Hand!$B$13,1,0)</f>
        <v>0</v>
      </c>
      <c r="I1117" s="23" t="n">
        <f aca="false">Test1_Hand!$B$4+H1117*D1117</f>
        <v>16</v>
      </c>
      <c r="J1117" s="24" t="n">
        <f aca="false">Test1_Hand!$B$6*H1117*D1117+Test1_Hand!$B$7*MAX(0,I1117-Test1_Hand!$B$5)+Test1_Hand!$B$14</f>
        <v>6000</v>
      </c>
    </row>
    <row r="1118" customFormat="false" ht="15" hidden="false" customHeight="false" outlineLevel="0" collapsed="false">
      <c r="A1118" s="2" t="n">
        <v>1106</v>
      </c>
      <c r="B1118" s="22" t="n">
        <v>0.370027171088876</v>
      </c>
      <c r="C1118" s="22" t="n">
        <v>0.613904978151664</v>
      </c>
      <c r="D1118" s="23" t="n">
        <f aca="false">BETAINV(C1118,Test1_Hand!$B$21,Test1_Hand!$B$22,Test1_Hand!$B$9,Test1_Hand!$B$11)</f>
        <v>3.80017630383577</v>
      </c>
      <c r="E1118" s="2" t="n">
        <f aca="false">IF(B1118&lt;Test1_Hand!$B$12,1,0)</f>
        <v>1</v>
      </c>
      <c r="F1118" s="23" t="n">
        <f aca="false">Test1_Hand!$B$4+E1118*D1118</f>
        <v>19.8001763038358</v>
      </c>
      <c r="G1118" s="24" t="n">
        <f aca="false">Test1_Hand!$B$6*E1118*D1118+Test1_Hand!$B$7*MAX(0,F1118-Test1_Hand!$B$5)</f>
        <v>30401.4104306862</v>
      </c>
      <c r="H1118" s="2" t="n">
        <f aca="false">IF(B1118&lt;Test1_Hand!$B$13,1,0)</f>
        <v>0</v>
      </c>
      <c r="I1118" s="23" t="n">
        <f aca="false">Test1_Hand!$B$4+H1118*D1118</f>
        <v>16</v>
      </c>
      <c r="J1118" s="24" t="n">
        <f aca="false">Test1_Hand!$B$6*H1118*D1118+Test1_Hand!$B$7*MAX(0,I1118-Test1_Hand!$B$5)+Test1_Hand!$B$14</f>
        <v>6000</v>
      </c>
    </row>
    <row r="1119" customFormat="false" ht="15" hidden="false" customHeight="false" outlineLevel="0" collapsed="false">
      <c r="A1119" s="2" t="n">
        <v>1107</v>
      </c>
      <c r="B1119" s="22" t="n">
        <v>0.928024966727724</v>
      </c>
      <c r="C1119" s="22" t="n">
        <v>0.177548494355811</v>
      </c>
      <c r="D1119" s="23" t="n">
        <f aca="false">BETAINV(C1119,Test1_Hand!$B$21,Test1_Hand!$B$22,Test1_Hand!$B$9,Test1_Hand!$B$11)</f>
        <v>2.23938977015663</v>
      </c>
      <c r="E1119" s="2" t="n">
        <f aca="false">IF(B1119&lt;Test1_Hand!$B$12,1,0)</f>
        <v>0</v>
      </c>
      <c r="F1119" s="23" t="n">
        <f aca="false">Test1_Hand!$B$4+E1119*D1119</f>
        <v>16</v>
      </c>
      <c r="G1119" s="24" t="n">
        <f aca="false">Test1_Hand!$B$6*E1119*D1119+Test1_Hand!$B$7*MAX(0,F1119-Test1_Hand!$B$5)</f>
        <v>0</v>
      </c>
      <c r="H1119" s="2" t="n">
        <f aca="false">IF(B1119&lt;Test1_Hand!$B$13,1,0)</f>
        <v>0</v>
      </c>
      <c r="I1119" s="23" t="n">
        <f aca="false">Test1_Hand!$B$4+H1119*D1119</f>
        <v>16</v>
      </c>
      <c r="J1119" s="24" t="n">
        <f aca="false">Test1_Hand!$B$6*H1119*D1119+Test1_Hand!$B$7*MAX(0,I1119-Test1_Hand!$B$5)+Test1_Hand!$B$14</f>
        <v>6000</v>
      </c>
    </row>
    <row r="1120" customFormat="false" ht="15" hidden="false" customHeight="false" outlineLevel="0" collapsed="false">
      <c r="A1120" s="2" t="n">
        <v>1108</v>
      </c>
      <c r="B1120" s="22" t="n">
        <v>0.191521293282352</v>
      </c>
      <c r="C1120" s="22" t="n">
        <v>0.00181214690129605</v>
      </c>
      <c r="D1120" s="23" t="n">
        <f aca="false">BETAINV(C1120,Test1_Hand!$B$21,Test1_Hand!$B$22,Test1_Hand!$B$9,Test1_Hand!$B$11)</f>
        <v>1.12524660691527</v>
      </c>
      <c r="E1120" s="2" t="n">
        <f aca="false">IF(B1120&lt;Test1_Hand!$B$12,1,0)</f>
        <v>1</v>
      </c>
      <c r="F1120" s="23" t="n">
        <f aca="false">Test1_Hand!$B$4+E1120*D1120</f>
        <v>17.1252466069153</v>
      </c>
      <c r="G1120" s="24" t="n">
        <f aca="false">Test1_Hand!$B$6*E1120*D1120+Test1_Hand!$B$7*MAX(0,F1120-Test1_Hand!$B$5)</f>
        <v>9001.97285532214</v>
      </c>
      <c r="H1120" s="2" t="n">
        <f aca="false">IF(B1120&lt;Test1_Hand!$B$13,1,0)</f>
        <v>1</v>
      </c>
      <c r="I1120" s="23" t="n">
        <f aca="false">Test1_Hand!$B$4+H1120*D1120</f>
        <v>17.1252466069153</v>
      </c>
      <c r="J1120" s="24" t="n">
        <f aca="false">Test1_Hand!$B$6*H1120*D1120+Test1_Hand!$B$7*MAX(0,I1120-Test1_Hand!$B$5)+Test1_Hand!$B$14</f>
        <v>15001.9728553221</v>
      </c>
    </row>
    <row r="1121" customFormat="false" ht="15" hidden="false" customHeight="false" outlineLevel="0" collapsed="false">
      <c r="A1121" s="2" t="n">
        <v>1109</v>
      </c>
      <c r="B1121" s="22" t="n">
        <v>0.698068697151207</v>
      </c>
      <c r="C1121" s="22" t="n">
        <v>0.777669531546949</v>
      </c>
      <c r="D1121" s="23" t="n">
        <f aca="false">BETAINV(C1121,Test1_Hand!$B$21,Test1_Hand!$B$22,Test1_Hand!$B$9,Test1_Hand!$B$11)</f>
        <v>4.50994131328213</v>
      </c>
      <c r="E1121" s="2" t="n">
        <f aca="false">IF(B1121&lt;Test1_Hand!$B$12,1,0)</f>
        <v>0</v>
      </c>
      <c r="F1121" s="23" t="n">
        <f aca="false">Test1_Hand!$B$4+E1121*D1121</f>
        <v>16</v>
      </c>
      <c r="G1121" s="24" t="n">
        <f aca="false">Test1_Hand!$B$6*E1121*D1121+Test1_Hand!$B$7*MAX(0,F1121-Test1_Hand!$B$5)</f>
        <v>0</v>
      </c>
      <c r="H1121" s="2" t="n">
        <f aca="false">IF(B1121&lt;Test1_Hand!$B$13,1,0)</f>
        <v>0</v>
      </c>
      <c r="I1121" s="23" t="n">
        <f aca="false">Test1_Hand!$B$4+H1121*D1121</f>
        <v>16</v>
      </c>
      <c r="J1121" s="24" t="n">
        <f aca="false">Test1_Hand!$B$6*H1121*D1121+Test1_Hand!$B$7*MAX(0,I1121-Test1_Hand!$B$5)+Test1_Hand!$B$14</f>
        <v>6000</v>
      </c>
    </row>
    <row r="1122" customFormat="false" ht="15" hidden="false" customHeight="false" outlineLevel="0" collapsed="false">
      <c r="A1122" s="2" t="n">
        <v>1110</v>
      </c>
      <c r="B1122" s="22" t="n">
        <v>0.0153666896055719</v>
      </c>
      <c r="C1122" s="22" t="n">
        <v>0.0162740787491739</v>
      </c>
      <c r="D1122" s="23" t="n">
        <f aca="false">BETAINV(C1122,Test1_Hand!$B$21,Test1_Hand!$B$22,Test1_Hand!$B$9,Test1_Hand!$B$11)</f>
        <v>1.35985107686212</v>
      </c>
      <c r="E1122" s="2" t="n">
        <f aca="false">IF(B1122&lt;Test1_Hand!$B$12,1,0)</f>
        <v>1</v>
      </c>
      <c r="F1122" s="23" t="n">
        <f aca="false">Test1_Hand!$B$4+E1122*D1122</f>
        <v>17.3598510768621</v>
      </c>
      <c r="G1122" s="24" t="n">
        <f aca="false">Test1_Hand!$B$6*E1122*D1122+Test1_Hand!$B$7*MAX(0,F1122-Test1_Hand!$B$5)</f>
        <v>10878.808614897</v>
      </c>
      <c r="H1122" s="2" t="n">
        <f aca="false">IF(B1122&lt;Test1_Hand!$B$13,1,0)</f>
        <v>1</v>
      </c>
      <c r="I1122" s="23" t="n">
        <f aca="false">Test1_Hand!$B$4+H1122*D1122</f>
        <v>17.3598510768621</v>
      </c>
      <c r="J1122" s="24" t="n">
        <f aca="false">Test1_Hand!$B$6*H1122*D1122+Test1_Hand!$B$7*MAX(0,I1122-Test1_Hand!$B$5)+Test1_Hand!$B$14</f>
        <v>16878.808614897</v>
      </c>
    </row>
    <row r="1123" customFormat="false" ht="15" hidden="false" customHeight="false" outlineLevel="0" collapsed="false">
      <c r="A1123" s="2" t="n">
        <v>1111</v>
      </c>
      <c r="B1123" s="22" t="n">
        <v>0.750602583263844</v>
      </c>
      <c r="C1123" s="22" t="n">
        <v>0.53474782263023</v>
      </c>
      <c r="D1123" s="23" t="n">
        <f aca="false">BETAINV(C1123,Test1_Hand!$B$21,Test1_Hand!$B$22,Test1_Hand!$B$9,Test1_Hand!$B$11)</f>
        <v>3.50636637683266</v>
      </c>
      <c r="E1123" s="2" t="n">
        <f aca="false">IF(B1123&lt;Test1_Hand!$B$12,1,0)</f>
        <v>0</v>
      </c>
      <c r="F1123" s="23" t="n">
        <f aca="false">Test1_Hand!$B$4+E1123*D1123</f>
        <v>16</v>
      </c>
      <c r="G1123" s="24" t="n">
        <f aca="false">Test1_Hand!$B$6*E1123*D1123+Test1_Hand!$B$7*MAX(0,F1123-Test1_Hand!$B$5)</f>
        <v>0</v>
      </c>
      <c r="H1123" s="2" t="n">
        <f aca="false">IF(B1123&lt;Test1_Hand!$B$13,1,0)</f>
        <v>0</v>
      </c>
      <c r="I1123" s="23" t="n">
        <f aca="false">Test1_Hand!$B$4+H1123*D1123</f>
        <v>16</v>
      </c>
      <c r="J1123" s="24" t="n">
        <f aca="false">Test1_Hand!$B$6*H1123*D1123+Test1_Hand!$B$7*MAX(0,I1123-Test1_Hand!$B$5)+Test1_Hand!$B$14</f>
        <v>6000</v>
      </c>
    </row>
    <row r="1124" customFormat="false" ht="15" hidden="false" customHeight="false" outlineLevel="0" collapsed="false">
      <c r="A1124" s="2" t="n">
        <v>1112</v>
      </c>
      <c r="B1124" s="22" t="n">
        <v>0.263908665210801</v>
      </c>
      <c r="C1124" s="22" t="n">
        <v>0.576421060028686</v>
      </c>
      <c r="D1124" s="23" t="n">
        <f aca="false">BETAINV(C1124,Test1_Hand!$B$21,Test1_Hand!$B$22,Test1_Hand!$B$9,Test1_Hand!$B$11)</f>
        <v>3.65860212483195</v>
      </c>
      <c r="E1124" s="2" t="n">
        <f aca="false">IF(B1124&lt;Test1_Hand!$B$12,1,0)</f>
        <v>1</v>
      </c>
      <c r="F1124" s="23" t="n">
        <f aca="false">Test1_Hand!$B$4+E1124*D1124</f>
        <v>19.658602124832</v>
      </c>
      <c r="G1124" s="24" t="n">
        <f aca="false">Test1_Hand!$B$6*E1124*D1124+Test1_Hand!$B$7*MAX(0,F1124-Test1_Hand!$B$5)</f>
        <v>29268.8169986556</v>
      </c>
      <c r="H1124" s="2" t="n">
        <f aca="false">IF(B1124&lt;Test1_Hand!$B$13,1,0)</f>
        <v>0</v>
      </c>
      <c r="I1124" s="23" t="n">
        <f aca="false">Test1_Hand!$B$4+H1124*D1124</f>
        <v>16</v>
      </c>
      <c r="J1124" s="24" t="n">
        <f aca="false">Test1_Hand!$B$6*H1124*D1124+Test1_Hand!$B$7*MAX(0,I1124-Test1_Hand!$B$5)+Test1_Hand!$B$14</f>
        <v>6000</v>
      </c>
    </row>
    <row r="1125" customFormat="false" ht="15" hidden="false" customHeight="false" outlineLevel="0" collapsed="false">
      <c r="A1125" s="2" t="n">
        <v>1113</v>
      </c>
      <c r="B1125" s="22" t="n">
        <v>0.347420794919453</v>
      </c>
      <c r="C1125" s="22" t="n">
        <v>0.750859986664465</v>
      </c>
      <c r="D1125" s="23" t="n">
        <f aca="false">BETAINV(C1125,Test1_Hand!$B$21,Test1_Hand!$B$22,Test1_Hand!$B$9,Test1_Hand!$B$11)</f>
        <v>4.37894526583635</v>
      </c>
      <c r="E1125" s="2" t="n">
        <f aca="false">IF(B1125&lt;Test1_Hand!$B$12,1,0)</f>
        <v>1</v>
      </c>
      <c r="F1125" s="23" t="n">
        <f aca="false">Test1_Hand!$B$4+E1125*D1125</f>
        <v>20.3789452658363</v>
      </c>
      <c r="G1125" s="24" t="n">
        <f aca="false">Test1_Hand!$B$6*E1125*D1125+Test1_Hand!$B$7*MAX(0,F1125-Test1_Hand!$B$5)</f>
        <v>36926.2884558725</v>
      </c>
      <c r="H1125" s="2" t="n">
        <f aca="false">IF(B1125&lt;Test1_Hand!$B$13,1,0)</f>
        <v>0</v>
      </c>
      <c r="I1125" s="23" t="n">
        <f aca="false">Test1_Hand!$B$4+H1125*D1125</f>
        <v>16</v>
      </c>
      <c r="J1125" s="24" t="n">
        <f aca="false">Test1_Hand!$B$6*H1125*D1125+Test1_Hand!$B$7*MAX(0,I1125-Test1_Hand!$B$5)+Test1_Hand!$B$14</f>
        <v>6000</v>
      </c>
    </row>
    <row r="1126" customFormat="false" ht="15" hidden="false" customHeight="false" outlineLevel="0" collapsed="false">
      <c r="A1126" s="2" t="n">
        <v>1114</v>
      </c>
      <c r="B1126" s="22" t="n">
        <v>0.892445244683447</v>
      </c>
      <c r="C1126" s="22" t="n">
        <v>0.00135988282600696</v>
      </c>
      <c r="D1126" s="23" t="n">
        <f aca="false">BETAINV(C1126,Test1_Hand!$B$21,Test1_Hand!$B$22,Test1_Hand!$B$9,Test1_Hand!$B$11)</f>
        <v>1.1093124259733</v>
      </c>
      <c r="E1126" s="2" t="n">
        <f aca="false">IF(B1126&lt;Test1_Hand!$B$12,1,0)</f>
        <v>0</v>
      </c>
      <c r="F1126" s="23" t="n">
        <f aca="false">Test1_Hand!$B$4+E1126*D1126</f>
        <v>16</v>
      </c>
      <c r="G1126" s="24" t="n">
        <f aca="false">Test1_Hand!$B$6*E1126*D1126+Test1_Hand!$B$7*MAX(0,F1126-Test1_Hand!$B$5)</f>
        <v>0</v>
      </c>
      <c r="H1126" s="2" t="n">
        <f aca="false">IF(B1126&lt;Test1_Hand!$B$13,1,0)</f>
        <v>0</v>
      </c>
      <c r="I1126" s="23" t="n">
        <f aca="false">Test1_Hand!$B$4+H1126*D1126</f>
        <v>16</v>
      </c>
      <c r="J1126" s="24" t="n">
        <f aca="false">Test1_Hand!$B$6*H1126*D1126+Test1_Hand!$B$7*MAX(0,I1126-Test1_Hand!$B$5)+Test1_Hand!$B$14</f>
        <v>6000</v>
      </c>
    </row>
    <row r="1127" customFormat="false" ht="15" hidden="false" customHeight="false" outlineLevel="0" collapsed="false">
      <c r="A1127" s="2" t="n">
        <v>1115</v>
      </c>
      <c r="B1127" s="22" t="n">
        <v>0.738226299817314</v>
      </c>
      <c r="C1127" s="22" t="n">
        <v>0.764941287526403</v>
      </c>
      <c r="D1127" s="23" t="n">
        <f aca="false">BETAINV(C1127,Test1_Hand!$B$21,Test1_Hand!$B$22,Test1_Hand!$B$9,Test1_Hand!$B$11)</f>
        <v>4.44673819242861</v>
      </c>
      <c r="E1127" s="2" t="n">
        <f aca="false">IF(B1127&lt;Test1_Hand!$B$12,1,0)</f>
        <v>0</v>
      </c>
      <c r="F1127" s="23" t="n">
        <f aca="false">Test1_Hand!$B$4+E1127*D1127</f>
        <v>16</v>
      </c>
      <c r="G1127" s="24" t="n">
        <f aca="false">Test1_Hand!$B$6*E1127*D1127+Test1_Hand!$B$7*MAX(0,F1127-Test1_Hand!$B$5)</f>
        <v>0</v>
      </c>
      <c r="H1127" s="2" t="n">
        <f aca="false">IF(B1127&lt;Test1_Hand!$B$13,1,0)</f>
        <v>0</v>
      </c>
      <c r="I1127" s="23" t="n">
        <f aca="false">Test1_Hand!$B$4+H1127*D1127</f>
        <v>16</v>
      </c>
      <c r="J1127" s="24" t="n">
        <f aca="false">Test1_Hand!$B$6*H1127*D1127+Test1_Hand!$B$7*MAX(0,I1127-Test1_Hand!$B$5)+Test1_Hand!$B$14</f>
        <v>6000</v>
      </c>
    </row>
    <row r="1128" customFormat="false" ht="15" hidden="false" customHeight="false" outlineLevel="0" collapsed="false">
      <c r="A1128" s="2" t="n">
        <v>1116</v>
      </c>
      <c r="B1128" s="22" t="n">
        <v>0.271252177132391</v>
      </c>
      <c r="C1128" s="22" t="n">
        <v>0.695762590809658</v>
      </c>
      <c r="D1128" s="23" t="n">
        <f aca="false">BETAINV(C1128,Test1_Hand!$B$21,Test1_Hand!$B$22,Test1_Hand!$B$9,Test1_Hand!$B$11)</f>
        <v>4.13125432274447</v>
      </c>
      <c r="E1128" s="2" t="n">
        <f aca="false">IF(B1128&lt;Test1_Hand!$B$12,1,0)</f>
        <v>1</v>
      </c>
      <c r="F1128" s="23" t="n">
        <f aca="false">Test1_Hand!$B$4+E1128*D1128</f>
        <v>20.1312543227445</v>
      </c>
      <c r="G1128" s="24" t="n">
        <f aca="false">Test1_Hand!$B$6*E1128*D1128+Test1_Hand!$B$7*MAX(0,F1128-Test1_Hand!$B$5)</f>
        <v>33706.3061956782</v>
      </c>
      <c r="H1128" s="2" t="n">
        <f aca="false">IF(B1128&lt;Test1_Hand!$B$13,1,0)</f>
        <v>0</v>
      </c>
      <c r="I1128" s="23" t="n">
        <f aca="false">Test1_Hand!$B$4+H1128*D1128</f>
        <v>16</v>
      </c>
      <c r="J1128" s="24" t="n">
        <f aca="false">Test1_Hand!$B$6*H1128*D1128+Test1_Hand!$B$7*MAX(0,I1128-Test1_Hand!$B$5)+Test1_Hand!$B$14</f>
        <v>6000</v>
      </c>
    </row>
    <row r="1129" customFormat="false" ht="15" hidden="false" customHeight="false" outlineLevel="0" collapsed="false">
      <c r="A1129" s="2" t="n">
        <v>1117</v>
      </c>
      <c r="B1129" s="22" t="n">
        <v>0.381606695548229</v>
      </c>
      <c r="C1129" s="22" t="n">
        <v>0.295746563130965</v>
      </c>
      <c r="D1129" s="23" t="n">
        <f aca="false">BETAINV(C1129,Test1_Hand!$B$21,Test1_Hand!$B$22,Test1_Hand!$B$9,Test1_Hand!$B$11)</f>
        <v>2.67540649295243</v>
      </c>
      <c r="E1129" s="2" t="n">
        <f aca="false">IF(B1129&lt;Test1_Hand!$B$12,1,0)</f>
        <v>1</v>
      </c>
      <c r="F1129" s="23" t="n">
        <f aca="false">Test1_Hand!$B$4+E1129*D1129</f>
        <v>18.6754064929524</v>
      </c>
      <c r="G1129" s="24" t="n">
        <f aca="false">Test1_Hand!$B$6*E1129*D1129+Test1_Hand!$B$7*MAX(0,F1129-Test1_Hand!$B$5)</f>
        <v>21403.2519436195</v>
      </c>
      <c r="H1129" s="2" t="n">
        <f aca="false">IF(B1129&lt;Test1_Hand!$B$13,1,0)</f>
        <v>0</v>
      </c>
      <c r="I1129" s="23" t="n">
        <f aca="false">Test1_Hand!$B$4+H1129*D1129</f>
        <v>16</v>
      </c>
      <c r="J1129" s="24" t="n">
        <f aca="false">Test1_Hand!$B$6*H1129*D1129+Test1_Hand!$B$7*MAX(0,I1129-Test1_Hand!$B$5)+Test1_Hand!$B$14</f>
        <v>6000</v>
      </c>
    </row>
    <row r="1130" customFormat="false" ht="15" hidden="false" customHeight="false" outlineLevel="0" collapsed="false">
      <c r="A1130" s="2" t="n">
        <v>1118</v>
      </c>
      <c r="B1130" s="22" t="n">
        <v>0.577721694351145</v>
      </c>
      <c r="C1130" s="22" t="n">
        <v>0.75905233785621</v>
      </c>
      <c r="D1130" s="23" t="n">
        <f aca="false">BETAINV(C1130,Test1_Hand!$B$21,Test1_Hand!$B$22,Test1_Hand!$B$9,Test1_Hand!$B$11)</f>
        <v>4.41812762819684</v>
      </c>
      <c r="E1130" s="2" t="n">
        <f aca="false">IF(B1130&lt;Test1_Hand!$B$12,1,0)</f>
        <v>0</v>
      </c>
      <c r="F1130" s="23" t="n">
        <f aca="false">Test1_Hand!$B$4+E1130*D1130</f>
        <v>16</v>
      </c>
      <c r="G1130" s="24" t="n">
        <f aca="false">Test1_Hand!$B$6*E1130*D1130+Test1_Hand!$B$7*MAX(0,F1130-Test1_Hand!$B$5)</f>
        <v>0</v>
      </c>
      <c r="H1130" s="2" t="n">
        <f aca="false">IF(B1130&lt;Test1_Hand!$B$13,1,0)</f>
        <v>0</v>
      </c>
      <c r="I1130" s="23" t="n">
        <f aca="false">Test1_Hand!$B$4+H1130*D1130</f>
        <v>16</v>
      </c>
      <c r="J1130" s="24" t="n">
        <f aca="false">Test1_Hand!$B$6*H1130*D1130+Test1_Hand!$B$7*MAX(0,I1130-Test1_Hand!$B$5)+Test1_Hand!$B$14</f>
        <v>6000</v>
      </c>
    </row>
    <row r="1131" customFormat="false" ht="15" hidden="false" customHeight="false" outlineLevel="0" collapsed="false">
      <c r="A1131" s="2" t="n">
        <v>1119</v>
      </c>
      <c r="B1131" s="22" t="n">
        <v>0.908970828197506</v>
      </c>
      <c r="C1131" s="22" t="n">
        <v>0.894865530008412</v>
      </c>
      <c r="D1131" s="23" t="n">
        <f aca="false">BETAINV(C1131,Test1_Hand!$B$21,Test1_Hand!$B$22,Test1_Hand!$B$9,Test1_Hand!$B$11)</f>
        <v>5.23152961778489</v>
      </c>
      <c r="E1131" s="2" t="n">
        <f aca="false">IF(B1131&lt;Test1_Hand!$B$12,1,0)</f>
        <v>0</v>
      </c>
      <c r="F1131" s="23" t="n">
        <f aca="false">Test1_Hand!$B$4+E1131*D1131</f>
        <v>16</v>
      </c>
      <c r="G1131" s="24" t="n">
        <f aca="false">Test1_Hand!$B$6*E1131*D1131+Test1_Hand!$B$7*MAX(0,F1131-Test1_Hand!$B$5)</f>
        <v>0</v>
      </c>
      <c r="H1131" s="2" t="n">
        <f aca="false">IF(B1131&lt;Test1_Hand!$B$13,1,0)</f>
        <v>0</v>
      </c>
      <c r="I1131" s="23" t="n">
        <f aca="false">Test1_Hand!$B$4+H1131*D1131</f>
        <v>16</v>
      </c>
      <c r="J1131" s="24" t="n">
        <f aca="false">Test1_Hand!$B$6*H1131*D1131+Test1_Hand!$B$7*MAX(0,I1131-Test1_Hand!$B$5)+Test1_Hand!$B$14</f>
        <v>6000</v>
      </c>
    </row>
    <row r="1132" customFormat="false" ht="15" hidden="false" customHeight="false" outlineLevel="0" collapsed="false">
      <c r="A1132" s="2" t="n">
        <v>1120</v>
      </c>
      <c r="B1132" s="22" t="n">
        <v>0.132126888201674</v>
      </c>
      <c r="C1132" s="22" t="n">
        <v>0.703230735562373</v>
      </c>
      <c r="D1132" s="23" t="n">
        <f aca="false">BETAINV(C1132,Test1_Hand!$B$21,Test1_Hand!$B$22,Test1_Hand!$B$9,Test1_Hand!$B$11)</f>
        <v>4.16341642749049</v>
      </c>
      <c r="E1132" s="2" t="n">
        <f aca="false">IF(B1132&lt;Test1_Hand!$B$12,1,0)</f>
        <v>1</v>
      </c>
      <c r="F1132" s="23" t="n">
        <f aca="false">Test1_Hand!$B$4+E1132*D1132</f>
        <v>20.1634164274905</v>
      </c>
      <c r="G1132" s="24" t="n">
        <f aca="false">Test1_Hand!$B$6*E1132*D1132+Test1_Hand!$B$7*MAX(0,F1132-Test1_Hand!$B$5)</f>
        <v>34124.4135573763</v>
      </c>
      <c r="H1132" s="2" t="n">
        <f aca="false">IF(B1132&lt;Test1_Hand!$B$13,1,0)</f>
        <v>1</v>
      </c>
      <c r="I1132" s="23" t="n">
        <f aca="false">Test1_Hand!$B$4+H1132*D1132</f>
        <v>20.1634164274905</v>
      </c>
      <c r="J1132" s="24" t="n">
        <f aca="false">Test1_Hand!$B$6*H1132*D1132+Test1_Hand!$B$7*MAX(0,I1132-Test1_Hand!$B$5)+Test1_Hand!$B$14</f>
        <v>40124.4135573763</v>
      </c>
    </row>
    <row r="1133" customFormat="false" ht="15" hidden="false" customHeight="false" outlineLevel="0" collapsed="false">
      <c r="A1133" s="2" t="n">
        <v>1121</v>
      </c>
      <c r="B1133" s="22" t="n">
        <v>0.565744207953228</v>
      </c>
      <c r="C1133" s="22" t="n">
        <v>0.763486380839792</v>
      </c>
      <c r="D1133" s="23" t="n">
        <f aca="false">BETAINV(C1133,Test1_Hand!$B$21,Test1_Hand!$B$22,Test1_Hand!$B$9,Test1_Hand!$B$11)</f>
        <v>4.43963398684305</v>
      </c>
      <c r="E1133" s="2" t="n">
        <f aca="false">IF(B1133&lt;Test1_Hand!$B$12,1,0)</f>
        <v>0</v>
      </c>
      <c r="F1133" s="23" t="n">
        <f aca="false">Test1_Hand!$B$4+E1133*D1133</f>
        <v>16</v>
      </c>
      <c r="G1133" s="24" t="n">
        <f aca="false">Test1_Hand!$B$6*E1133*D1133+Test1_Hand!$B$7*MAX(0,F1133-Test1_Hand!$B$5)</f>
        <v>0</v>
      </c>
      <c r="H1133" s="2" t="n">
        <f aca="false">IF(B1133&lt;Test1_Hand!$B$13,1,0)</f>
        <v>0</v>
      </c>
      <c r="I1133" s="23" t="n">
        <f aca="false">Test1_Hand!$B$4+H1133*D1133</f>
        <v>16</v>
      </c>
      <c r="J1133" s="24" t="n">
        <f aca="false">Test1_Hand!$B$6*H1133*D1133+Test1_Hand!$B$7*MAX(0,I1133-Test1_Hand!$B$5)+Test1_Hand!$B$14</f>
        <v>6000</v>
      </c>
    </row>
    <row r="1134" customFormat="false" ht="15" hidden="false" customHeight="false" outlineLevel="0" collapsed="false">
      <c r="A1134" s="2" t="n">
        <v>1122</v>
      </c>
      <c r="B1134" s="22" t="n">
        <v>0.825565351178356</v>
      </c>
      <c r="C1134" s="22" t="n">
        <v>0.108831342610832</v>
      </c>
      <c r="D1134" s="23" t="n">
        <f aca="false">BETAINV(C1134,Test1_Hand!$B$21,Test1_Hand!$B$22,Test1_Hand!$B$9,Test1_Hand!$B$11)</f>
        <v>1.94630472666007</v>
      </c>
      <c r="E1134" s="2" t="n">
        <f aca="false">IF(B1134&lt;Test1_Hand!$B$12,1,0)</f>
        <v>0</v>
      </c>
      <c r="F1134" s="23" t="n">
        <f aca="false">Test1_Hand!$B$4+E1134*D1134</f>
        <v>16</v>
      </c>
      <c r="G1134" s="24" t="n">
        <f aca="false">Test1_Hand!$B$6*E1134*D1134+Test1_Hand!$B$7*MAX(0,F1134-Test1_Hand!$B$5)</f>
        <v>0</v>
      </c>
      <c r="H1134" s="2" t="n">
        <f aca="false">IF(B1134&lt;Test1_Hand!$B$13,1,0)</f>
        <v>0</v>
      </c>
      <c r="I1134" s="23" t="n">
        <f aca="false">Test1_Hand!$B$4+H1134*D1134</f>
        <v>16</v>
      </c>
      <c r="J1134" s="24" t="n">
        <f aca="false">Test1_Hand!$B$6*H1134*D1134+Test1_Hand!$B$7*MAX(0,I1134-Test1_Hand!$B$5)+Test1_Hand!$B$14</f>
        <v>6000</v>
      </c>
    </row>
    <row r="1135" customFormat="false" ht="15" hidden="false" customHeight="false" outlineLevel="0" collapsed="false">
      <c r="A1135" s="2" t="n">
        <v>1123</v>
      </c>
      <c r="B1135" s="22" t="n">
        <v>0.698222617321713</v>
      </c>
      <c r="C1135" s="22" t="n">
        <v>0.216414014100543</v>
      </c>
      <c r="D1135" s="23" t="n">
        <f aca="false">BETAINV(C1135,Test1_Hand!$B$21,Test1_Hand!$B$22,Test1_Hand!$B$9,Test1_Hand!$B$11)</f>
        <v>2.3888331558962</v>
      </c>
      <c r="E1135" s="2" t="n">
        <f aca="false">IF(B1135&lt;Test1_Hand!$B$12,1,0)</f>
        <v>0</v>
      </c>
      <c r="F1135" s="23" t="n">
        <f aca="false">Test1_Hand!$B$4+E1135*D1135</f>
        <v>16</v>
      </c>
      <c r="G1135" s="24" t="n">
        <f aca="false">Test1_Hand!$B$6*E1135*D1135+Test1_Hand!$B$7*MAX(0,F1135-Test1_Hand!$B$5)</f>
        <v>0</v>
      </c>
      <c r="H1135" s="2" t="n">
        <f aca="false">IF(B1135&lt;Test1_Hand!$B$13,1,0)</f>
        <v>0</v>
      </c>
      <c r="I1135" s="23" t="n">
        <f aca="false">Test1_Hand!$B$4+H1135*D1135</f>
        <v>16</v>
      </c>
      <c r="J1135" s="24" t="n">
        <f aca="false">Test1_Hand!$B$6*H1135*D1135+Test1_Hand!$B$7*MAX(0,I1135-Test1_Hand!$B$5)+Test1_Hand!$B$14</f>
        <v>6000</v>
      </c>
    </row>
    <row r="1136" customFormat="false" ht="15" hidden="false" customHeight="false" outlineLevel="0" collapsed="false">
      <c r="A1136" s="2" t="n">
        <v>1124</v>
      </c>
      <c r="B1136" s="22" t="n">
        <v>0.395912561165957</v>
      </c>
      <c r="C1136" s="22" t="n">
        <v>0.0671101271887914</v>
      </c>
      <c r="D1136" s="23" t="n">
        <f aca="false">BETAINV(C1136,Test1_Hand!$B$21,Test1_Hand!$B$22,Test1_Hand!$B$9,Test1_Hand!$B$11)</f>
        <v>1.73320237602032</v>
      </c>
      <c r="E1136" s="2" t="n">
        <f aca="false">IF(B1136&lt;Test1_Hand!$B$12,1,0)</f>
        <v>1</v>
      </c>
      <c r="F1136" s="23" t="n">
        <f aca="false">Test1_Hand!$B$4+E1136*D1136</f>
        <v>17.7332023760203</v>
      </c>
      <c r="G1136" s="24" t="n">
        <f aca="false">Test1_Hand!$B$6*E1136*D1136+Test1_Hand!$B$7*MAX(0,F1136-Test1_Hand!$B$5)</f>
        <v>13865.6190081625</v>
      </c>
      <c r="H1136" s="2" t="n">
        <f aca="false">IF(B1136&lt;Test1_Hand!$B$13,1,0)</f>
        <v>0</v>
      </c>
      <c r="I1136" s="23" t="n">
        <f aca="false">Test1_Hand!$B$4+H1136*D1136</f>
        <v>16</v>
      </c>
      <c r="J1136" s="24" t="n">
        <f aca="false">Test1_Hand!$B$6*H1136*D1136+Test1_Hand!$B$7*MAX(0,I1136-Test1_Hand!$B$5)+Test1_Hand!$B$14</f>
        <v>6000</v>
      </c>
    </row>
    <row r="1137" customFormat="false" ht="15" hidden="false" customHeight="false" outlineLevel="0" collapsed="false">
      <c r="A1137" s="2" t="n">
        <v>1125</v>
      </c>
      <c r="B1137" s="22" t="n">
        <v>0.946361709872117</v>
      </c>
      <c r="C1137" s="22" t="n">
        <v>0.588701470437908</v>
      </c>
      <c r="D1137" s="23" t="n">
        <f aca="false">BETAINV(C1137,Test1_Hand!$B$21,Test1_Hand!$B$22,Test1_Hand!$B$9,Test1_Hand!$B$11)</f>
        <v>3.70443985144691</v>
      </c>
      <c r="E1137" s="2" t="n">
        <f aca="false">IF(B1137&lt;Test1_Hand!$B$12,1,0)</f>
        <v>0</v>
      </c>
      <c r="F1137" s="23" t="n">
        <f aca="false">Test1_Hand!$B$4+E1137*D1137</f>
        <v>16</v>
      </c>
      <c r="G1137" s="24" t="n">
        <f aca="false">Test1_Hand!$B$6*E1137*D1137+Test1_Hand!$B$7*MAX(0,F1137-Test1_Hand!$B$5)</f>
        <v>0</v>
      </c>
      <c r="H1137" s="2" t="n">
        <f aca="false">IF(B1137&lt;Test1_Hand!$B$13,1,0)</f>
        <v>0</v>
      </c>
      <c r="I1137" s="23" t="n">
        <f aca="false">Test1_Hand!$B$4+H1137*D1137</f>
        <v>16</v>
      </c>
      <c r="J1137" s="24" t="n">
        <f aca="false">Test1_Hand!$B$6*H1137*D1137+Test1_Hand!$B$7*MAX(0,I1137-Test1_Hand!$B$5)+Test1_Hand!$B$14</f>
        <v>6000</v>
      </c>
    </row>
    <row r="1138" customFormat="false" ht="15" hidden="false" customHeight="false" outlineLevel="0" collapsed="false">
      <c r="A1138" s="2" t="n">
        <v>1126</v>
      </c>
      <c r="B1138" s="22" t="n">
        <v>0.656944792759097</v>
      </c>
      <c r="C1138" s="22" t="n">
        <v>0.426651442483334</v>
      </c>
      <c r="D1138" s="23" t="n">
        <f aca="false">BETAINV(C1138,Test1_Hand!$B$21,Test1_Hand!$B$22,Test1_Hand!$B$9,Test1_Hand!$B$11)</f>
        <v>3.12737426251806</v>
      </c>
      <c r="E1138" s="2" t="n">
        <f aca="false">IF(B1138&lt;Test1_Hand!$B$12,1,0)</f>
        <v>0</v>
      </c>
      <c r="F1138" s="23" t="n">
        <f aca="false">Test1_Hand!$B$4+E1138*D1138</f>
        <v>16</v>
      </c>
      <c r="G1138" s="24" t="n">
        <f aca="false">Test1_Hand!$B$6*E1138*D1138+Test1_Hand!$B$7*MAX(0,F1138-Test1_Hand!$B$5)</f>
        <v>0</v>
      </c>
      <c r="H1138" s="2" t="n">
        <f aca="false">IF(B1138&lt;Test1_Hand!$B$13,1,0)</f>
        <v>0</v>
      </c>
      <c r="I1138" s="23" t="n">
        <f aca="false">Test1_Hand!$B$4+H1138*D1138</f>
        <v>16</v>
      </c>
      <c r="J1138" s="24" t="n">
        <f aca="false">Test1_Hand!$B$6*H1138*D1138+Test1_Hand!$B$7*MAX(0,I1138-Test1_Hand!$B$5)+Test1_Hand!$B$14</f>
        <v>6000</v>
      </c>
    </row>
    <row r="1139" customFormat="false" ht="15" hidden="false" customHeight="false" outlineLevel="0" collapsed="false">
      <c r="A1139" s="2" t="n">
        <v>1127</v>
      </c>
      <c r="B1139" s="22" t="n">
        <v>0.33483468765345</v>
      </c>
      <c r="C1139" s="22" t="n">
        <v>0.230334903221474</v>
      </c>
      <c r="D1139" s="23" t="n">
        <f aca="false">BETAINV(C1139,Test1_Hand!$B$21,Test1_Hand!$B$22,Test1_Hand!$B$9,Test1_Hand!$B$11)</f>
        <v>2.44058160040891</v>
      </c>
      <c r="E1139" s="2" t="n">
        <f aca="false">IF(B1139&lt;Test1_Hand!$B$12,1,0)</f>
        <v>1</v>
      </c>
      <c r="F1139" s="23" t="n">
        <f aca="false">Test1_Hand!$B$4+E1139*D1139</f>
        <v>18.4405816004089</v>
      </c>
      <c r="G1139" s="24" t="n">
        <f aca="false">Test1_Hand!$B$6*E1139*D1139+Test1_Hand!$B$7*MAX(0,F1139-Test1_Hand!$B$5)</f>
        <v>19524.6528032713</v>
      </c>
      <c r="H1139" s="2" t="n">
        <f aca="false">IF(B1139&lt;Test1_Hand!$B$13,1,0)</f>
        <v>0</v>
      </c>
      <c r="I1139" s="23" t="n">
        <f aca="false">Test1_Hand!$B$4+H1139*D1139</f>
        <v>16</v>
      </c>
      <c r="J1139" s="24" t="n">
        <f aca="false">Test1_Hand!$B$6*H1139*D1139+Test1_Hand!$B$7*MAX(0,I1139-Test1_Hand!$B$5)+Test1_Hand!$B$14</f>
        <v>6000</v>
      </c>
    </row>
    <row r="1140" customFormat="false" ht="15" hidden="false" customHeight="false" outlineLevel="0" collapsed="false">
      <c r="A1140" s="2" t="n">
        <v>1128</v>
      </c>
      <c r="B1140" s="22" t="n">
        <v>0.244438911727645</v>
      </c>
      <c r="C1140" s="22" t="n">
        <v>0.399962553651764</v>
      </c>
      <c r="D1140" s="23" t="n">
        <f aca="false">BETAINV(C1140,Test1_Hand!$B$21,Test1_Hand!$B$22,Test1_Hand!$B$9,Test1_Hand!$B$11)</f>
        <v>3.03560976052644</v>
      </c>
      <c r="E1140" s="2" t="n">
        <f aca="false">IF(B1140&lt;Test1_Hand!$B$12,1,0)</f>
        <v>1</v>
      </c>
      <c r="F1140" s="23" t="n">
        <f aca="false">Test1_Hand!$B$4+E1140*D1140</f>
        <v>19.0356097605264</v>
      </c>
      <c r="G1140" s="24" t="n">
        <f aca="false">Test1_Hand!$B$6*E1140*D1140+Test1_Hand!$B$7*MAX(0,F1140-Test1_Hand!$B$5)</f>
        <v>24284.8780842115</v>
      </c>
      <c r="H1140" s="2" t="n">
        <f aca="false">IF(B1140&lt;Test1_Hand!$B$13,1,0)</f>
        <v>0</v>
      </c>
      <c r="I1140" s="23" t="n">
        <f aca="false">Test1_Hand!$B$4+H1140*D1140</f>
        <v>16</v>
      </c>
      <c r="J1140" s="24" t="n">
        <f aca="false">Test1_Hand!$B$6*H1140*D1140+Test1_Hand!$B$7*MAX(0,I1140-Test1_Hand!$B$5)+Test1_Hand!$B$14</f>
        <v>6000</v>
      </c>
    </row>
    <row r="1141" customFormat="false" ht="15" hidden="false" customHeight="false" outlineLevel="0" collapsed="false">
      <c r="A1141" s="2" t="n">
        <v>1129</v>
      </c>
      <c r="B1141" s="22" t="n">
        <v>0.830275973178636</v>
      </c>
      <c r="C1141" s="22" t="n">
        <v>0.134654663517814</v>
      </c>
      <c r="D1141" s="23" t="n">
        <f aca="false">BETAINV(C1141,Test1_Hand!$B$21,Test1_Hand!$B$22,Test1_Hand!$B$9,Test1_Hand!$B$11)</f>
        <v>2.0623103795812</v>
      </c>
      <c r="E1141" s="2" t="n">
        <f aca="false">IF(B1141&lt;Test1_Hand!$B$12,1,0)</f>
        <v>0</v>
      </c>
      <c r="F1141" s="23" t="n">
        <f aca="false">Test1_Hand!$B$4+E1141*D1141</f>
        <v>16</v>
      </c>
      <c r="G1141" s="24" t="n">
        <f aca="false">Test1_Hand!$B$6*E1141*D1141+Test1_Hand!$B$7*MAX(0,F1141-Test1_Hand!$B$5)</f>
        <v>0</v>
      </c>
      <c r="H1141" s="2" t="n">
        <f aca="false">IF(B1141&lt;Test1_Hand!$B$13,1,0)</f>
        <v>0</v>
      </c>
      <c r="I1141" s="23" t="n">
        <f aca="false">Test1_Hand!$B$4+H1141*D1141</f>
        <v>16</v>
      </c>
      <c r="J1141" s="24" t="n">
        <f aca="false">Test1_Hand!$B$6*H1141*D1141+Test1_Hand!$B$7*MAX(0,I1141-Test1_Hand!$B$5)+Test1_Hand!$B$14</f>
        <v>6000</v>
      </c>
    </row>
    <row r="1142" customFormat="false" ht="15" hidden="false" customHeight="false" outlineLevel="0" collapsed="false">
      <c r="A1142" s="2" t="n">
        <v>1130</v>
      </c>
      <c r="B1142" s="22" t="n">
        <v>0.926290935147676</v>
      </c>
      <c r="C1142" s="22" t="n">
        <v>0.0234569831952737</v>
      </c>
      <c r="D1142" s="23" t="n">
        <f aca="false">BETAINV(C1142,Test1_Hand!$B$21,Test1_Hand!$B$22,Test1_Hand!$B$9,Test1_Hand!$B$11)</f>
        <v>1.43087159869772</v>
      </c>
      <c r="E1142" s="2" t="n">
        <f aca="false">IF(B1142&lt;Test1_Hand!$B$12,1,0)</f>
        <v>0</v>
      </c>
      <c r="F1142" s="23" t="n">
        <f aca="false">Test1_Hand!$B$4+E1142*D1142</f>
        <v>16</v>
      </c>
      <c r="G1142" s="24" t="n">
        <f aca="false">Test1_Hand!$B$6*E1142*D1142+Test1_Hand!$B$7*MAX(0,F1142-Test1_Hand!$B$5)</f>
        <v>0</v>
      </c>
      <c r="H1142" s="2" t="n">
        <f aca="false">IF(B1142&lt;Test1_Hand!$B$13,1,0)</f>
        <v>0</v>
      </c>
      <c r="I1142" s="23" t="n">
        <f aca="false">Test1_Hand!$B$4+H1142*D1142</f>
        <v>16</v>
      </c>
      <c r="J1142" s="24" t="n">
        <f aca="false">Test1_Hand!$B$6*H1142*D1142+Test1_Hand!$B$7*MAX(0,I1142-Test1_Hand!$B$5)+Test1_Hand!$B$14</f>
        <v>6000</v>
      </c>
    </row>
    <row r="1143" customFormat="false" ht="15" hidden="false" customHeight="false" outlineLevel="0" collapsed="false">
      <c r="A1143" s="2" t="n">
        <v>1131</v>
      </c>
      <c r="B1143" s="22" t="n">
        <v>0.988411068319904</v>
      </c>
      <c r="C1143" s="22" t="n">
        <v>0.81363492100011</v>
      </c>
      <c r="D1143" s="23" t="n">
        <f aca="false">BETAINV(C1143,Test1_Hand!$B$21,Test1_Hand!$B$22,Test1_Hand!$B$9,Test1_Hand!$B$11)</f>
        <v>4.70031889243149</v>
      </c>
      <c r="E1143" s="2" t="n">
        <f aca="false">IF(B1143&lt;Test1_Hand!$B$12,1,0)</f>
        <v>0</v>
      </c>
      <c r="F1143" s="23" t="n">
        <f aca="false">Test1_Hand!$B$4+E1143*D1143</f>
        <v>16</v>
      </c>
      <c r="G1143" s="24" t="n">
        <f aca="false">Test1_Hand!$B$6*E1143*D1143+Test1_Hand!$B$7*MAX(0,F1143-Test1_Hand!$B$5)</f>
        <v>0</v>
      </c>
      <c r="H1143" s="2" t="n">
        <f aca="false">IF(B1143&lt;Test1_Hand!$B$13,1,0)</f>
        <v>0</v>
      </c>
      <c r="I1143" s="23" t="n">
        <f aca="false">Test1_Hand!$B$4+H1143*D1143</f>
        <v>16</v>
      </c>
      <c r="J1143" s="24" t="n">
        <f aca="false">Test1_Hand!$B$6*H1143*D1143+Test1_Hand!$B$7*MAX(0,I1143-Test1_Hand!$B$5)+Test1_Hand!$B$14</f>
        <v>6000</v>
      </c>
    </row>
    <row r="1144" customFormat="false" ht="15" hidden="false" customHeight="false" outlineLevel="0" collapsed="false">
      <c r="A1144" s="2" t="n">
        <v>1132</v>
      </c>
      <c r="B1144" s="22" t="n">
        <v>0.808346766234373</v>
      </c>
      <c r="C1144" s="22" t="n">
        <v>0.784247756840398</v>
      </c>
      <c r="D1144" s="23" t="n">
        <f aca="false">BETAINV(C1144,Test1_Hand!$B$21,Test1_Hand!$B$22,Test1_Hand!$B$9,Test1_Hand!$B$11)</f>
        <v>4.54338935444219</v>
      </c>
      <c r="E1144" s="2" t="n">
        <f aca="false">IF(B1144&lt;Test1_Hand!$B$12,1,0)</f>
        <v>0</v>
      </c>
      <c r="F1144" s="23" t="n">
        <f aca="false">Test1_Hand!$B$4+E1144*D1144</f>
        <v>16</v>
      </c>
      <c r="G1144" s="24" t="n">
        <f aca="false">Test1_Hand!$B$6*E1144*D1144+Test1_Hand!$B$7*MAX(0,F1144-Test1_Hand!$B$5)</f>
        <v>0</v>
      </c>
      <c r="H1144" s="2" t="n">
        <f aca="false">IF(B1144&lt;Test1_Hand!$B$13,1,0)</f>
        <v>0</v>
      </c>
      <c r="I1144" s="23" t="n">
        <f aca="false">Test1_Hand!$B$4+H1144*D1144</f>
        <v>16</v>
      </c>
      <c r="J1144" s="24" t="n">
        <f aca="false">Test1_Hand!$B$6*H1144*D1144+Test1_Hand!$B$7*MAX(0,I1144-Test1_Hand!$B$5)+Test1_Hand!$B$14</f>
        <v>6000</v>
      </c>
    </row>
    <row r="1145" customFormat="false" ht="15" hidden="false" customHeight="false" outlineLevel="0" collapsed="false">
      <c r="A1145" s="2" t="n">
        <v>1133</v>
      </c>
      <c r="B1145" s="22" t="n">
        <v>0.735167240344663</v>
      </c>
      <c r="C1145" s="22" t="n">
        <v>0.91971205723055</v>
      </c>
      <c r="D1145" s="23" t="n">
        <f aca="false">BETAINV(C1145,Test1_Hand!$B$21,Test1_Hand!$B$22,Test1_Hand!$B$9,Test1_Hand!$B$11)</f>
        <v>5.44471087014751</v>
      </c>
      <c r="E1145" s="2" t="n">
        <f aca="false">IF(B1145&lt;Test1_Hand!$B$12,1,0)</f>
        <v>0</v>
      </c>
      <c r="F1145" s="23" t="n">
        <f aca="false">Test1_Hand!$B$4+E1145*D1145</f>
        <v>16</v>
      </c>
      <c r="G1145" s="24" t="n">
        <f aca="false">Test1_Hand!$B$6*E1145*D1145+Test1_Hand!$B$7*MAX(0,F1145-Test1_Hand!$B$5)</f>
        <v>0</v>
      </c>
      <c r="H1145" s="2" t="n">
        <f aca="false">IF(B1145&lt;Test1_Hand!$B$13,1,0)</f>
        <v>0</v>
      </c>
      <c r="I1145" s="23" t="n">
        <f aca="false">Test1_Hand!$B$4+H1145*D1145</f>
        <v>16</v>
      </c>
      <c r="J1145" s="24" t="n">
        <f aca="false">Test1_Hand!$B$6*H1145*D1145+Test1_Hand!$B$7*MAX(0,I1145-Test1_Hand!$B$5)+Test1_Hand!$B$14</f>
        <v>6000</v>
      </c>
    </row>
    <row r="1146" customFormat="false" ht="15" hidden="false" customHeight="false" outlineLevel="0" collapsed="false">
      <c r="A1146" s="2" t="n">
        <v>1134</v>
      </c>
      <c r="B1146" s="22" t="n">
        <v>0.145063250563706</v>
      </c>
      <c r="C1146" s="22" t="n">
        <v>0.729454650040602</v>
      </c>
      <c r="D1146" s="23" t="n">
        <f aca="false">BETAINV(C1146,Test1_Hand!$B$21,Test1_Hand!$B$22,Test1_Hand!$B$9,Test1_Hand!$B$11)</f>
        <v>4.27967633515151</v>
      </c>
      <c r="E1146" s="2" t="n">
        <f aca="false">IF(B1146&lt;Test1_Hand!$B$12,1,0)</f>
        <v>1</v>
      </c>
      <c r="F1146" s="23" t="n">
        <f aca="false">Test1_Hand!$B$4+E1146*D1146</f>
        <v>20.2796763351515</v>
      </c>
      <c r="G1146" s="24" t="n">
        <f aca="false">Test1_Hand!$B$6*E1146*D1146+Test1_Hand!$B$7*MAX(0,F1146-Test1_Hand!$B$5)</f>
        <v>35635.7923569696</v>
      </c>
      <c r="H1146" s="2" t="n">
        <f aca="false">IF(B1146&lt;Test1_Hand!$B$13,1,0)</f>
        <v>1</v>
      </c>
      <c r="I1146" s="23" t="n">
        <f aca="false">Test1_Hand!$B$4+H1146*D1146</f>
        <v>20.2796763351515</v>
      </c>
      <c r="J1146" s="24" t="n">
        <f aca="false">Test1_Hand!$B$6*H1146*D1146+Test1_Hand!$B$7*MAX(0,I1146-Test1_Hand!$B$5)+Test1_Hand!$B$14</f>
        <v>41635.7923569696</v>
      </c>
    </row>
    <row r="1147" customFormat="false" ht="15" hidden="false" customHeight="false" outlineLevel="0" collapsed="false">
      <c r="A1147" s="2" t="n">
        <v>1135</v>
      </c>
      <c r="B1147" s="22" t="n">
        <v>0.0524635382057669</v>
      </c>
      <c r="C1147" s="22" t="n">
        <v>0.357999190515104</v>
      </c>
      <c r="D1147" s="23" t="n">
        <f aca="false">BETAINV(C1147,Test1_Hand!$B$21,Test1_Hand!$B$22,Test1_Hand!$B$9,Test1_Hand!$B$11)</f>
        <v>2.89144507874423</v>
      </c>
      <c r="E1147" s="2" t="n">
        <f aca="false">IF(B1147&lt;Test1_Hand!$B$12,1,0)</f>
        <v>1</v>
      </c>
      <c r="F1147" s="23" t="n">
        <f aca="false">Test1_Hand!$B$4+E1147*D1147</f>
        <v>18.8914450787442</v>
      </c>
      <c r="G1147" s="24" t="n">
        <f aca="false">Test1_Hand!$B$6*E1147*D1147+Test1_Hand!$B$7*MAX(0,F1147-Test1_Hand!$B$5)</f>
        <v>23131.5606299539</v>
      </c>
      <c r="H1147" s="2" t="n">
        <f aca="false">IF(B1147&lt;Test1_Hand!$B$13,1,0)</f>
        <v>1</v>
      </c>
      <c r="I1147" s="23" t="n">
        <f aca="false">Test1_Hand!$B$4+H1147*D1147</f>
        <v>18.8914450787442</v>
      </c>
      <c r="J1147" s="24" t="n">
        <f aca="false">Test1_Hand!$B$6*H1147*D1147+Test1_Hand!$B$7*MAX(0,I1147-Test1_Hand!$B$5)+Test1_Hand!$B$14</f>
        <v>29131.5606299539</v>
      </c>
    </row>
    <row r="1148" customFormat="false" ht="15" hidden="false" customHeight="false" outlineLevel="0" collapsed="false">
      <c r="A1148" s="2" t="n">
        <v>1136</v>
      </c>
      <c r="B1148" s="22" t="n">
        <v>0.728023384056798</v>
      </c>
      <c r="C1148" s="22" t="n">
        <v>0.573348648479923</v>
      </c>
      <c r="D1148" s="23" t="n">
        <f aca="false">BETAINV(C1148,Test1_Hand!$B$21,Test1_Hand!$B$22,Test1_Hand!$B$9,Test1_Hand!$B$11)</f>
        <v>3.64720984927502</v>
      </c>
      <c r="E1148" s="2" t="n">
        <f aca="false">IF(B1148&lt;Test1_Hand!$B$12,1,0)</f>
        <v>0</v>
      </c>
      <c r="F1148" s="23" t="n">
        <f aca="false">Test1_Hand!$B$4+E1148*D1148</f>
        <v>16</v>
      </c>
      <c r="G1148" s="24" t="n">
        <f aca="false">Test1_Hand!$B$6*E1148*D1148+Test1_Hand!$B$7*MAX(0,F1148-Test1_Hand!$B$5)</f>
        <v>0</v>
      </c>
      <c r="H1148" s="2" t="n">
        <f aca="false">IF(B1148&lt;Test1_Hand!$B$13,1,0)</f>
        <v>0</v>
      </c>
      <c r="I1148" s="23" t="n">
        <f aca="false">Test1_Hand!$B$4+H1148*D1148</f>
        <v>16</v>
      </c>
      <c r="J1148" s="24" t="n">
        <f aca="false">Test1_Hand!$B$6*H1148*D1148+Test1_Hand!$B$7*MAX(0,I1148-Test1_Hand!$B$5)+Test1_Hand!$B$14</f>
        <v>6000</v>
      </c>
    </row>
    <row r="1149" customFormat="false" ht="15" hidden="false" customHeight="false" outlineLevel="0" collapsed="false">
      <c r="A1149" s="2" t="n">
        <v>1137</v>
      </c>
      <c r="B1149" s="22" t="n">
        <v>0.50477244051994</v>
      </c>
      <c r="C1149" s="22" t="n">
        <v>0.0546703028345339</v>
      </c>
      <c r="D1149" s="23" t="n">
        <f aca="false">BETAINV(C1149,Test1_Hand!$B$21,Test1_Hand!$B$22,Test1_Hand!$B$9,Test1_Hand!$B$11)</f>
        <v>1.6596208528859</v>
      </c>
      <c r="E1149" s="2" t="n">
        <f aca="false">IF(B1149&lt;Test1_Hand!$B$12,1,0)</f>
        <v>0</v>
      </c>
      <c r="F1149" s="23" t="n">
        <f aca="false">Test1_Hand!$B$4+E1149*D1149</f>
        <v>16</v>
      </c>
      <c r="G1149" s="24" t="n">
        <f aca="false">Test1_Hand!$B$6*E1149*D1149+Test1_Hand!$B$7*MAX(0,F1149-Test1_Hand!$B$5)</f>
        <v>0</v>
      </c>
      <c r="H1149" s="2" t="n">
        <f aca="false">IF(B1149&lt;Test1_Hand!$B$13,1,0)</f>
        <v>0</v>
      </c>
      <c r="I1149" s="23" t="n">
        <f aca="false">Test1_Hand!$B$4+H1149*D1149</f>
        <v>16</v>
      </c>
      <c r="J1149" s="24" t="n">
        <f aca="false">Test1_Hand!$B$6*H1149*D1149+Test1_Hand!$B$7*MAX(0,I1149-Test1_Hand!$B$5)+Test1_Hand!$B$14</f>
        <v>6000</v>
      </c>
    </row>
    <row r="1150" customFormat="false" ht="15" hidden="false" customHeight="false" outlineLevel="0" collapsed="false">
      <c r="A1150" s="2" t="n">
        <v>1138</v>
      </c>
      <c r="B1150" s="22" t="n">
        <v>0.725781797278077</v>
      </c>
      <c r="C1150" s="22" t="n">
        <v>0.205376383039591</v>
      </c>
      <c r="D1150" s="23" t="n">
        <f aca="false">BETAINV(C1150,Test1_Hand!$B$21,Test1_Hand!$B$22,Test1_Hand!$B$9,Test1_Hand!$B$11)</f>
        <v>2.3472014254277</v>
      </c>
      <c r="E1150" s="2" t="n">
        <f aca="false">IF(B1150&lt;Test1_Hand!$B$12,1,0)</f>
        <v>0</v>
      </c>
      <c r="F1150" s="23" t="n">
        <f aca="false">Test1_Hand!$B$4+E1150*D1150</f>
        <v>16</v>
      </c>
      <c r="G1150" s="24" t="n">
        <f aca="false">Test1_Hand!$B$6*E1150*D1150+Test1_Hand!$B$7*MAX(0,F1150-Test1_Hand!$B$5)</f>
        <v>0</v>
      </c>
      <c r="H1150" s="2" t="n">
        <f aca="false">IF(B1150&lt;Test1_Hand!$B$13,1,0)</f>
        <v>0</v>
      </c>
      <c r="I1150" s="23" t="n">
        <f aca="false">Test1_Hand!$B$4+H1150*D1150</f>
        <v>16</v>
      </c>
      <c r="J1150" s="24" t="n">
        <f aca="false">Test1_Hand!$B$6*H1150*D1150+Test1_Hand!$B$7*MAX(0,I1150-Test1_Hand!$B$5)+Test1_Hand!$B$14</f>
        <v>6000</v>
      </c>
    </row>
    <row r="1151" customFormat="false" ht="15" hidden="false" customHeight="false" outlineLevel="0" collapsed="false">
      <c r="A1151" s="2" t="n">
        <v>1139</v>
      </c>
      <c r="B1151" s="22" t="n">
        <v>0.509992679841102</v>
      </c>
      <c r="C1151" s="22" t="n">
        <v>0.976104363174654</v>
      </c>
      <c r="D1151" s="23" t="n">
        <f aca="false">BETAINV(C1151,Test1_Hand!$B$21,Test1_Hand!$B$22,Test1_Hand!$B$9,Test1_Hand!$B$11)</f>
        <v>6.19509566096988</v>
      </c>
      <c r="E1151" s="2" t="n">
        <f aca="false">IF(B1151&lt;Test1_Hand!$B$12,1,0)</f>
        <v>0</v>
      </c>
      <c r="F1151" s="23" t="n">
        <f aca="false">Test1_Hand!$B$4+E1151*D1151</f>
        <v>16</v>
      </c>
      <c r="G1151" s="24" t="n">
        <f aca="false">Test1_Hand!$B$6*E1151*D1151+Test1_Hand!$B$7*MAX(0,F1151-Test1_Hand!$B$5)</f>
        <v>0</v>
      </c>
      <c r="H1151" s="2" t="n">
        <f aca="false">IF(B1151&lt;Test1_Hand!$B$13,1,0)</f>
        <v>0</v>
      </c>
      <c r="I1151" s="23" t="n">
        <f aca="false">Test1_Hand!$B$4+H1151*D1151</f>
        <v>16</v>
      </c>
      <c r="J1151" s="24" t="n">
        <f aca="false">Test1_Hand!$B$6*H1151*D1151+Test1_Hand!$B$7*MAX(0,I1151-Test1_Hand!$B$5)+Test1_Hand!$B$14</f>
        <v>6000</v>
      </c>
    </row>
    <row r="1152" customFormat="false" ht="15" hidden="false" customHeight="false" outlineLevel="0" collapsed="false">
      <c r="A1152" s="2" t="n">
        <v>1140</v>
      </c>
      <c r="B1152" s="22" t="n">
        <v>0.482463208857132</v>
      </c>
      <c r="C1152" s="22" t="n">
        <v>0.677697849291318</v>
      </c>
      <c r="D1152" s="23" t="n">
        <f aca="false">BETAINV(C1152,Test1_Hand!$B$21,Test1_Hand!$B$22,Test1_Hand!$B$9,Test1_Hand!$B$11)</f>
        <v>4.05499996130051</v>
      </c>
      <c r="E1152" s="2" t="n">
        <f aca="false">IF(B1152&lt;Test1_Hand!$B$12,1,0)</f>
        <v>1</v>
      </c>
      <c r="F1152" s="23" t="n">
        <f aca="false">Test1_Hand!$B$4+E1152*D1152</f>
        <v>20.0549999613005</v>
      </c>
      <c r="G1152" s="24" t="n">
        <f aca="false">Test1_Hand!$B$6*E1152*D1152+Test1_Hand!$B$7*MAX(0,F1152-Test1_Hand!$B$5)</f>
        <v>32714.9994969066</v>
      </c>
      <c r="H1152" s="2" t="n">
        <f aca="false">IF(B1152&lt;Test1_Hand!$B$13,1,0)</f>
        <v>0</v>
      </c>
      <c r="I1152" s="23" t="n">
        <f aca="false">Test1_Hand!$B$4+H1152*D1152</f>
        <v>16</v>
      </c>
      <c r="J1152" s="24" t="n">
        <f aca="false">Test1_Hand!$B$6*H1152*D1152+Test1_Hand!$B$7*MAX(0,I1152-Test1_Hand!$B$5)+Test1_Hand!$B$14</f>
        <v>6000</v>
      </c>
    </row>
    <row r="1153" customFormat="false" ht="15" hidden="false" customHeight="false" outlineLevel="0" collapsed="false">
      <c r="A1153" s="2" t="n">
        <v>1141</v>
      </c>
      <c r="B1153" s="22" t="n">
        <v>0.376571765061477</v>
      </c>
      <c r="C1153" s="22" t="n">
        <v>0.639046806440986</v>
      </c>
      <c r="D1153" s="23" t="n">
        <f aca="false">BETAINV(C1153,Test1_Hand!$B$21,Test1_Hand!$B$22,Test1_Hand!$B$9,Test1_Hand!$B$11)</f>
        <v>3.89823180427624</v>
      </c>
      <c r="E1153" s="2" t="n">
        <f aca="false">IF(B1153&lt;Test1_Hand!$B$12,1,0)</f>
        <v>1</v>
      </c>
      <c r="F1153" s="23" t="n">
        <f aca="false">Test1_Hand!$B$4+E1153*D1153</f>
        <v>19.8982318042762</v>
      </c>
      <c r="G1153" s="24" t="n">
        <f aca="false">Test1_Hand!$B$6*E1153*D1153+Test1_Hand!$B$7*MAX(0,F1153-Test1_Hand!$B$5)</f>
        <v>31185.8544342099</v>
      </c>
      <c r="H1153" s="2" t="n">
        <f aca="false">IF(B1153&lt;Test1_Hand!$B$13,1,0)</f>
        <v>0</v>
      </c>
      <c r="I1153" s="23" t="n">
        <f aca="false">Test1_Hand!$B$4+H1153*D1153</f>
        <v>16</v>
      </c>
      <c r="J1153" s="24" t="n">
        <f aca="false">Test1_Hand!$B$6*H1153*D1153+Test1_Hand!$B$7*MAX(0,I1153-Test1_Hand!$B$5)+Test1_Hand!$B$14</f>
        <v>6000</v>
      </c>
    </row>
    <row r="1154" customFormat="false" ht="15" hidden="false" customHeight="false" outlineLevel="0" collapsed="false">
      <c r="A1154" s="2" t="n">
        <v>1142</v>
      </c>
      <c r="B1154" s="22" t="n">
        <v>0.109442334241512</v>
      </c>
      <c r="C1154" s="22" t="n">
        <v>0.103396913594719</v>
      </c>
      <c r="D1154" s="23" t="n">
        <f aca="false">BETAINV(C1154,Test1_Hand!$B$21,Test1_Hand!$B$22,Test1_Hand!$B$9,Test1_Hand!$B$11)</f>
        <v>1.92064986116811</v>
      </c>
      <c r="E1154" s="2" t="n">
        <f aca="false">IF(B1154&lt;Test1_Hand!$B$12,1,0)</f>
        <v>1</v>
      </c>
      <c r="F1154" s="23" t="n">
        <f aca="false">Test1_Hand!$B$4+E1154*D1154</f>
        <v>17.9206498611681</v>
      </c>
      <c r="G1154" s="24" t="n">
        <f aca="false">Test1_Hand!$B$6*E1154*D1154+Test1_Hand!$B$7*MAX(0,F1154-Test1_Hand!$B$5)</f>
        <v>15365.1988893449</v>
      </c>
      <c r="H1154" s="2" t="n">
        <f aca="false">IF(B1154&lt;Test1_Hand!$B$13,1,0)</f>
        <v>1</v>
      </c>
      <c r="I1154" s="23" t="n">
        <f aca="false">Test1_Hand!$B$4+H1154*D1154</f>
        <v>17.9206498611681</v>
      </c>
      <c r="J1154" s="24" t="n">
        <f aca="false">Test1_Hand!$B$6*H1154*D1154+Test1_Hand!$B$7*MAX(0,I1154-Test1_Hand!$B$5)+Test1_Hand!$B$14</f>
        <v>21365.1988893449</v>
      </c>
    </row>
    <row r="1155" customFormat="false" ht="15" hidden="false" customHeight="false" outlineLevel="0" collapsed="false">
      <c r="A1155" s="2" t="n">
        <v>1143</v>
      </c>
      <c r="B1155" s="22" t="n">
        <v>0.144410507897929</v>
      </c>
      <c r="C1155" s="22" t="n">
        <v>0.705948849483066</v>
      </c>
      <c r="D1155" s="23" t="n">
        <f aca="false">BETAINV(C1155,Test1_Hand!$B$21,Test1_Hand!$B$22,Test1_Hand!$B$9,Test1_Hand!$B$11)</f>
        <v>4.17522078868573</v>
      </c>
      <c r="E1155" s="2" t="n">
        <f aca="false">IF(B1155&lt;Test1_Hand!$B$12,1,0)</f>
        <v>1</v>
      </c>
      <c r="F1155" s="23" t="n">
        <f aca="false">Test1_Hand!$B$4+E1155*D1155</f>
        <v>20.1752207886857</v>
      </c>
      <c r="G1155" s="24" t="n">
        <f aca="false">Test1_Hand!$B$6*E1155*D1155+Test1_Hand!$B$7*MAX(0,F1155-Test1_Hand!$B$5)</f>
        <v>34277.8702529144</v>
      </c>
      <c r="H1155" s="2" t="n">
        <f aca="false">IF(B1155&lt;Test1_Hand!$B$13,1,0)</f>
        <v>1</v>
      </c>
      <c r="I1155" s="23" t="n">
        <f aca="false">Test1_Hand!$B$4+H1155*D1155</f>
        <v>20.1752207886857</v>
      </c>
      <c r="J1155" s="24" t="n">
        <f aca="false">Test1_Hand!$B$6*H1155*D1155+Test1_Hand!$B$7*MAX(0,I1155-Test1_Hand!$B$5)+Test1_Hand!$B$14</f>
        <v>40277.8702529144</v>
      </c>
    </row>
    <row r="1156" customFormat="false" ht="15" hidden="false" customHeight="false" outlineLevel="0" collapsed="false">
      <c r="A1156" s="2" t="n">
        <v>1144</v>
      </c>
      <c r="B1156" s="22" t="n">
        <v>0.198451826458478</v>
      </c>
      <c r="C1156" s="22" t="n">
        <v>0.195222440205428</v>
      </c>
      <c r="D1156" s="23" t="n">
        <f aca="false">BETAINV(C1156,Test1_Hand!$B$21,Test1_Hand!$B$22,Test1_Hand!$B$9,Test1_Hand!$B$11)</f>
        <v>2.30837169218528</v>
      </c>
      <c r="E1156" s="2" t="n">
        <f aca="false">IF(B1156&lt;Test1_Hand!$B$12,1,0)</f>
        <v>1</v>
      </c>
      <c r="F1156" s="23" t="n">
        <f aca="false">Test1_Hand!$B$4+E1156*D1156</f>
        <v>18.3083716921853</v>
      </c>
      <c r="G1156" s="24" t="n">
        <f aca="false">Test1_Hand!$B$6*E1156*D1156+Test1_Hand!$B$7*MAX(0,F1156-Test1_Hand!$B$5)</f>
        <v>18466.9735374822</v>
      </c>
      <c r="H1156" s="2" t="n">
        <f aca="false">IF(B1156&lt;Test1_Hand!$B$13,1,0)</f>
        <v>1</v>
      </c>
      <c r="I1156" s="23" t="n">
        <f aca="false">Test1_Hand!$B$4+H1156*D1156</f>
        <v>18.3083716921853</v>
      </c>
      <c r="J1156" s="24" t="n">
        <f aca="false">Test1_Hand!$B$6*H1156*D1156+Test1_Hand!$B$7*MAX(0,I1156-Test1_Hand!$B$5)+Test1_Hand!$B$14</f>
        <v>24466.9735374822</v>
      </c>
    </row>
    <row r="1157" customFormat="false" ht="15" hidden="false" customHeight="false" outlineLevel="0" collapsed="false">
      <c r="A1157" s="2" t="n">
        <v>1145</v>
      </c>
      <c r="B1157" s="22" t="n">
        <v>0.63762934214091</v>
      </c>
      <c r="C1157" s="22" t="n">
        <v>0.33047831488883</v>
      </c>
      <c r="D1157" s="23" t="n">
        <f aca="false">BETAINV(C1157,Test1_Hand!$B$21,Test1_Hand!$B$22,Test1_Hand!$B$9,Test1_Hand!$B$11)</f>
        <v>2.79646367096886</v>
      </c>
      <c r="E1157" s="2" t="n">
        <f aca="false">IF(B1157&lt;Test1_Hand!$B$12,1,0)</f>
        <v>0</v>
      </c>
      <c r="F1157" s="23" t="n">
        <f aca="false">Test1_Hand!$B$4+E1157*D1157</f>
        <v>16</v>
      </c>
      <c r="G1157" s="24" t="n">
        <f aca="false">Test1_Hand!$B$6*E1157*D1157+Test1_Hand!$B$7*MAX(0,F1157-Test1_Hand!$B$5)</f>
        <v>0</v>
      </c>
      <c r="H1157" s="2" t="n">
        <f aca="false">IF(B1157&lt;Test1_Hand!$B$13,1,0)</f>
        <v>0</v>
      </c>
      <c r="I1157" s="23" t="n">
        <f aca="false">Test1_Hand!$B$4+H1157*D1157</f>
        <v>16</v>
      </c>
      <c r="J1157" s="24" t="n">
        <f aca="false">Test1_Hand!$B$6*H1157*D1157+Test1_Hand!$B$7*MAX(0,I1157-Test1_Hand!$B$5)+Test1_Hand!$B$14</f>
        <v>6000</v>
      </c>
    </row>
    <row r="1158" customFormat="false" ht="15" hidden="false" customHeight="false" outlineLevel="0" collapsed="false">
      <c r="A1158" s="2" t="n">
        <v>1146</v>
      </c>
      <c r="B1158" s="22" t="n">
        <v>0.618830633062206</v>
      </c>
      <c r="C1158" s="22" t="n">
        <v>0.160866181244133</v>
      </c>
      <c r="D1158" s="23" t="n">
        <f aca="false">BETAINV(C1158,Test1_Hand!$B$21,Test1_Hand!$B$22,Test1_Hand!$B$9,Test1_Hand!$B$11)</f>
        <v>2.17236467235539</v>
      </c>
      <c r="E1158" s="2" t="n">
        <f aca="false">IF(B1158&lt;Test1_Hand!$B$12,1,0)</f>
        <v>0</v>
      </c>
      <c r="F1158" s="23" t="n">
        <f aca="false">Test1_Hand!$B$4+E1158*D1158</f>
        <v>16</v>
      </c>
      <c r="G1158" s="24" t="n">
        <f aca="false">Test1_Hand!$B$6*E1158*D1158+Test1_Hand!$B$7*MAX(0,F1158-Test1_Hand!$B$5)</f>
        <v>0</v>
      </c>
      <c r="H1158" s="2" t="n">
        <f aca="false">IF(B1158&lt;Test1_Hand!$B$13,1,0)</f>
        <v>0</v>
      </c>
      <c r="I1158" s="23" t="n">
        <f aca="false">Test1_Hand!$B$4+H1158*D1158</f>
        <v>16</v>
      </c>
      <c r="J1158" s="24" t="n">
        <f aca="false">Test1_Hand!$B$6*H1158*D1158+Test1_Hand!$B$7*MAX(0,I1158-Test1_Hand!$B$5)+Test1_Hand!$B$14</f>
        <v>6000</v>
      </c>
    </row>
    <row r="1159" customFormat="false" ht="15" hidden="false" customHeight="false" outlineLevel="0" collapsed="false">
      <c r="A1159" s="2" t="n">
        <v>1147</v>
      </c>
      <c r="B1159" s="22" t="n">
        <v>0.120092343355584</v>
      </c>
      <c r="C1159" s="22" t="n">
        <v>0.510817619447771</v>
      </c>
      <c r="D1159" s="23" t="n">
        <f aca="false">BETAINV(C1159,Test1_Hand!$B$21,Test1_Hand!$B$22,Test1_Hand!$B$9,Test1_Hand!$B$11)</f>
        <v>3.42086559283249</v>
      </c>
      <c r="E1159" s="2" t="n">
        <f aca="false">IF(B1159&lt;Test1_Hand!$B$12,1,0)</f>
        <v>1</v>
      </c>
      <c r="F1159" s="23" t="n">
        <f aca="false">Test1_Hand!$B$4+E1159*D1159</f>
        <v>19.4208655928325</v>
      </c>
      <c r="G1159" s="24" t="n">
        <f aca="false">Test1_Hand!$B$6*E1159*D1159+Test1_Hand!$B$7*MAX(0,F1159-Test1_Hand!$B$5)</f>
        <v>27366.9247426599</v>
      </c>
      <c r="H1159" s="2" t="n">
        <f aca="false">IF(B1159&lt;Test1_Hand!$B$13,1,0)</f>
        <v>1</v>
      </c>
      <c r="I1159" s="23" t="n">
        <f aca="false">Test1_Hand!$B$4+H1159*D1159</f>
        <v>19.4208655928325</v>
      </c>
      <c r="J1159" s="24" t="n">
        <f aca="false">Test1_Hand!$B$6*H1159*D1159+Test1_Hand!$B$7*MAX(0,I1159-Test1_Hand!$B$5)+Test1_Hand!$B$14</f>
        <v>33366.9247426599</v>
      </c>
    </row>
    <row r="1160" customFormat="false" ht="15" hidden="false" customHeight="false" outlineLevel="0" collapsed="false">
      <c r="A1160" s="2" t="n">
        <v>1148</v>
      </c>
      <c r="B1160" s="22" t="n">
        <v>0.245075051402856</v>
      </c>
      <c r="C1160" s="22" t="n">
        <v>0.168765762414427</v>
      </c>
      <c r="D1160" s="23" t="n">
        <f aca="false">BETAINV(C1160,Test1_Hand!$B$21,Test1_Hand!$B$22,Test1_Hand!$B$9,Test1_Hand!$B$11)</f>
        <v>2.20435808857923</v>
      </c>
      <c r="E1160" s="2" t="n">
        <f aca="false">IF(B1160&lt;Test1_Hand!$B$12,1,0)</f>
        <v>1</v>
      </c>
      <c r="F1160" s="23" t="n">
        <f aca="false">Test1_Hand!$B$4+E1160*D1160</f>
        <v>18.2043580885792</v>
      </c>
      <c r="G1160" s="24" t="n">
        <f aca="false">Test1_Hand!$B$6*E1160*D1160+Test1_Hand!$B$7*MAX(0,F1160-Test1_Hand!$B$5)</f>
        <v>17634.8647086339</v>
      </c>
      <c r="H1160" s="2" t="n">
        <f aca="false">IF(B1160&lt;Test1_Hand!$B$13,1,0)</f>
        <v>0</v>
      </c>
      <c r="I1160" s="23" t="n">
        <f aca="false">Test1_Hand!$B$4+H1160*D1160</f>
        <v>16</v>
      </c>
      <c r="J1160" s="24" t="n">
        <f aca="false">Test1_Hand!$B$6*H1160*D1160+Test1_Hand!$B$7*MAX(0,I1160-Test1_Hand!$B$5)+Test1_Hand!$B$14</f>
        <v>6000</v>
      </c>
    </row>
    <row r="1161" customFormat="false" ht="15" hidden="false" customHeight="false" outlineLevel="0" collapsed="false">
      <c r="A1161" s="2" t="n">
        <v>1149</v>
      </c>
      <c r="B1161" s="22" t="n">
        <v>0.0423988492189521</v>
      </c>
      <c r="C1161" s="22" t="n">
        <v>0.946429652139798</v>
      </c>
      <c r="D1161" s="23" t="n">
        <f aca="false">BETAINV(C1161,Test1_Hand!$B$21,Test1_Hand!$B$22,Test1_Hand!$B$9,Test1_Hand!$B$11)</f>
        <v>5.72919134091835</v>
      </c>
      <c r="E1161" s="2" t="n">
        <f aca="false">IF(B1161&lt;Test1_Hand!$B$12,1,0)</f>
        <v>1</v>
      </c>
      <c r="F1161" s="23" t="n">
        <f aca="false">Test1_Hand!$B$4+E1161*D1161</f>
        <v>21.7291913409183</v>
      </c>
      <c r="G1161" s="24" t="n">
        <f aca="false">Test1_Hand!$B$6*E1161*D1161+Test1_Hand!$B$7*MAX(0,F1161-Test1_Hand!$B$5)</f>
        <v>54479.4874319385</v>
      </c>
      <c r="H1161" s="2" t="n">
        <f aca="false">IF(B1161&lt;Test1_Hand!$B$13,1,0)</f>
        <v>1</v>
      </c>
      <c r="I1161" s="23" t="n">
        <f aca="false">Test1_Hand!$B$4+H1161*D1161</f>
        <v>21.7291913409183</v>
      </c>
      <c r="J1161" s="24" t="n">
        <f aca="false">Test1_Hand!$B$6*H1161*D1161+Test1_Hand!$B$7*MAX(0,I1161-Test1_Hand!$B$5)+Test1_Hand!$B$14</f>
        <v>60479.4874319385</v>
      </c>
    </row>
    <row r="1162" customFormat="false" ht="15" hidden="false" customHeight="false" outlineLevel="0" collapsed="false">
      <c r="A1162" s="2" t="n">
        <v>1150</v>
      </c>
      <c r="B1162" s="22" t="n">
        <v>0.572669580442108</v>
      </c>
      <c r="C1162" s="22" t="n">
        <v>0.676126892213197</v>
      </c>
      <c r="D1162" s="23" t="n">
        <f aca="false">BETAINV(C1162,Test1_Hand!$B$21,Test1_Hand!$B$22,Test1_Hand!$B$9,Test1_Hand!$B$11)</f>
        <v>4.04846582477565</v>
      </c>
      <c r="E1162" s="2" t="n">
        <f aca="false">IF(B1162&lt;Test1_Hand!$B$12,1,0)</f>
        <v>0</v>
      </c>
      <c r="F1162" s="23" t="n">
        <f aca="false">Test1_Hand!$B$4+E1162*D1162</f>
        <v>16</v>
      </c>
      <c r="G1162" s="24" t="n">
        <f aca="false">Test1_Hand!$B$6*E1162*D1162+Test1_Hand!$B$7*MAX(0,F1162-Test1_Hand!$B$5)</f>
        <v>0</v>
      </c>
      <c r="H1162" s="2" t="n">
        <f aca="false">IF(B1162&lt;Test1_Hand!$B$13,1,0)</f>
        <v>0</v>
      </c>
      <c r="I1162" s="23" t="n">
        <f aca="false">Test1_Hand!$B$4+H1162*D1162</f>
        <v>16</v>
      </c>
      <c r="J1162" s="24" t="n">
        <f aca="false">Test1_Hand!$B$6*H1162*D1162+Test1_Hand!$B$7*MAX(0,I1162-Test1_Hand!$B$5)+Test1_Hand!$B$14</f>
        <v>6000</v>
      </c>
    </row>
    <row r="1163" customFormat="false" ht="15" hidden="false" customHeight="false" outlineLevel="0" collapsed="false">
      <c r="A1163" s="2" t="n">
        <v>1151</v>
      </c>
      <c r="B1163" s="22" t="n">
        <v>0.908547147353814</v>
      </c>
      <c r="C1163" s="22" t="n">
        <v>0.959222981352882</v>
      </c>
      <c r="D1163" s="23" t="n">
        <f aca="false">BETAINV(C1163,Test1_Hand!$B$21,Test1_Hand!$B$22,Test1_Hand!$B$9,Test1_Hand!$B$11)</f>
        <v>5.90037298591787</v>
      </c>
      <c r="E1163" s="2" t="n">
        <f aca="false">IF(B1163&lt;Test1_Hand!$B$12,1,0)</f>
        <v>0</v>
      </c>
      <c r="F1163" s="23" t="n">
        <f aca="false">Test1_Hand!$B$4+E1163*D1163</f>
        <v>16</v>
      </c>
      <c r="G1163" s="24" t="n">
        <f aca="false">Test1_Hand!$B$6*E1163*D1163+Test1_Hand!$B$7*MAX(0,F1163-Test1_Hand!$B$5)</f>
        <v>0</v>
      </c>
      <c r="H1163" s="2" t="n">
        <f aca="false">IF(B1163&lt;Test1_Hand!$B$13,1,0)</f>
        <v>0</v>
      </c>
      <c r="I1163" s="23" t="n">
        <f aca="false">Test1_Hand!$B$4+H1163*D1163</f>
        <v>16</v>
      </c>
      <c r="J1163" s="24" t="n">
        <f aca="false">Test1_Hand!$B$6*H1163*D1163+Test1_Hand!$B$7*MAX(0,I1163-Test1_Hand!$B$5)+Test1_Hand!$B$14</f>
        <v>6000</v>
      </c>
    </row>
    <row r="1164" customFormat="false" ht="15" hidden="false" customHeight="false" outlineLevel="0" collapsed="false">
      <c r="A1164" s="2" t="n">
        <v>1152</v>
      </c>
      <c r="B1164" s="22" t="n">
        <v>0.673648662305882</v>
      </c>
      <c r="C1164" s="22" t="n">
        <v>0.985917023774627</v>
      </c>
      <c r="D1164" s="23" t="n">
        <f aca="false">BETAINV(C1164,Test1_Hand!$B$21,Test1_Hand!$B$22,Test1_Hand!$B$9,Test1_Hand!$B$11)</f>
        <v>6.44235157946225</v>
      </c>
      <c r="E1164" s="2" t="n">
        <f aca="false">IF(B1164&lt;Test1_Hand!$B$12,1,0)</f>
        <v>0</v>
      </c>
      <c r="F1164" s="23" t="n">
        <f aca="false">Test1_Hand!$B$4+E1164*D1164</f>
        <v>16</v>
      </c>
      <c r="G1164" s="24" t="n">
        <f aca="false">Test1_Hand!$B$6*E1164*D1164+Test1_Hand!$B$7*MAX(0,F1164-Test1_Hand!$B$5)</f>
        <v>0</v>
      </c>
      <c r="H1164" s="2" t="n">
        <f aca="false">IF(B1164&lt;Test1_Hand!$B$13,1,0)</f>
        <v>0</v>
      </c>
      <c r="I1164" s="23" t="n">
        <f aca="false">Test1_Hand!$B$4+H1164*D1164</f>
        <v>16</v>
      </c>
      <c r="J1164" s="24" t="n">
        <f aca="false">Test1_Hand!$B$6*H1164*D1164+Test1_Hand!$B$7*MAX(0,I1164-Test1_Hand!$B$5)+Test1_Hand!$B$14</f>
        <v>6000</v>
      </c>
    </row>
    <row r="1165" customFormat="false" ht="15" hidden="false" customHeight="false" outlineLevel="0" collapsed="false">
      <c r="A1165" s="2" t="n">
        <v>1153</v>
      </c>
      <c r="B1165" s="22" t="n">
        <v>0.5036765649521</v>
      </c>
      <c r="C1165" s="22" t="n">
        <v>0.405815525251663</v>
      </c>
      <c r="D1165" s="23" t="n">
        <f aca="false">BETAINV(C1165,Test1_Hand!$B$21,Test1_Hand!$B$22,Test1_Hand!$B$9,Test1_Hand!$B$11)</f>
        <v>3.05571351380846</v>
      </c>
      <c r="E1165" s="2" t="n">
        <f aca="false">IF(B1165&lt;Test1_Hand!$B$12,1,0)</f>
        <v>0</v>
      </c>
      <c r="F1165" s="23" t="n">
        <f aca="false">Test1_Hand!$B$4+E1165*D1165</f>
        <v>16</v>
      </c>
      <c r="G1165" s="24" t="n">
        <f aca="false">Test1_Hand!$B$6*E1165*D1165+Test1_Hand!$B$7*MAX(0,F1165-Test1_Hand!$B$5)</f>
        <v>0</v>
      </c>
      <c r="H1165" s="2" t="n">
        <f aca="false">IF(B1165&lt;Test1_Hand!$B$13,1,0)</f>
        <v>0</v>
      </c>
      <c r="I1165" s="23" t="n">
        <f aca="false">Test1_Hand!$B$4+H1165*D1165</f>
        <v>16</v>
      </c>
      <c r="J1165" s="24" t="n">
        <f aca="false">Test1_Hand!$B$6*H1165*D1165+Test1_Hand!$B$7*MAX(0,I1165-Test1_Hand!$B$5)+Test1_Hand!$B$14</f>
        <v>6000</v>
      </c>
    </row>
    <row r="1166" customFormat="false" ht="15" hidden="false" customHeight="false" outlineLevel="0" collapsed="false">
      <c r="A1166" s="2" t="n">
        <v>1154</v>
      </c>
      <c r="B1166" s="22" t="n">
        <v>0.168295723536002</v>
      </c>
      <c r="C1166" s="22" t="n">
        <v>0.409998253488691</v>
      </c>
      <c r="D1166" s="23" t="n">
        <f aca="false">BETAINV(C1166,Test1_Hand!$B$21,Test1_Hand!$B$22,Test1_Hand!$B$9,Test1_Hand!$B$11)</f>
        <v>3.07008557102024</v>
      </c>
      <c r="E1166" s="2" t="n">
        <f aca="false">IF(B1166&lt;Test1_Hand!$B$12,1,0)</f>
        <v>1</v>
      </c>
      <c r="F1166" s="23" t="n">
        <f aca="false">Test1_Hand!$B$4+E1166*D1166</f>
        <v>19.0700855710202</v>
      </c>
      <c r="G1166" s="24" t="n">
        <f aca="false">Test1_Hand!$B$6*E1166*D1166+Test1_Hand!$B$7*MAX(0,F1166-Test1_Hand!$B$5)</f>
        <v>24560.6845681619</v>
      </c>
      <c r="H1166" s="2" t="n">
        <f aca="false">IF(B1166&lt;Test1_Hand!$B$13,1,0)</f>
        <v>1</v>
      </c>
      <c r="I1166" s="23" t="n">
        <f aca="false">Test1_Hand!$B$4+H1166*D1166</f>
        <v>19.0700855710202</v>
      </c>
      <c r="J1166" s="24" t="n">
        <f aca="false">Test1_Hand!$B$6*H1166*D1166+Test1_Hand!$B$7*MAX(0,I1166-Test1_Hand!$B$5)+Test1_Hand!$B$14</f>
        <v>30560.6845681619</v>
      </c>
    </row>
    <row r="1167" customFormat="false" ht="15" hidden="false" customHeight="false" outlineLevel="0" collapsed="false">
      <c r="A1167" s="2" t="n">
        <v>1155</v>
      </c>
      <c r="B1167" s="22" t="n">
        <v>0.597393438637887</v>
      </c>
      <c r="C1167" s="22" t="n">
        <v>0.33978276128916</v>
      </c>
      <c r="D1167" s="23" t="n">
        <f aca="false">BETAINV(C1167,Test1_Hand!$B$21,Test1_Hand!$B$22,Test1_Hand!$B$9,Test1_Hand!$B$11)</f>
        <v>2.82864430266045</v>
      </c>
      <c r="E1167" s="2" t="n">
        <f aca="false">IF(B1167&lt;Test1_Hand!$B$12,1,0)</f>
        <v>0</v>
      </c>
      <c r="F1167" s="23" t="n">
        <f aca="false">Test1_Hand!$B$4+E1167*D1167</f>
        <v>16</v>
      </c>
      <c r="G1167" s="24" t="n">
        <f aca="false">Test1_Hand!$B$6*E1167*D1167+Test1_Hand!$B$7*MAX(0,F1167-Test1_Hand!$B$5)</f>
        <v>0</v>
      </c>
      <c r="H1167" s="2" t="n">
        <f aca="false">IF(B1167&lt;Test1_Hand!$B$13,1,0)</f>
        <v>0</v>
      </c>
      <c r="I1167" s="23" t="n">
        <f aca="false">Test1_Hand!$B$4+H1167*D1167</f>
        <v>16</v>
      </c>
      <c r="J1167" s="24" t="n">
        <f aca="false">Test1_Hand!$B$6*H1167*D1167+Test1_Hand!$B$7*MAX(0,I1167-Test1_Hand!$B$5)+Test1_Hand!$B$14</f>
        <v>6000</v>
      </c>
    </row>
    <row r="1168" customFormat="false" ht="15" hidden="false" customHeight="false" outlineLevel="0" collapsed="false">
      <c r="A1168" s="2" t="n">
        <v>1156</v>
      </c>
      <c r="B1168" s="22" t="n">
        <v>0.944522744554823</v>
      </c>
      <c r="C1168" s="22" t="n">
        <v>0.107927932546422</v>
      </c>
      <c r="D1168" s="23" t="n">
        <f aca="false">BETAINV(C1168,Test1_Hand!$B$21,Test1_Hand!$B$22,Test1_Hand!$B$9,Test1_Hand!$B$11)</f>
        <v>1.94207394166182</v>
      </c>
      <c r="E1168" s="2" t="n">
        <f aca="false">IF(B1168&lt;Test1_Hand!$B$12,1,0)</f>
        <v>0</v>
      </c>
      <c r="F1168" s="23" t="n">
        <f aca="false">Test1_Hand!$B$4+E1168*D1168</f>
        <v>16</v>
      </c>
      <c r="G1168" s="24" t="n">
        <f aca="false">Test1_Hand!$B$6*E1168*D1168+Test1_Hand!$B$7*MAX(0,F1168-Test1_Hand!$B$5)</f>
        <v>0</v>
      </c>
      <c r="H1168" s="2" t="n">
        <f aca="false">IF(B1168&lt;Test1_Hand!$B$13,1,0)</f>
        <v>0</v>
      </c>
      <c r="I1168" s="23" t="n">
        <f aca="false">Test1_Hand!$B$4+H1168*D1168</f>
        <v>16</v>
      </c>
      <c r="J1168" s="24" t="n">
        <f aca="false">Test1_Hand!$B$6*H1168*D1168+Test1_Hand!$B$7*MAX(0,I1168-Test1_Hand!$B$5)+Test1_Hand!$B$14</f>
        <v>6000</v>
      </c>
    </row>
    <row r="1169" customFormat="false" ht="15" hidden="false" customHeight="false" outlineLevel="0" collapsed="false">
      <c r="A1169" s="2" t="n">
        <v>1157</v>
      </c>
      <c r="B1169" s="22" t="n">
        <v>0.917193722559665</v>
      </c>
      <c r="C1169" s="22" t="n">
        <v>0.568176016611401</v>
      </c>
      <c r="D1169" s="23" t="n">
        <f aca="false">BETAINV(C1169,Test1_Hand!$B$21,Test1_Hand!$B$22,Test1_Hand!$B$9,Test1_Hand!$B$11)</f>
        <v>3.62809550096907</v>
      </c>
      <c r="E1169" s="2" t="n">
        <f aca="false">IF(B1169&lt;Test1_Hand!$B$12,1,0)</f>
        <v>0</v>
      </c>
      <c r="F1169" s="23" t="n">
        <f aca="false">Test1_Hand!$B$4+E1169*D1169</f>
        <v>16</v>
      </c>
      <c r="G1169" s="24" t="n">
        <f aca="false">Test1_Hand!$B$6*E1169*D1169+Test1_Hand!$B$7*MAX(0,F1169-Test1_Hand!$B$5)</f>
        <v>0</v>
      </c>
      <c r="H1169" s="2" t="n">
        <f aca="false">IF(B1169&lt;Test1_Hand!$B$13,1,0)</f>
        <v>0</v>
      </c>
      <c r="I1169" s="23" t="n">
        <f aca="false">Test1_Hand!$B$4+H1169*D1169</f>
        <v>16</v>
      </c>
      <c r="J1169" s="24" t="n">
        <f aca="false">Test1_Hand!$B$6*H1169*D1169+Test1_Hand!$B$7*MAX(0,I1169-Test1_Hand!$B$5)+Test1_Hand!$B$14</f>
        <v>6000</v>
      </c>
    </row>
    <row r="1170" customFormat="false" ht="15" hidden="false" customHeight="false" outlineLevel="0" collapsed="false">
      <c r="A1170" s="2" t="n">
        <v>1158</v>
      </c>
      <c r="B1170" s="22" t="n">
        <v>0.355160001755945</v>
      </c>
      <c r="C1170" s="22" t="n">
        <v>0.228678437402356</v>
      </c>
      <c r="D1170" s="23" t="n">
        <f aca="false">BETAINV(C1170,Test1_Hand!$B$21,Test1_Hand!$B$22,Test1_Hand!$B$9,Test1_Hand!$B$11)</f>
        <v>2.43446480890295</v>
      </c>
      <c r="E1170" s="2" t="n">
        <f aca="false">IF(B1170&lt;Test1_Hand!$B$12,1,0)</f>
        <v>1</v>
      </c>
      <c r="F1170" s="23" t="n">
        <f aca="false">Test1_Hand!$B$4+E1170*D1170</f>
        <v>18.4344648089029</v>
      </c>
      <c r="G1170" s="24" t="n">
        <f aca="false">Test1_Hand!$B$6*E1170*D1170+Test1_Hand!$B$7*MAX(0,F1170-Test1_Hand!$B$5)</f>
        <v>19475.7184712236</v>
      </c>
      <c r="H1170" s="2" t="n">
        <f aca="false">IF(B1170&lt;Test1_Hand!$B$13,1,0)</f>
        <v>0</v>
      </c>
      <c r="I1170" s="23" t="n">
        <f aca="false">Test1_Hand!$B$4+H1170*D1170</f>
        <v>16</v>
      </c>
      <c r="J1170" s="24" t="n">
        <f aca="false">Test1_Hand!$B$6*H1170*D1170+Test1_Hand!$B$7*MAX(0,I1170-Test1_Hand!$B$5)+Test1_Hand!$B$14</f>
        <v>6000</v>
      </c>
    </row>
    <row r="1171" customFormat="false" ht="15" hidden="false" customHeight="false" outlineLevel="0" collapsed="false">
      <c r="A1171" s="2" t="n">
        <v>1159</v>
      </c>
      <c r="B1171" s="22" t="n">
        <v>0.118128241344133</v>
      </c>
      <c r="C1171" s="22" t="n">
        <v>0.112752304298605</v>
      </c>
      <c r="D1171" s="23" t="n">
        <f aca="false">BETAINV(C1171,Test1_Hand!$B$21,Test1_Hand!$B$22,Test1_Hand!$B$9,Test1_Hand!$B$11)</f>
        <v>1.96451726607889</v>
      </c>
      <c r="E1171" s="2" t="n">
        <f aca="false">IF(B1171&lt;Test1_Hand!$B$12,1,0)</f>
        <v>1</v>
      </c>
      <c r="F1171" s="23" t="n">
        <f aca="false">Test1_Hand!$B$4+E1171*D1171</f>
        <v>17.9645172660789</v>
      </c>
      <c r="G1171" s="24" t="n">
        <f aca="false">Test1_Hand!$B$6*E1171*D1171+Test1_Hand!$B$7*MAX(0,F1171-Test1_Hand!$B$5)</f>
        <v>15716.1381286311</v>
      </c>
      <c r="H1171" s="2" t="n">
        <f aca="false">IF(B1171&lt;Test1_Hand!$B$13,1,0)</f>
        <v>1</v>
      </c>
      <c r="I1171" s="23" t="n">
        <f aca="false">Test1_Hand!$B$4+H1171*D1171</f>
        <v>17.9645172660789</v>
      </c>
      <c r="J1171" s="24" t="n">
        <f aca="false">Test1_Hand!$B$6*H1171*D1171+Test1_Hand!$B$7*MAX(0,I1171-Test1_Hand!$B$5)+Test1_Hand!$B$14</f>
        <v>21716.1381286311</v>
      </c>
    </row>
    <row r="1172" customFormat="false" ht="15" hidden="false" customHeight="false" outlineLevel="0" collapsed="false">
      <c r="A1172" s="2" t="n">
        <v>1160</v>
      </c>
      <c r="B1172" s="22" t="n">
        <v>0.0394561047672842</v>
      </c>
      <c r="C1172" s="22" t="n">
        <v>0.256178632401943</v>
      </c>
      <c r="D1172" s="23" t="n">
        <f aca="false">BETAINV(C1172,Test1_Hand!$B$21,Test1_Hand!$B$22,Test1_Hand!$B$9,Test1_Hand!$B$11)</f>
        <v>2.53477084551741</v>
      </c>
      <c r="E1172" s="2" t="n">
        <f aca="false">IF(B1172&lt;Test1_Hand!$B$12,1,0)</f>
        <v>1</v>
      </c>
      <c r="F1172" s="23" t="n">
        <f aca="false">Test1_Hand!$B$4+E1172*D1172</f>
        <v>18.5347708455174</v>
      </c>
      <c r="G1172" s="24" t="n">
        <f aca="false">Test1_Hand!$B$6*E1172*D1172+Test1_Hand!$B$7*MAX(0,F1172-Test1_Hand!$B$5)</f>
        <v>20278.1667641393</v>
      </c>
      <c r="H1172" s="2" t="n">
        <f aca="false">IF(B1172&lt;Test1_Hand!$B$13,1,0)</f>
        <v>1</v>
      </c>
      <c r="I1172" s="23" t="n">
        <f aca="false">Test1_Hand!$B$4+H1172*D1172</f>
        <v>18.5347708455174</v>
      </c>
      <c r="J1172" s="24" t="n">
        <f aca="false">Test1_Hand!$B$6*H1172*D1172+Test1_Hand!$B$7*MAX(0,I1172-Test1_Hand!$B$5)+Test1_Hand!$B$14</f>
        <v>26278.1667641393</v>
      </c>
    </row>
    <row r="1173" customFormat="false" ht="15" hidden="false" customHeight="false" outlineLevel="0" collapsed="false">
      <c r="A1173" s="2" t="n">
        <v>1161</v>
      </c>
      <c r="B1173" s="22" t="n">
        <v>0.870593425065158</v>
      </c>
      <c r="C1173" s="22" t="n">
        <v>0.117259812846673</v>
      </c>
      <c r="D1173" s="23" t="n">
        <f aca="false">BETAINV(C1173,Test1_Hand!$B$21,Test1_Hand!$B$22,Test1_Hand!$B$9,Test1_Hand!$B$11)</f>
        <v>1.98516715848141</v>
      </c>
      <c r="E1173" s="2" t="n">
        <f aca="false">IF(B1173&lt;Test1_Hand!$B$12,1,0)</f>
        <v>0</v>
      </c>
      <c r="F1173" s="23" t="n">
        <f aca="false">Test1_Hand!$B$4+E1173*D1173</f>
        <v>16</v>
      </c>
      <c r="G1173" s="24" t="n">
        <f aca="false">Test1_Hand!$B$6*E1173*D1173+Test1_Hand!$B$7*MAX(0,F1173-Test1_Hand!$B$5)</f>
        <v>0</v>
      </c>
      <c r="H1173" s="2" t="n">
        <f aca="false">IF(B1173&lt;Test1_Hand!$B$13,1,0)</f>
        <v>0</v>
      </c>
      <c r="I1173" s="23" t="n">
        <f aca="false">Test1_Hand!$B$4+H1173*D1173</f>
        <v>16</v>
      </c>
      <c r="J1173" s="24" t="n">
        <f aca="false">Test1_Hand!$B$6*H1173*D1173+Test1_Hand!$B$7*MAX(0,I1173-Test1_Hand!$B$5)+Test1_Hand!$B$14</f>
        <v>6000</v>
      </c>
    </row>
    <row r="1174" customFormat="false" ht="15" hidden="false" customHeight="false" outlineLevel="0" collapsed="false">
      <c r="A1174" s="2" t="n">
        <v>1162</v>
      </c>
      <c r="B1174" s="22" t="n">
        <v>0.0270505729614848</v>
      </c>
      <c r="C1174" s="22" t="n">
        <v>0.500409472970161</v>
      </c>
      <c r="D1174" s="23" t="n">
        <f aca="false">BETAINV(C1174,Test1_Hand!$B$21,Test1_Hand!$B$22,Test1_Hand!$B$9,Test1_Hand!$B$11)</f>
        <v>3.38403365494812</v>
      </c>
      <c r="E1174" s="2" t="n">
        <f aca="false">IF(B1174&lt;Test1_Hand!$B$12,1,0)</f>
        <v>1</v>
      </c>
      <c r="F1174" s="23" t="n">
        <f aca="false">Test1_Hand!$B$4+E1174*D1174</f>
        <v>19.3840336549481</v>
      </c>
      <c r="G1174" s="24" t="n">
        <f aca="false">Test1_Hand!$B$6*E1174*D1174+Test1_Hand!$B$7*MAX(0,F1174-Test1_Hand!$B$5)</f>
        <v>27072.269239585</v>
      </c>
      <c r="H1174" s="2" t="n">
        <f aca="false">IF(B1174&lt;Test1_Hand!$B$13,1,0)</f>
        <v>1</v>
      </c>
      <c r="I1174" s="23" t="n">
        <f aca="false">Test1_Hand!$B$4+H1174*D1174</f>
        <v>19.3840336549481</v>
      </c>
      <c r="J1174" s="24" t="n">
        <f aca="false">Test1_Hand!$B$6*H1174*D1174+Test1_Hand!$B$7*MAX(0,I1174-Test1_Hand!$B$5)+Test1_Hand!$B$14</f>
        <v>33072.269239585</v>
      </c>
    </row>
    <row r="1175" customFormat="false" ht="15" hidden="false" customHeight="false" outlineLevel="0" collapsed="false">
      <c r="A1175" s="2" t="n">
        <v>1163</v>
      </c>
      <c r="B1175" s="22" t="n">
        <v>0.334265937246013</v>
      </c>
      <c r="C1175" s="22" t="n">
        <v>0.366616135701013</v>
      </c>
      <c r="D1175" s="23" t="n">
        <f aca="false">BETAINV(C1175,Test1_Hand!$B$21,Test1_Hand!$B$22,Test1_Hand!$B$9,Test1_Hand!$B$11)</f>
        <v>2.92108360466722</v>
      </c>
      <c r="E1175" s="2" t="n">
        <f aca="false">IF(B1175&lt;Test1_Hand!$B$12,1,0)</f>
        <v>1</v>
      </c>
      <c r="F1175" s="23" t="n">
        <f aca="false">Test1_Hand!$B$4+E1175*D1175</f>
        <v>18.9210836046672</v>
      </c>
      <c r="G1175" s="24" t="n">
        <f aca="false">Test1_Hand!$B$6*E1175*D1175+Test1_Hand!$B$7*MAX(0,F1175-Test1_Hand!$B$5)</f>
        <v>23368.6688373378</v>
      </c>
      <c r="H1175" s="2" t="n">
        <f aca="false">IF(B1175&lt;Test1_Hand!$B$13,1,0)</f>
        <v>0</v>
      </c>
      <c r="I1175" s="23" t="n">
        <f aca="false">Test1_Hand!$B$4+H1175*D1175</f>
        <v>16</v>
      </c>
      <c r="J1175" s="24" t="n">
        <f aca="false">Test1_Hand!$B$6*H1175*D1175+Test1_Hand!$B$7*MAX(0,I1175-Test1_Hand!$B$5)+Test1_Hand!$B$14</f>
        <v>6000</v>
      </c>
    </row>
    <row r="1176" customFormat="false" ht="15" hidden="false" customHeight="false" outlineLevel="0" collapsed="false">
      <c r="A1176" s="2" t="n">
        <v>1164</v>
      </c>
      <c r="B1176" s="22" t="n">
        <v>0.039490851514484</v>
      </c>
      <c r="C1176" s="22" t="n">
        <v>0.440169110499834</v>
      </c>
      <c r="D1176" s="23" t="n">
        <f aca="false">BETAINV(C1176,Test1_Hand!$B$21,Test1_Hand!$B$22,Test1_Hand!$B$9,Test1_Hand!$B$11)</f>
        <v>3.17399201239827</v>
      </c>
      <c r="E1176" s="2" t="n">
        <f aca="false">IF(B1176&lt;Test1_Hand!$B$12,1,0)</f>
        <v>1</v>
      </c>
      <c r="F1176" s="23" t="n">
        <f aca="false">Test1_Hand!$B$4+E1176*D1176</f>
        <v>19.1739920123983</v>
      </c>
      <c r="G1176" s="24" t="n">
        <f aca="false">Test1_Hand!$B$6*E1176*D1176+Test1_Hand!$B$7*MAX(0,F1176-Test1_Hand!$B$5)</f>
        <v>25391.9360991862</v>
      </c>
      <c r="H1176" s="2" t="n">
        <f aca="false">IF(B1176&lt;Test1_Hand!$B$13,1,0)</f>
        <v>1</v>
      </c>
      <c r="I1176" s="23" t="n">
        <f aca="false">Test1_Hand!$B$4+H1176*D1176</f>
        <v>19.1739920123983</v>
      </c>
      <c r="J1176" s="24" t="n">
        <f aca="false">Test1_Hand!$B$6*H1176*D1176+Test1_Hand!$B$7*MAX(0,I1176-Test1_Hand!$B$5)+Test1_Hand!$B$14</f>
        <v>31391.9360991862</v>
      </c>
    </row>
    <row r="1177" customFormat="false" ht="15" hidden="false" customHeight="false" outlineLevel="0" collapsed="false">
      <c r="A1177" s="2" t="n">
        <v>1165</v>
      </c>
      <c r="B1177" s="22" t="n">
        <v>0.386295290255216</v>
      </c>
      <c r="C1177" s="22" t="n">
        <v>0.988562265785378</v>
      </c>
      <c r="D1177" s="23" t="n">
        <f aca="false">BETAINV(C1177,Test1_Hand!$B$21,Test1_Hand!$B$22,Test1_Hand!$B$9,Test1_Hand!$B$11)</f>
        <v>6.52933618240442</v>
      </c>
      <c r="E1177" s="2" t="n">
        <f aca="false">IF(B1177&lt;Test1_Hand!$B$12,1,0)</f>
        <v>1</v>
      </c>
      <c r="F1177" s="23" t="n">
        <f aca="false">Test1_Hand!$B$4+E1177*D1177</f>
        <v>22.5293361824044</v>
      </c>
      <c r="G1177" s="24" t="n">
        <f aca="false">Test1_Hand!$B$6*E1177*D1177+Test1_Hand!$B$7*MAX(0,F1177-Test1_Hand!$B$5)</f>
        <v>64881.3703712574</v>
      </c>
      <c r="H1177" s="2" t="n">
        <f aca="false">IF(B1177&lt;Test1_Hand!$B$13,1,0)</f>
        <v>0</v>
      </c>
      <c r="I1177" s="23" t="n">
        <f aca="false">Test1_Hand!$B$4+H1177*D1177</f>
        <v>16</v>
      </c>
      <c r="J1177" s="24" t="n">
        <f aca="false">Test1_Hand!$B$6*H1177*D1177+Test1_Hand!$B$7*MAX(0,I1177-Test1_Hand!$B$5)+Test1_Hand!$B$14</f>
        <v>6000</v>
      </c>
    </row>
    <row r="1178" customFormat="false" ht="15" hidden="false" customHeight="false" outlineLevel="0" collapsed="false">
      <c r="A1178" s="2" t="n">
        <v>1166</v>
      </c>
      <c r="B1178" s="22" t="n">
        <v>0.959983798077376</v>
      </c>
      <c r="C1178" s="22" t="n">
        <v>0.4039843486101</v>
      </c>
      <c r="D1178" s="23" t="n">
        <f aca="false">BETAINV(C1178,Test1_Hand!$B$21,Test1_Hand!$B$22,Test1_Hand!$B$9,Test1_Hand!$B$11)</f>
        <v>3.04942299471068</v>
      </c>
      <c r="E1178" s="2" t="n">
        <f aca="false">IF(B1178&lt;Test1_Hand!$B$12,1,0)</f>
        <v>0</v>
      </c>
      <c r="F1178" s="23" t="n">
        <f aca="false">Test1_Hand!$B$4+E1178*D1178</f>
        <v>16</v>
      </c>
      <c r="G1178" s="24" t="n">
        <f aca="false">Test1_Hand!$B$6*E1178*D1178+Test1_Hand!$B$7*MAX(0,F1178-Test1_Hand!$B$5)</f>
        <v>0</v>
      </c>
      <c r="H1178" s="2" t="n">
        <f aca="false">IF(B1178&lt;Test1_Hand!$B$13,1,0)</f>
        <v>0</v>
      </c>
      <c r="I1178" s="23" t="n">
        <f aca="false">Test1_Hand!$B$4+H1178*D1178</f>
        <v>16</v>
      </c>
      <c r="J1178" s="24" t="n">
        <f aca="false">Test1_Hand!$B$6*H1178*D1178+Test1_Hand!$B$7*MAX(0,I1178-Test1_Hand!$B$5)+Test1_Hand!$B$14</f>
        <v>6000</v>
      </c>
    </row>
    <row r="1179" customFormat="false" ht="15" hidden="false" customHeight="false" outlineLevel="0" collapsed="false">
      <c r="A1179" s="2" t="n">
        <v>1167</v>
      </c>
      <c r="B1179" s="22" t="n">
        <v>0.923531961879023</v>
      </c>
      <c r="C1179" s="22" t="n">
        <v>0.582406070314208</v>
      </c>
      <c r="D1179" s="23" t="n">
        <f aca="false">BETAINV(C1179,Test1_Hand!$B$21,Test1_Hand!$B$22,Test1_Hand!$B$9,Test1_Hand!$B$11)</f>
        <v>3.68087994583864</v>
      </c>
      <c r="E1179" s="2" t="n">
        <f aca="false">IF(B1179&lt;Test1_Hand!$B$12,1,0)</f>
        <v>0</v>
      </c>
      <c r="F1179" s="23" t="n">
        <f aca="false">Test1_Hand!$B$4+E1179*D1179</f>
        <v>16</v>
      </c>
      <c r="G1179" s="24" t="n">
        <f aca="false">Test1_Hand!$B$6*E1179*D1179+Test1_Hand!$B$7*MAX(0,F1179-Test1_Hand!$B$5)</f>
        <v>0</v>
      </c>
      <c r="H1179" s="2" t="n">
        <f aca="false">IF(B1179&lt;Test1_Hand!$B$13,1,0)</f>
        <v>0</v>
      </c>
      <c r="I1179" s="23" t="n">
        <f aca="false">Test1_Hand!$B$4+H1179*D1179</f>
        <v>16</v>
      </c>
      <c r="J1179" s="24" t="n">
        <f aca="false">Test1_Hand!$B$6*H1179*D1179+Test1_Hand!$B$7*MAX(0,I1179-Test1_Hand!$B$5)+Test1_Hand!$B$14</f>
        <v>6000</v>
      </c>
    </row>
    <row r="1180" customFormat="false" ht="15" hidden="false" customHeight="false" outlineLevel="0" collapsed="false">
      <c r="A1180" s="2" t="n">
        <v>1168</v>
      </c>
      <c r="B1180" s="22" t="n">
        <v>0.168401932253286</v>
      </c>
      <c r="C1180" s="22" t="n">
        <v>0.975595094529266</v>
      </c>
      <c r="D1180" s="23" t="n">
        <f aca="false">BETAINV(C1180,Test1_Hand!$B$21,Test1_Hand!$B$22,Test1_Hand!$B$9,Test1_Hand!$B$11)</f>
        <v>6.18437944609444</v>
      </c>
      <c r="E1180" s="2" t="n">
        <f aca="false">IF(B1180&lt;Test1_Hand!$B$12,1,0)</f>
        <v>1</v>
      </c>
      <c r="F1180" s="23" t="n">
        <f aca="false">Test1_Hand!$B$4+E1180*D1180</f>
        <v>22.1843794460944</v>
      </c>
      <c r="G1180" s="24" t="n">
        <f aca="false">Test1_Hand!$B$6*E1180*D1180+Test1_Hand!$B$7*MAX(0,F1180-Test1_Hand!$B$5)</f>
        <v>60396.9327992277</v>
      </c>
      <c r="H1180" s="2" t="n">
        <f aca="false">IF(B1180&lt;Test1_Hand!$B$13,1,0)</f>
        <v>1</v>
      </c>
      <c r="I1180" s="23" t="n">
        <f aca="false">Test1_Hand!$B$4+H1180*D1180</f>
        <v>22.1843794460944</v>
      </c>
      <c r="J1180" s="24" t="n">
        <f aca="false">Test1_Hand!$B$6*H1180*D1180+Test1_Hand!$B$7*MAX(0,I1180-Test1_Hand!$B$5)+Test1_Hand!$B$14</f>
        <v>66396.9327992277</v>
      </c>
    </row>
    <row r="1181" customFormat="false" ht="15" hidden="false" customHeight="false" outlineLevel="0" collapsed="false">
      <c r="A1181" s="2" t="n">
        <v>1169</v>
      </c>
      <c r="B1181" s="22" t="n">
        <v>0.395592680305681</v>
      </c>
      <c r="C1181" s="22" t="n">
        <v>0.492889019847046</v>
      </c>
      <c r="D1181" s="23" t="n">
        <f aca="false">BETAINV(C1181,Test1_Hand!$B$21,Test1_Hand!$B$22,Test1_Hand!$B$9,Test1_Hand!$B$11)</f>
        <v>3.35753888250177</v>
      </c>
      <c r="E1181" s="2" t="n">
        <f aca="false">IF(B1181&lt;Test1_Hand!$B$12,1,0)</f>
        <v>1</v>
      </c>
      <c r="F1181" s="23" t="n">
        <f aca="false">Test1_Hand!$B$4+E1181*D1181</f>
        <v>19.3575388825018</v>
      </c>
      <c r="G1181" s="24" t="n">
        <f aca="false">Test1_Hand!$B$6*E1181*D1181+Test1_Hand!$B$7*MAX(0,F1181-Test1_Hand!$B$5)</f>
        <v>26860.3110600141</v>
      </c>
      <c r="H1181" s="2" t="n">
        <f aca="false">IF(B1181&lt;Test1_Hand!$B$13,1,0)</f>
        <v>0</v>
      </c>
      <c r="I1181" s="23" t="n">
        <f aca="false">Test1_Hand!$B$4+H1181*D1181</f>
        <v>16</v>
      </c>
      <c r="J1181" s="24" t="n">
        <f aca="false">Test1_Hand!$B$6*H1181*D1181+Test1_Hand!$B$7*MAX(0,I1181-Test1_Hand!$B$5)+Test1_Hand!$B$14</f>
        <v>6000</v>
      </c>
    </row>
    <row r="1182" customFormat="false" ht="15" hidden="false" customHeight="false" outlineLevel="0" collapsed="false">
      <c r="A1182" s="2" t="n">
        <v>1170</v>
      </c>
      <c r="B1182" s="22" t="n">
        <v>0.70462886656595</v>
      </c>
      <c r="C1182" s="22" t="n">
        <v>0.23066379043338</v>
      </c>
      <c r="D1182" s="23" t="n">
        <f aca="false">BETAINV(C1182,Test1_Hand!$B$21,Test1_Hand!$B$22,Test1_Hand!$B$9,Test1_Hand!$B$11)</f>
        <v>2.44179482677249</v>
      </c>
      <c r="E1182" s="2" t="n">
        <f aca="false">IF(B1182&lt;Test1_Hand!$B$12,1,0)</f>
        <v>0</v>
      </c>
      <c r="F1182" s="23" t="n">
        <f aca="false">Test1_Hand!$B$4+E1182*D1182</f>
        <v>16</v>
      </c>
      <c r="G1182" s="24" t="n">
        <f aca="false">Test1_Hand!$B$6*E1182*D1182+Test1_Hand!$B$7*MAX(0,F1182-Test1_Hand!$B$5)</f>
        <v>0</v>
      </c>
      <c r="H1182" s="2" t="n">
        <f aca="false">IF(B1182&lt;Test1_Hand!$B$13,1,0)</f>
        <v>0</v>
      </c>
      <c r="I1182" s="23" t="n">
        <f aca="false">Test1_Hand!$B$4+H1182*D1182</f>
        <v>16</v>
      </c>
      <c r="J1182" s="24" t="n">
        <f aca="false">Test1_Hand!$B$6*H1182*D1182+Test1_Hand!$B$7*MAX(0,I1182-Test1_Hand!$B$5)+Test1_Hand!$B$14</f>
        <v>6000</v>
      </c>
    </row>
    <row r="1183" customFormat="false" ht="15" hidden="false" customHeight="false" outlineLevel="0" collapsed="false">
      <c r="A1183" s="2" t="n">
        <v>1171</v>
      </c>
      <c r="B1183" s="22" t="n">
        <v>0.483152689990423</v>
      </c>
      <c r="C1183" s="22" t="n">
        <v>0.24076125605082</v>
      </c>
      <c r="D1183" s="23" t="n">
        <f aca="false">BETAINV(C1183,Test1_Hand!$B$21,Test1_Hand!$B$22,Test1_Hand!$B$9,Test1_Hand!$B$11)</f>
        <v>2.47885037407483</v>
      </c>
      <c r="E1183" s="2" t="n">
        <f aca="false">IF(B1183&lt;Test1_Hand!$B$12,1,0)</f>
        <v>1</v>
      </c>
      <c r="F1183" s="23" t="n">
        <f aca="false">Test1_Hand!$B$4+E1183*D1183</f>
        <v>18.4788503740748</v>
      </c>
      <c r="G1183" s="24" t="n">
        <f aca="false">Test1_Hand!$B$6*E1183*D1183+Test1_Hand!$B$7*MAX(0,F1183-Test1_Hand!$B$5)</f>
        <v>19830.8029925987</v>
      </c>
      <c r="H1183" s="2" t="n">
        <f aca="false">IF(B1183&lt;Test1_Hand!$B$13,1,0)</f>
        <v>0</v>
      </c>
      <c r="I1183" s="23" t="n">
        <f aca="false">Test1_Hand!$B$4+H1183*D1183</f>
        <v>16</v>
      </c>
      <c r="J1183" s="24" t="n">
        <f aca="false">Test1_Hand!$B$6*H1183*D1183+Test1_Hand!$B$7*MAX(0,I1183-Test1_Hand!$B$5)+Test1_Hand!$B$14</f>
        <v>6000</v>
      </c>
    </row>
    <row r="1184" customFormat="false" ht="15" hidden="false" customHeight="false" outlineLevel="0" collapsed="false">
      <c r="A1184" s="2" t="n">
        <v>1172</v>
      </c>
      <c r="B1184" s="22" t="n">
        <v>0.248124072965424</v>
      </c>
      <c r="C1184" s="22" t="n">
        <v>0.353565003074783</v>
      </c>
      <c r="D1184" s="23" t="n">
        <f aca="false">BETAINV(C1184,Test1_Hand!$B$21,Test1_Hand!$B$22,Test1_Hand!$B$9,Test1_Hand!$B$11)</f>
        <v>2.87617871366728</v>
      </c>
      <c r="E1184" s="2" t="n">
        <f aca="false">IF(B1184&lt;Test1_Hand!$B$12,1,0)</f>
        <v>1</v>
      </c>
      <c r="F1184" s="23" t="n">
        <f aca="false">Test1_Hand!$B$4+E1184*D1184</f>
        <v>18.8761787136673</v>
      </c>
      <c r="G1184" s="24" t="n">
        <f aca="false">Test1_Hand!$B$6*E1184*D1184+Test1_Hand!$B$7*MAX(0,F1184-Test1_Hand!$B$5)</f>
        <v>23009.4297093383</v>
      </c>
      <c r="H1184" s="2" t="n">
        <f aca="false">IF(B1184&lt;Test1_Hand!$B$13,1,0)</f>
        <v>0</v>
      </c>
      <c r="I1184" s="23" t="n">
        <f aca="false">Test1_Hand!$B$4+H1184*D1184</f>
        <v>16</v>
      </c>
      <c r="J1184" s="24" t="n">
        <f aca="false">Test1_Hand!$B$6*H1184*D1184+Test1_Hand!$B$7*MAX(0,I1184-Test1_Hand!$B$5)+Test1_Hand!$B$14</f>
        <v>6000</v>
      </c>
    </row>
    <row r="1185" customFormat="false" ht="15" hidden="false" customHeight="false" outlineLevel="0" collapsed="false">
      <c r="A1185" s="2" t="n">
        <v>1173</v>
      </c>
      <c r="B1185" s="22" t="n">
        <v>0.913885199625888</v>
      </c>
      <c r="C1185" s="22" t="n">
        <v>0.653074816435232</v>
      </c>
      <c r="D1185" s="23" t="n">
        <f aca="false">BETAINV(C1185,Test1_Hand!$B$21,Test1_Hand!$B$22,Test1_Hand!$B$9,Test1_Hand!$B$11)</f>
        <v>3.95421344886915</v>
      </c>
      <c r="E1185" s="2" t="n">
        <f aca="false">IF(B1185&lt;Test1_Hand!$B$12,1,0)</f>
        <v>0</v>
      </c>
      <c r="F1185" s="23" t="n">
        <f aca="false">Test1_Hand!$B$4+E1185*D1185</f>
        <v>16</v>
      </c>
      <c r="G1185" s="24" t="n">
        <f aca="false">Test1_Hand!$B$6*E1185*D1185+Test1_Hand!$B$7*MAX(0,F1185-Test1_Hand!$B$5)</f>
        <v>0</v>
      </c>
      <c r="H1185" s="2" t="n">
        <f aca="false">IF(B1185&lt;Test1_Hand!$B$13,1,0)</f>
        <v>0</v>
      </c>
      <c r="I1185" s="23" t="n">
        <f aca="false">Test1_Hand!$B$4+H1185*D1185</f>
        <v>16</v>
      </c>
      <c r="J1185" s="24" t="n">
        <f aca="false">Test1_Hand!$B$6*H1185*D1185+Test1_Hand!$B$7*MAX(0,I1185-Test1_Hand!$B$5)+Test1_Hand!$B$14</f>
        <v>6000</v>
      </c>
    </row>
    <row r="1186" customFormat="false" ht="15" hidden="false" customHeight="false" outlineLevel="0" collapsed="false">
      <c r="A1186" s="2" t="n">
        <v>1174</v>
      </c>
      <c r="B1186" s="22" t="n">
        <v>0.391509695639982</v>
      </c>
      <c r="C1186" s="22" t="n">
        <v>0.339994088847332</v>
      </c>
      <c r="D1186" s="23" t="n">
        <f aca="false">BETAINV(C1186,Test1_Hand!$B$21,Test1_Hand!$B$22,Test1_Hand!$B$9,Test1_Hand!$B$11)</f>
        <v>2.82937427849846</v>
      </c>
      <c r="E1186" s="2" t="n">
        <f aca="false">IF(B1186&lt;Test1_Hand!$B$12,1,0)</f>
        <v>1</v>
      </c>
      <c r="F1186" s="23" t="n">
        <f aca="false">Test1_Hand!$B$4+E1186*D1186</f>
        <v>18.8293742784985</v>
      </c>
      <c r="G1186" s="24" t="n">
        <f aca="false">Test1_Hand!$B$6*E1186*D1186+Test1_Hand!$B$7*MAX(0,F1186-Test1_Hand!$B$5)</f>
        <v>22634.9942279877</v>
      </c>
      <c r="H1186" s="2" t="n">
        <f aca="false">IF(B1186&lt;Test1_Hand!$B$13,1,0)</f>
        <v>0</v>
      </c>
      <c r="I1186" s="23" t="n">
        <f aca="false">Test1_Hand!$B$4+H1186*D1186</f>
        <v>16</v>
      </c>
      <c r="J1186" s="24" t="n">
        <f aca="false">Test1_Hand!$B$6*H1186*D1186+Test1_Hand!$B$7*MAX(0,I1186-Test1_Hand!$B$5)+Test1_Hand!$B$14</f>
        <v>6000</v>
      </c>
    </row>
    <row r="1187" customFormat="false" ht="15" hidden="false" customHeight="false" outlineLevel="0" collapsed="false">
      <c r="A1187" s="2" t="n">
        <v>1175</v>
      </c>
      <c r="B1187" s="22" t="n">
        <v>0.412340657685585</v>
      </c>
      <c r="C1187" s="22" t="n">
        <v>0.146516293398231</v>
      </c>
      <c r="D1187" s="23" t="n">
        <f aca="false">BETAINV(C1187,Test1_Hand!$B$21,Test1_Hand!$B$22,Test1_Hand!$B$9,Test1_Hand!$B$11)</f>
        <v>2.11292373265579</v>
      </c>
      <c r="E1187" s="2" t="n">
        <f aca="false">IF(B1187&lt;Test1_Hand!$B$12,1,0)</f>
        <v>1</v>
      </c>
      <c r="F1187" s="23" t="n">
        <f aca="false">Test1_Hand!$B$4+E1187*D1187</f>
        <v>18.1129237326558</v>
      </c>
      <c r="G1187" s="24" t="n">
        <f aca="false">Test1_Hand!$B$6*E1187*D1187+Test1_Hand!$B$7*MAX(0,F1187-Test1_Hand!$B$5)</f>
        <v>16903.3898612463</v>
      </c>
      <c r="H1187" s="2" t="n">
        <f aca="false">IF(B1187&lt;Test1_Hand!$B$13,1,0)</f>
        <v>0</v>
      </c>
      <c r="I1187" s="23" t="n">
        <f aca="false">Test1_Hand!$B$4+H1187*D1187</f>
        <v>16</v>
      </c>
      <c r="J1187" s="24" t="n">
        <f aca="false">Test1_Hand!$B$6*H1187*D1187+Test1_Hand!$B$7*MAX(0,I1187-Test1_Hand!$B$5)+Test1_Hand!$B$14</f>
        <v>6000</v>
      </c>
    </row>
    <row r="1188" customFormat="false" ht="15" hidden="false" customHeight="false" outlineLevel="0" collapsed="false">
      <c r="A1188" s="2" t="n">
        <v>1176</v>
      </c>
      <c r="B1188" s="22" t="n">
        <v>0.877461498418126</v>
      </c>
      <c r="C1188" s="22" t="n">
        <v>0.371034422565116</v>
      </c>
      <c r="D1188" s="23" t="n">
        <f aca="false">BETAINV(C1188,Test1_Hand!$B$21,Test1_Hand!$B$22,Test1_Hand!$B$9,Test1_Hand!$B$11)</f>
        <v>2.93626887171808</v>
      </c>
      <c r="E1188" s="2" t="n">
        <f aca="false">IF(B1188&lt;Test1_Hand!$B$12,1,0)</f>
        <v>0</v>
      </c>
      <c r="F1188" s="23" t="n">
        <f aca="false">Test1_Hand!$B$4+E1188*D1188</f>
        <v>16</v>
      </c>
      <c r="G1188" s="24" t="n">
        <f aca="false">Test1_Hand!$B$6*E1188*D1188+Test1_Hand!$B$7*MAX(0,F1188-Test1_Hand!$B$5)</f>
        <v>0</v>
      </c>
      <c r="H1188" s="2" t="n">
        <f aca="false">IF(B1188&lt;Test1_Hand!$B$13,1,0)</f>
        <v>0</v>
      </c>
      <c r="I1188" s="23" t="n">
        <f aca="false">Test1_Hand!$B$4+H1188*D1188</f>
        <v>16</v>
      </c>
      <c r="J1188" s="24" t="n">
        <f aca="false">Test1_Hand!$B$6*H1188*D1188+Test1_Hand!$B$7*MAX(0,I1188-Test1_Hand!$B$5)+Test1_Hand!$B$14</f>
        <v>6000</v>
      </c>
    </row>
    <row r="1189" customFormat="false" ht="15" hidden="false" customHeight="false" outlineLevel="0" collapsed="false">
      <c r="A1189" s="2" t="n">
        <v>1177</v>
      </c>
      <c r="B1189" s="22" t="n">
        <v>0.48720890703652</v>
      </c>
      <c r="C1189" s="22" t="n">
        <v>0.10090274449224</v>
      </c>
      <c r="D1189" s="23" t="n">
        <f aca="false">BETAINV(C1189,Test1_Hand!$B$21,Test1_Hand!$B$22,Test1_Hand!$B$9,Test1_Hand!$B$11)</f>
        <v>1.90870467753963</v>
      </c>
      <c r="E1189" s="2" t="n">
        <f aca="false">IF(B1189&lt;Test1_Hand!$B$12,1,0)</f>
        <v>1</v>
      </c>
      <c r="F1189" s="23" t="n">
        <f aca="false">Test1_Hand!$B$4+E1189*D1189</f>
        <v>17.9087046775396</v>
      </c>
      <c r="G1189" s="24" t="n">
        <f aca="false">Test1_Hand!$B$6*E1189*D1189+Test1_Hand!$B$7*MAX(0,F1189-Test1_Hand!$B$5)</f>
        <v>15269.637420317</v>
      </c>
      <c r="H1189" s="2" t="n">
        <f aca="false">IF(B1189&lt;Test1_Hand!$B$13,1,0)</f>
        <v>0</v>
      </c>
      <c r="I1189" s="23" t="n">
        <f aca="false">Test1_Hand!$B$4+H1189*D1189</f>
        <v>16</v>
      </c>
      <c r="J1189" s="24" t="n">
        <f aca="false">Test1_Hand!$B$6*H1189*D1189+Test1_Hand!$B$7*MAX(0,I1189-Test1_Hand!$B$5)+Test1_Hand!$B$14</f>
        <v>6000</v>
      </c>
    </row>
    <row r="1190" customFormat="false" ht="15" hidden="false" customHeight="false" outlineLevel="0" collapsed="false">
      <c r="A1190" s="2" t="n">
        <v>1178</v>
      </c>
      <c r="B1190" s="22" t="n">
        <v>0.908680799895244</v>
      </c>
      <c r="C1190" s="22" t="n">
        <v>0.513933923903436</v>
      </c>
      <c r="D1190" s="23" t="n">
        <f aca="false">BETAINV(C1190,Test1_Hand!$B$21,Test1_Hand!$B$22,Test1_Hand!$B$9,Test1_Hand!$B$11)</f>
        <v>3.4319328851812</v>
      </c>
      <c r="E1190" s="2" t="n">
        <f aca="false">IF(B1190&lt;Test1_Hand!$B$12,1,0)</f>
        <v>0</v>
      </c>
      <c r="F1190" s="23" t="n">
        <f aca="false">Test1_Hand!$B$4+E1190*D1190</f>
        <v>16</v>
      </c>
      <c r="G1190" s="24" t="n">
        <f aca="false">Test1_Hand!$B$6*E1190*D1190+Test1_Hand!$B$7*MAX(0,F1190-Test1_Hand!$B$5)</f>
        <v>0</v>
      </c>
      <c r="H1190" s="2" t="n">
        <f aca="false">IF(B1190&lt;Test1_Hand!$B$13,1,0)</f>
        <v>0</v>
      </c>
      <c r="I1190" s="23" t="n">
        <f aca="false">Test1_Hand!$B$4+H1190*D1190</f>
        <v>16</v>
      </c>
      <c r="J1190" s="24" t="n">
        <f aca="false">Test1_Hand!$B$6*H1190*D1190+Test1_Hand!$B$7*MAX(0,I1190-Test1_Hand!$B$5)+Test1_Hand!$B$14</f>
        <v>6000</v>
      </c>
    </row>
    <row r="1191" customFormat="false" ht="15" hidden="false" customHeight="false" outlineLevel="0" collapsed="false">
      <c r="A1191" s="2" t="n">
        <v>1179</v>
      </c>
      <c r="B1191" s="22" t="n">
        <v>0.99545753465229</v>
      </c>
      <c r="C1191" s="22" t="n">
        <v>0.108901818319873</v>
      </c>
      <c r="D1191" s="23" t="n">
        <f aca="false">BETAINV(C1191,Test1_Hand!$B$21,Test1_Hand!$B$22,Test1_Hand!$B$9,Test1_Hand!$B$11)</f>
        <v>1.94663421901859</v>
      </c>
      <c r="E1191" s="2" t="n">
        <f aca="false">IF(B1191&lt;Test1_Hand!$B$12,1,0)</f>
        <v>0</v>
      </c>
      <c r="F1191" s="23" t="n">
        <f aca="false">Test1_Hand!$B$4+E1191*D1191</f>
        <v>16</v>
      </c>
      <c r="G1191" s="24" t="n">
        <f aca="false">Test1_Hand!$B$6*E1191*D1191+Test1_Hand!$B$7*MAX(0,F1191-Test1_Hand!$B$5)</f>
        <v>0</v>
      </c>
      <c r="H1191" s="2" t="n">
        <f aca="false">IF(B1191&lt;Test1_Hand!$B$13,1,0)</f>
        <v>0</v>
      </c>
      <c r="I1191" s="23" t="n">
        <f aca="false">Test1_Hand!$B$4+H1191*D1191</f>
        <v>16</v>
      </c>
      <c r="J1191" s="24" t="n">
        <f aca="false">Test1_Hand!$B$6*H1191*D1191+Test1_Hand!$B$7*MAX(0,I1191-Test1_Hand!$B$5)+Test1_Hand!$B$14</f>
        <v>6000</v>
      </c>
    </row>
    <row r="1192" customFormat="false" ht="15" hidden="false" customHeight="false" outlineLevel="0" collapsed="false">
      <c r="A1192" s="2" t="n">
        <v>1180</v>
      </c>
      <c r="B1192" s="22" t="n">
        <v>0.262969835345943</v>
      </c>
      <c r="C1192" s="22" t="n">
        <v>0.615025769223565</v>
      </c>
      <c r="D1192" s="23" t="n">
        <f aca="false">BETAINV(C1192,Test1_Hand!$B$21,Test1_Hand!$B$22,Test1_Hand!$B$9,Test1_Hand!$B$11)</f>
        <v>3.8044901103518</v>
      </c>
      <c r="E1192" s="2" t="n">
        <f aca="false">IF(B1192&lt;Test1_Hand!$B$12,1,0)</f>
        <v>1</v>
      </c>
      <c r="F1192" s="23" t="n">
        <f aca="false">Test1_Hand!$B$4+E1192*D1192</f>
        <v>19.8044901103518</v>
      </c>
      <c r="G1192" s="24" t="n">
        <f aca="false">Test1_Hand!$B$6*E1192*D1192+Test1_Hand!$B$7*MAX(0,F1192-Test1_Hand!$B$5)</f>
        <v>30435.9208828144</v>
      </c>
      <c r="H1192" s="2" t="n">
        <f aca="false">IF(B1192&lt;Test1_Hand!$B$13,1,0)</f>
        <v>0</v>
      </c>
      <c r="I1192" s="23" t="n">
        <f aca="false">Test1_Hand!$B$4+H1192*D1192</f>
        <v>16</v>
      </c>
      <c r="J1192" s="24" t="n">
        <f aca="false">Test1_Hand!$B$6*H1192*D1192+Test1_Hand!$B$7*MAX(0,I1192-Test1_Hand!$B$5)+Test1_Hand!$B$14</f>
        <v>6000</v>
      </c>
    </row>
    <row r="1193" customFormat="false" ht="15" hidden="false" customHeight="false" outlineLevel="0" collapsed="false">
      <c r="A1193" s="2" t="n">
        <v>1181</v>
      </c>
      <c r="B1193" s="22" t="n">
        <v>0.405389906587896</v>
      </c>
      <c r="C1193" s="22" t="n">
        <v>0.803925237873929</v>
      </c>
      <c r="D1193" s="23" t="n">
        <f aca="false">BETAINV(C1193,Test1_Hand!$B$21,Test1_Hand!$B$22,Test1_Hand!$B$9,Test1_Hand!$B$11)</f>
        <v>4.64700299971636</v>
      </c>
      <c r="E1193" s="2" t="n">
        <f aca="false">IF(B1193&lt;Test1_Hand!$B$12,1,0)</f>
        <v>1</v>
      </c>
      <c r="F1193" s="23" t="n">
        <f aca="false">Test1_Hand!$B$4+E1193*D1193</f>
        <v>20.6470029997164</v>
      </c>
      <c r="G1193" s="24" t="n">
        <f aca="false">Test1_Hand!$B$6*E1193*D1193+Test1_Hand!$B$7*MAX(0,F1193-Test1_Hand!$B$5)</f>
        <v>40411.0389963127</v>
      </c>
      <c r="H1193" s="2" t="n">
        <f aca="false">IF(B1193&lt;Test1_Hand!$B$13,1,0)</f>
        <v>0</v>
      </c>
      <c r="I1193" s="23" t="n">
        <f aca="false">Test1_Hand!$B$4+H1193*D1193</f>
        <v>16</v>
      </c>
      <c r="J1193" s="24" t="n">
        <f aca="false">Test1_Hand!$B$6*H1193*D1193+Test1_Hand!$B$7*MAX(0,I1193-Test1_Hand!$B$5)+Test1_Hand!$B$14</f>
        <v>6000</v>
      </c>
    </row>
    <row r="1194" customFormat="false" ht="15" hidden="false" customHeight="false" outlineLevel="0" collapsed="false">
      <c r="A1194" s="2" t="n">
        <v>1182</v>
      </c>
      <c r="B1194" s="22" t="n">
        <v>0.593869511846376</v>
      </c>
      <c r="C1194" s="22" t="n">
        <v>0.866812047946345</v>
      </c>
      <c r="D1194" s="23" t="n">
        <f aca="false">BETAINV(C1194,Test1_Hand!$B$21,Test1_Hand!$B$22,Test1_Hand!$B$9,Test1_Hand!$B$11)</f>
        <v>5.02631625436127</v>
      </c>
      <c r="E1194" s="2" t="n">
        <f aca="false">IF(B1194&lt;Test1_Hand!$B$12,1,0)</f>
        <v>0</v>
      </c>
      <c r="F1194" s="23" t="n">
        <f aca="false">Test1_Hand!$B$4+E1194*D1194</f>
        <v>16</v>
      </c>
      <c r="G1194" s="24" t="n">
        <f aca="false">Test1_Hand!$B$6*E1194*D1194+Test1_Hand!$B$7*MAX(0,F1194-Test1_Hand!$B$5)</f>
        <v>0</v>
      </c>
      <c r="H1194" s="2" t="n">
        <f aca="false">IF(B1194&lt;Test1_Hand!$B$13,1,0)</f>
        <v>0</v>
      </c>
      <c r="I1194" s="23" t="n">
        <f aca="false">Test1_Hand!$B$4+H1194*D1194</f>
        <v>16</v>
      </c>
      <c r="J1194" s="24" t="n">
        <f aca="false">Test1_Hand!$B$6*H1194*D1194+Test1_Hand!$B$7*MAX(0,I1194-Test1_Hand!$B$5)+Test1_Hand!$B$14</f>
        <v>6000</v>
      </c>
    </row>
    <row r="1195" customFormat="false" ht="15" hidden="false" customHeight="false" outlineLevel="0" collapsed="false">
      <c r="A1195" s="2" t="n">
        <v>1183</v>
      </c>
      <c r="B1195" s="22" t="n">
        <v>0.796505271259659</v>
      </c>
      <c r="C1195" s="22" t="n">
        <v>0.0235811399455523</v>
      </c>
      <c r="D1195" s="23" t="n">
        <f aca="false">BETAINV(C1195,Test1_Hand!$B$21,Test1_Hand!$B$22,Test1_Hand!$B$9,Test1_Hand!$B$11)</f>
        <v>1.43199980649268</v>
      </c>
      <c r="E1195" s="2" t="n">
        <f aca="false">IF(B1195&lt;Test1_Hand!$B$12,1,0)</f>
        <v>0</v>
      </c>
      <c r="F1195" s="23" t="n">
        <f aca="false">Test1_Hand!$B$4+E1195*D1195</f>
        <v>16</v>
      </c>
      <c r="G1195" s="24" t="n">
        <f aca="false">Test1_Hand!$B$6*E1195*D1195+Test1_Hand!$B$7*MAX(0,F1195-Test1_Hand!$B$5)</f>
        <v>0</v>
      </c>
      <c r="H1195" s="2" t="n">
        <f aca="false">IF(B1195&lt;Test1_Hand!$B$13,1,0)</f>
        <v>0</v>
      </c>
      <c r="I1195" s="23" t="n">
        <f aca="false">Test1_Hand!$B$4+H1195*D1195</f>
        <v>16</v>
      </c>
      <c r="J1195" s="24" t="n">
        <f aca="false">Test1_Hand!$B$6*H1195*D1195+Test1_Hand!$B$7*MAX(0,I1195-Test1_Hand!$B$5)+Test1_Hand!$B$14</f>
        <v>6000</v>
      </c>
    </row>
    <row r="1196" customFormat="false" ht="15" hidden="false" customHeight="false" outlineLevel="0" collapsed="false">
      <c r="A1196" s="2" t="n">
        <v>1184</v>
      </c>
      <c r="B1196" s="22" t="n">
        <v>0.939720514481903</v>
      </c>
      <c r="C1196" s="22" t="n">
        <v>0.147093441057509</v>
      </c>
      <c r="D1196" s="23" t="n">
        <f aca="false">BETAINV(C1196,Test1_Hand!$B$21,Test1_Hand!$B$22,Test1_Hand!$B$9,Test1_Hand!$B$11)</f>
        <v>2.1153503157432</v>
      </c>
      <c r="E1196" s="2" t="n">
        <f aca="false">IF(B1196&lt;Test1_Hand!$B$12,1,0)</f>
        <v>0</v>
      </c>
      <c r="F1196" s="23" t="n">
        <f aca="false">Test1_Hand!$B$4+E1196*D1196</f>
        <v>16</v>
      </c>
      <c r="G1196" s="24" t="n">
        <f aca="false">Test1_Hand!$B$6*E1196*D1196+Test1_Hand!$B$7*MAX(0,F1196-Test1_Hand!$B$5)</f>
        <v>0</v>
      </c>
      <c r="H1196" s="2" t="n">
        <f aca="false">IF(B1196&lt;Test1_Hand!$B$13,1,0)</f>
        <v>0</v>
      </c>
      <c r="I1196" s="23" t="n">
        <f aca="false">Test1_Hand!$B$4+H1196*D1196</f>
        <v>16</v>
      </c>
      <c r="J1196" s="24" t="n">
        <f aca="false">Test1_Hand!$B$6*H1196*D1196+Test1_Hand!$B$7*MAX(0,I1196-Test1_Hand!$B$5)+Test1_Hand!$B$14</f>
        <v>6000</v>
      </c>
    </row>
    <row r="1197" customFormat="false" ht="15" hidden="false" customHeight="false" outlineLevel="0" collapsed="false">
      <c r="A1197" s="2" t="n">
        <v>1185</v>
      </c>
      <c r="B1197" s="22" t="n">
        <v>0.347593663954232</v>
      </c>
      <c r="C1197" s="22" t="n">
        <v>0.539364293806898</v>
      </c>
      <c r="D1197" s="23" t="n">
        <f aca="false">BETAINV(C1197,Test1_Hand!$B$21,Test1_Hand!$B$22,Test1_Hand!$B$9,Test1_Hand!$B$11)</f>
        <v>3.52300664941318</v>
      </c>
      <c r="E1197" s="2" t="n">
        <f aca="false">IF(B1197&lt;Test1_Hand!$B$12,1,0)</f>
        <v>1</v>
      </c>
      <c r="F1197" s="23" t="n">
        <f aca="false">Test1_Hand!$B$4+E1197*D1197</f>
        <v>19.5230066494132</v>
      </c>
      <c r="G1197" s="24" t="n">
        <f aca="false">Test1_Hand!$B$6*E1197*D1197+Test1_Hand!$B$7*MAX(0,F1197-Test1_Hand!$B$5)</f>
        <v>28184.0531953055</v>
      </c>
      <c r="H1197" s="2" t="n">
        <f aca="false">IF(B1197&lt;Test1_Hand!$B$13,1,0)</f>
        <v>0</v>
      </c>
      <c r="I1197" s="23" t="n">
        <f aca="false">Test1_Hand!$B$4+H1197*D1197</f>
        <v>16</v>
      </c>
      <c r="J1197" s="24" t="n">
        <f aca="false">Test1_Hand!$B$6*H1197*D1197+Test1_Hand!$B$7*MAX(0,I1197-Test1_Hand!$B$5)+Test1_Hand!$B$14</f>
        <v>6000</v>
      </c>
    </row>
    <row r="1198" customFormat="false" ht="15" hidden="false" customHeight="false" outlineLevel="0" collapsed="false">
      <c r="A1198" s="2" t="n">
        <v>1186</v>
      </c>
      <c r="B1198" s="22" t="n">
        <v>0.884051933200876</v>
      </c>
      <c r="C1198" s="22" t="n">
        <v>0.301544021949009</v>
      </c>
      <c r="D1198" s="23" t="n">
        <f aca="false">BETAINV(C1198,Test1_Hand!$B$21,Test1_Hand!$B$22,Test1_Hand!$B$9,Test1_Hand!$B$11)</f>
        <v>2.69573841256444</v>
      </c>
      <c r="E1198" s="2" t="n">
        <f aca="false">IF(B1198&lt;Test1_Hand!$B$12,1,0)</f>
        <v>0</v>
      </c>
      <c r="F1198" s="23" t="n">
        <f aca="false">Test1_Hand!$B$4+E1198*D1198</f>
        <v>16</v>
      </c>
      <c r="G1198" s="24" t="n">
        <f aca="false">Test1_Hand!$B$6*E1198*D1198+Test1_Hand!$B$7*MAX(0,F1198-Test1_Hand!$B$5)</f>
        <v>0</v>
      </c>
      <c r="H1198" s="2" t="n">
        <f aca="false">IF(B1198&lt;Test1_Hand!$B$13,1,0)</f>
        <v>0</v>
      </c>
      <c r="I1198" s="23" t="n">
        <f aca="false">Test1_Hand!$B$4+H1198*D1198</f>
        <v>16</v>
      </c>
      <c r="J1198" s="24" t="n">
        <f aca="false">Test1_Hand!$B$6*H1198*D1198+Test1_Hand!$B$7*MAX(0,I1198-Test1_Hand!$B$5)+Test1_Hand!$B$14</f>
        <v>6000</v>
      </c>
    </row>
    <row r="1199" customFormat="false" ht="15" hidden="false" customHeight="false" outlineLevel="0" collapsed="false">
      <c r="A1199" s="2" t="n">
        <v>1187</v>
      </c>
      <c r="B1199" s="22" t="n">
        <v>0.0297551403131163</v>
      </c>
      <c r="C1199" s="22" t="n">
        <v>0.110605168536937</v>
      </c>
      <c r="D1199" s="23" t="n">
        <f aca="false">BETAINV(C1199,Test1_Hand!$B$21,Test1_Hand!$B$22,Test1_Hand!$B$9,Test1_Hand!$B$11)</f>
        <v>1.95457375439593</v>
      </c>
      <c r="E1199" s="2" t="n">
        <f aca="false">IF(B1199&lt;Test1_Hand!$B$12,1,0)</f>
        <v>1</v>
      </c>
      <c r="F1199" s="23" t="n">
        <f aca="false">Test1_Hand!$B$4+E1199*D1199</f>
        <v>17.9545737543959</v>
      </c>
      <c r="G1199" s="24" t="n">
        <f aca="false">Test1_Hand!$B$6*E1199*D1199+Test1_Hand!$B$7*MAX(0,F1199-Test1_Hand!$B$5)</f>
        <v>15636.5900351675</v>
      </c>
      <c r="H1199" s="2" t="n">
        <f aca="false">IF(B1199&lt;Test1_Hand!$B$13,1,0)</f>
        <v>1</v>
      </c>
      <c r="I1199" s="23" t="n">
        <f aca="false">Test1_Hand!$B$4+H1199*D1199</f>
        <v>17.9545737543959</v>
      </c>
      <c r="J1199" s="24" t="n">
        <f aca="false">Test1_Hand!$B$6*H1199*D1199+Test1_Hand!$B$7*MAX(0,I1199-Test1_Hand!$B$5)+Test1_Hand!$B$14</f>
        <v>21636.5900351675</v>
      </c>
    </row>
    <row r="1200" customFormat="false" ht="15" hidden="false" customHeight="false" outlineLevel="0" collapsed="false">
      <c r="A1200" s="2" t="n">
        <v>1188</v>
      </c>
      <c r="B1200" s="22" t="n">
        <v>0.79611882346361</v>
      </c>
      <c r="C1200" s="22" t="n">
        <v>0.201535951939939</v>
      </c>
      <c r="D1200" s="23" t="n">
        <f aca="false">BETAINV(C1200,Test1_Hand!$B$21,Test1_Hand!$B$22,Test1_Hand!$B$9,Test1_Hand!$B$11)</f>
        <v>2.33257823634855</v>
      </c>
      <c r="E1200" s="2" t="n">
        <f aca="false">IF(B1200&lt;Test1_Hand!$B$12,1,0)</f>
        <v>0</v>
      </c>
      <c r="F1200" s="23" t="n">
        <f aca="false">Test1_Hand!$B$4+E1200*D1200</f>
        <v>16</v>
      </c>
      <c r="G1200" s="24" t="n">
        <f aca="false">Test1_Hand!$B$6*E1200*D1200+Test1_Hand!$B$7*MAX(0,F1200-Test1_Hand!$B$5)</f>
        <v>0</v>
      </c>
      <c r="H1200" s="2" t="n">
        <f aca="false">IF(B1200&lt;Test1_Hand!$B$13,1,0)</f>
        <v>0</v>
      </c>
      <c r="I1200" s="23" t="n">
        <f aca="false">Test1_Hand!$B$4+H1200*D1200</f>
        <v>16</v>
      </c>
      <c r="J1200" s="24" t="n">
        <f aca="false">Test1_Hand!$B$6*H1200*D1200+Test1_Hand!$B$7*MAX(0,I1200-Test1_Hand!$B$5)+Test1_Hand!$B$14</f>
        <v>6000</v>
      </c>
    </row>
    <row r="1201" customFormat="false" ht="15" hidden="false" customHeight="false" outlineLevel="0" collapsed="false">
      <c r="A1201" s="2" t="n">
        <v>1189</v>
      </c>
      <c r="B1201" s="22" t="n">
        <v>0.669721315437572</v>
      </c>
      <c r="C1201" s="22" t="n">
        <v>0.683822844325929</v>
      </c>
      <c r="D1201" s="23" t="n">
        <f aca="false">BETAINV(C1201,Test1_Hand!$B$21,Test1_Hand!$B$22,Test1_Hand!$B$9,Test1_Hand!$B$11)</f>
        <v>4.08062040670244</v>
      </c>
      <c r="E1201" s="2" t="n">
        <f aca="false">IF(B1201&lt;Test1_Hand!$B$12,1,0)</f>
        <v>0</v>
      </c>
      <c r="F1201" s="23" t="n">
        <f aca="false">Test1_Hand!$B$4+E1201*D1201</f>
        <v>16</v>
      </c>
      <c r="G1201" s="24" t="n">
        <f aca="false">Test1_Hand!$B$6*E1201*D1201+Test1_Hand!$B$7*MAX(0,F1201-Test1_Hand!$B$5)</f>
        <v>0</v>
      </c>
      <c r="H1201" s="2" t="n">
        <f aca="false">IF(B1201&lt;Test1_Hand!$B$13,1,0)</f>
        <v>0</v>
      </c>
      <c r="I1201" s="23" t="n">
        <f aca="false">Test1_Hand!$B$4+H1201*D1201</f>
        <v>16</v>
      </c>
      <c r="J1201" s="24" t="n">
        <f aca="false">Test1_Hand!$B$6*H1201*D1201+Test1_Hand!$B$7*MAX(0,I1201-Test1_Hand!$B$5)+Test1_Hand!$B$14</f>
        <v>6000</v>
      </c>
    </row>
    <row r="1202" customFormat="false" ht="15" hidden="false" customHeight="false" outlineLevel="0" collapsed="false">
      <c r="A1202" s="2" t="n">
        <v>1190</v>
      </c>
      <c r="B1202" s="22" t="n">
        <v>0.956890963212846</v>
      </c>
      <c r="C1202" s="22" t="n">
        <v>0.999728822342012</v>
      </c>
      <c r="D1202" s="23" t="n">
        <f aca="false">BETAINV(C1202,Test1_Hand!$B$21,Test1_Hand!$B$22,Test1_Hand!$B$9,Test1_Hand!$B$11)</f>
        <v>7.46194601501777</v>
      </c>
      <c r="E1202" s="2" t="n">
        <f aca="false">IF(B1202&lt;Test1_Hand!$B$12,1,0)</f>
        <v>0</v>
      </c>
      <c r="F1202" s="23" t="n">
        <f aca="false">Test1_Hand!$B$4+E1202*D1202</f>
        <v>16</v>
      </c>
      <c r="G1202" s="24" t="n">
        <f aca="false">Test1_Hand!$B$6*E1202*D1202+Test1_Hand!$B$7*MAX(0,F1202-Test1_Hand!$B$5)</f>
        <v>0</v>
      </c>
      <c r="H1202" s="2" t="n">
        <f aca="false">IF(B1202&lt;Test1_Hand!$B$13,1,0)</f>
        <v>0</v>
      </c>
      <c r="I1202" s="23" t="n">
        <f aca="false">Test1_Hand!$B$4+H1202*D1202</f>
        <v>16</v>
      </c>
      <c r="J1202" s="24" t="n">
        <f aca="false">Test1_Hand!$B$6*H1202*D1202+Test1_Hand!$B$7*MAX(0,I1202-Test1_Hand!$B$5)+Test1_Hand!$B$14</f>
        <v>6000</v>
      </c>
    </row>
    <row r="1203" customFormat="false" ht="15" hidden="false" customHeight="false" outlineLevel="0" collapsed="false">
      <c r="A1203" s="2" t="n">
        <v>1191</v>
      </c>
      <c r="B1203" s="22" t="n">
        <v>0.236805853923151</v>
      </c>
      <c r="C1203" s="22" t="n">
        <v>0.844446736087463</v>
      </c>
      <c r="D1203" s="23" t="n">
        <f aca="false">BETAINV(C1203,Test1_Hand!$B$21,Test1_Hand!$B$22,Test1_Hand!$B$9,Test1_Hand!$B$11)</f>
        <v>4.88114501129511</v>
      </c>
      <c r="E1203" s="2" t="n">
        <f aca="false">IF(B1203&lt;Test1_Hand!$B$12,1,0)</f>
        <v>1</v>
      </c>
      <c r="F1203" s="23" t="n">
        <f aca="false">Test1_Hand!$B$4+E1203*D1203</f>
        <v>20.8811450112951</v>
      </c>
      <c r="G1203" s="24" t="n">
        <f aca="false">Test1_Hand!$B$6*E1203*D1203+Test1_Hand!$B$7*MAX(0,F1203-Test1_Hand!$B$5)</f>
        <v>43454.8851468364</v>
      </c>
      <c r="H1203" s="2" t="n">
        <f aca="false">IF(B1203&lt;Test1_Hand!$B$13,1,0)</f>
        <v>0</v>
      </c>
      <c r="I1203" s="23" t="n">
        <f aca="false">Test1_Hand!$B$4+H1203*D1203</f>
        <v>16</v>
      </c>
      <c r="J1203" s="24" t="n">
        <f aca="false">Test1_Hand!$B$6*H1203*D1203+Test1_Hand!$B$7*MAX(0,I1203-Test1_Hand!$B$5)+Test1_Hand!$B$14</f>
        <v>6000</v>
      </c>
    </row>
    <row r="1204" customFormat="false" ht="15" hidden="false" customHeight="false" outlineLevel="0" collapsed="false">
      <c r="A1204" s="2" t="n">
        <v>1192</v>
      </c>
      <c r="B1204" s="22" t="n">
        <v>0.394280244854554</v>
      </c>
      <c r="C1204" s="22" t="n">
        <v>0.220285849028442</v>
      </c>
      <c r="D1204" s="23" t="n">
        <f aca="false">BETAINV(C1204,Test1_Hand!$B$21,Test1_Hand!$B$22,Test1_Hand!$B$9,Test1_Hand!$B$11)</f>
        <v>2.40330654036214</v>
      </c>
      <c r="E1204" s="2" t="n">
        <f aca="false">IF(B1204&lt;Test1_Hand!$B$12,1,0)</f>
        <v>1</v>
      </c>
      <c r="F1204" s="23" t="n">
        <f aca="false">Test1_Hand!$B$4+E1204*D1204</f>
        <v>18.4033065403621</v>
      </c>
      <c r="G1204" s="24" t="n">
        <f aca="false">Test1_Hand!$B$6*E1204*D1204+Test1_Hand!$B$7*MAX(0,F1204-Test1_Hand!$B$5)</f>
        <v>19226.4523228971</v>
      </c>
      <c r="H1204" s="2" t="n">
        <f aca="false">IF(B1204&lt;Test1_Hand!$B$13,1,0)</f>
        <v>0</v>
      </c>
      <c r="I1204" s="23" t="n">
        <f aca="false">Test1_Hand!$B$4+H1204*D1204</f>
        <v>16</v>
      </c>
      <c r="J1204" s="24" t="n">
        <f aca="false">Test1_Hand!$B$6*H1204*D1204+Test1_Hand!$B$7*MAX(0,I1204-Test1_Hand!$B$5)+Test1_Hand!$B$14</f>
        <v>6000</v>
      </c>
    </row>
    <row r="1205" customFormat="false" ht="15" hidden="false" customHeight="false" outlineLevel="0" collapsed="false">
      <c r="A1205" s="2" t="n">
        <v>1193</v>
      </c>
      <c r="B1205" s="22" t="n">
        <v>0.339562826601397</v>
      </c>
      <c r="C1205" s="22" t="n">
        <v>0.204711055303791</v>
      </c>
      <c r="D1205" s="23" t="n">
        <f aca="false">BETAINV(C1205,Test1_Hand!$B$21,Test1_Hand!$B$22,Test1_Hand!$B$9,Test1_Hand!$B$11)</f>
        <v>2.34467336877552</v>
      </c>
      <c r="E1205" s="2" t="n">
        <f aca="false">IF(B1205&lt;Test1_Hand!$B$12,1,0)</f>
        <v>1</v>
      </c>
      <c r="F1205" s="23" t="n">
        <f aca="false">Test1_Hand!$B$4+E1205*D1205</f>
        <v>18.3446733687755</v>
      </c>
      <c r="G1205" s="24" t="n">
        <f aca="false">Test1_Hand!$B$6*E1205*D1205+Test1_Hand!$B$7*MAX(0,F1205-Test1_Hand!$B$5)</f>
        <v>18757.3869502042</v>
      </c>
      <c r="H1205" s="2" t="n">
        <f aca="false">IF(B1205&lt;Test1_Hand!$B$13,1,0)</f>
        <v>0</v>
      </c>
      <c r="I1205" s="23" t="n">
        <f aca="false">Test1_Hand!$B$4+H1205*D1205</f>
        <v>16</v>
      </c>
      <c r="J1205" s="24" t="n">
        <f aca="false">Test1_Hand!$B$6*H1205*D1205+Test1_Hand!$B$7*MAX(0,I1205-Test1_Hand!$B$5)+Test1_Hand!$B$14</f>
        <v>6000</v>
      </c>
    </row>
    <row r="1206" customFormat="false" ht="15" hidden="false" customHeight="false" outlineLevel="0" collapsed="false">
      <c r="A1206" s="2" t="n">
        <v>1194</v>
      </c>
      <c r="B1206" s="22" t="n">
        <v>0.998833006495979</v>
      </c>
      <c r="C1206" s="22" t="n">
        <v>0.0128390932319656</v>
      </c>
      <c r="D1206" s="23" t="n">
        <f aca="false">BETAINV(C1206,Test1_Hand!$B$21,Test1_Hand!$B$22,Test1_Hand!$B$9,Test1_Hand!$B$11)</f>
        <v>1.32047482585462</v>
      </c>
      <c r="E1206" s="2" t="n">
        <f aca="false">IF(B1206&lt;Test1_Hand!$B$12,1,0)</f>
        <v>0</v>
      </c>
      <c r="F1206" s="23" t="n">
        <f aca="false">Test1_Hand!$B$4+E1206*D1206</f>
        <v>16</v>
      </c>
      <c r="G1206" s="24" t="n">
        <f aca="false">Test1_Hand!$B$6*E1206*D1206+Test1_Hand!$B$7*MAX(0,F1206-Test1_Hand!$B$5)</f>
        <v>0</v>
      </c>
      <c r="H1206" s="2" t="n">
        <f aca="false">IF(B1206&lt;Test1_Hand!$B$13,1,0)</f>
        <v>0</v>
      </c>
      <c r="I1206" s="23" t="n">
        <f aca="false">Test1_Hand!$B$4+H1206*D1206</f>
        <v>16</v>
      </c>
      <c r="J1206" s="24" t="n">
        <f aca="false">Test1_Hand!$B$6*H1206*D1206+Test1_Hand!$B$7*MAX(0,I1206-Test1_Hand!$B$5)+Test1_Hand!$B$14</f>
        <v>6000</v>
      </c>
    </row>
    <row r="1207" customFormat="false" ht="15" hidden="false" customHeight="false" outlineLevel="0" collapsed="false">
      <c r="A1207" s="2" t="n">
        <v>1195</v>
      </c>
      <c r="B1207" s="22" t="n">
        <v>0.852888753605915</v>
      </c>
      <c r="C1207" s="22" t="n">
        <v>0.705242211627022</v>
      </c>
      <c r="D1207" s="23" t="n">
        <f aca="false">BETAINV(C1207,Test1_Hand!$B$21,Test1_Hand!$B$22,Test1_Hand!$B$9,Test1_Hand!$B$11)</f>
        <v>4.17214679482168</v>
      </c>
      <c r="E1207" s="2" t="n">
        <f aca="false">IF(B1207&lt;Test1_Hand!$B$12,1,0)</f>
        <v>0</v>
      </c>
      <c r="F1207" s="23" t="n">
        <f aca="false">Test1_Hand!$B$4+E1207*D1207</f>
        <v>16</v>
      </c>
      <c r="G1207" s="24" t="n">
        <f aca="false">Test1_Hand!$B$6*E1207*D1207+Test1_Hand!$B$7*MAX(0,F1207-Test1_Hand!$B$5)</f>
        <v>0</v>
      </c>
      <c r="H1207" s="2" t="n">
        <f aca="false">IF(B1207&lt;Test1_Hand!$B$13,1,0)</f>
        <v>0</v>
      </c>
      <c r="I1207" s="23" t="n">
        <f aca="false">Test1_Hand!$B$4+H1207*D1207</f>
        <v>16</v>
      </c>
      <c r="J1207" s="24" t="n">
        <f aca="false">Test1_Hand!$B$6*H1207*D1207+Test1_Hand!$B$7*MAX(0,I1207-Test1_Hand!$B$5)+Test1_Hand!$B$14</f>
        <v>6000</v>
      </c>
    </row>
    <row r="1208" customFormat="false" ht="15" hidden="false" customHeight="false" outlineLevel="0" collapsed="false">
      <c r="A1208" s="2" t="n">
        <v>1196</v>
      </c>
      <c r="B1208" s="22" t="n">
        <v>0.563709149728265</v>
      </c>
      <c r="C1208" s="22" t="n">
        <v>0.223231451447246</v>
      </c>
      <c r="D1208" s="23" t="n">
        <f aca="false">BETAINV(C1208,Test1_Hand!$B$21,Test1_Hand!$B$22,Test1_Hand!$B$9,Test1_Hand!$B$11)</f>
        <v>2.41427496468067</v>
      </c>
      <c r="E1208" s="2" t="n">
        <f aca="false">IF(B1208&lt;Test1_Hand!$B$12,1,0)</f>
        <v>0</v>
      </c>
      <c r="F1208" s="23" t="n">
        <f aca="false">Test1_Hand!$B$4+E1208*D1208</f>
        <v>16</v>
      </c>
      <c r="G1208" s="24" t="n">
        <f aca="false">Test1_Hand!$B$6*E1208*D1208+Test1_Hand!$B$7*MAX(0,F1208-Test1_Hand!$B$5)</f>
        <v>0</v>
      </c>
      <c r="H1208" s="2" t="n">
        <f aca="false">IF(B1208&lt;Test1_Hand!$B$13,1,0)</f>
        <v>0</v>
      </c>
      <c r="I1208" s="23" t="n">
        <f aca="false">Test1_Hand!$B$4+H1208*D1208</f>
        <v>16</v>
      </c>
      <c r="J1208" s="24" t="n">
        <f aca="false">Test1_Hand!$B$6*H1208*D1208+Test1_Hand!$B$7*MAX(0,I1208-Test1_Hand!$B$5)+Test1_Hand!$B$14</f>
        <v>6000</v>
      </c>
    </row>
    <row r="1209" customFormat="false" ht="15" hidden="false" customHeight="false" outlineLevel="0" collapsed="false">
      <c r="A1209" s="2" t="n">
        <v>1197</v>
      </c>
      <c r="B1209" s="22" t="n">
        <v>0.320422443773291</v>
      </c>
      <c r="C1209" s="22" t="n">
        <v>0.949068740563379</v>
      </c>
      <c r="D1209" s="23" t="n">
        <f aca="false">BETAINV(C1209,Test1_Hand!$B$21,Test1_Hand!$B$22,Test1_Hand!$B$9,Test1_Hand!$B$11)</f>
        <v>5.76205388384596</v>
      </c>
      <c r="E1209" s="2" t="n">
        <f aca="false">IF(B1209&lt;Test1_Hand!$B$12,1,0)</f>
        <v>1</v>
      </c>
      <c r="F1209" s="23" t="n">
        <f aca="false">Test1_Hand!$B$4+E1209*D1209</f>
        <v>21.762053883846</v>
      </c>
      <c r="G1209" s="24" t="n">
        <f aca="false">Test1_Hand!$B$6*E1209*D1209+Test1_Hand!$B$7*MAX(0,F1209-Test1_Hand!$B$5)</f>
        <v>54906.7004899975</v>
      </c>
      <c r="H1209" s="2" t="n">
        <f aca="false">IF(B1209&lt;Test1_Hand!$B$13,1,0)</f>
        <v>0</v>
      </c>
      <c r="I1209" s="23" t="n">
        <f aca="false">Test1_Hand!$B$4+H1209*D1209</f>
        <v>16</v>
      </c>
      <c r="J1209" s="24" t="n">
        <f aca="false">Test1_Hand!$B$6*H1209*D1209+Test1_Hand!$B$7*MAX(0,I1209-Test1_Hand!$B$5)+Test1_Hand!$B$14</f>
        <v>6000</v>
      </c>
    </row>
    <row r="1210" customFormat="false" ht="15" hidden="false" customHeight="false" outlineLevel="0" collapsed="false">
      <c r="A1210" s="2" t="n">
        <v>1198</v>
      </c>
      <c r="B1210" s="22" t="n">
        <v>0.819770259191375</v>
      </c>
      <c r="C1210" s="22" t="n">
        <v>0.122678527488014</v>
      </c>
      <c r="D1210" s="23" t="n">
        <f aca="false">BETAINV(C1210,Test1_Hand!$B$21,Test1_Hand!$B$22,Test1_Hand!$B$9,Test1_Hand!$B$11)</f>
        <v>2.00961175655515</v>
      </c>
      <c r="E1210" s="2" t="n">
        <f aca="false">IF(B1210&lt;Test1_Hand!$B$12,1,0)</f>
        <v>0</v>
      </c>
      <c r="F1210" s="23" t="n">
        <f aca="false">Test1_Hand!$B$4+E1210*D1210</f>
        <v>16</v>
      </c>
      <c r="G1210" s="24" t="n">
        <f aca="false">Test1_Hand!$B$6*E1210*D1210+Test1_Hand!$B$7*MAX(0,F1210-Test1_Hand!$B$5)</f>
        <v>0</v>
      </c>
      <c r="H1210" s="2" t="n">
        <f aca="false">IF(B1210&lt;Test1_Hand!$B$13,1,0)</f>
        <v>0</v>
      </c>
      <c r="I1210" s="23" t="n">
        <f aca="false">Test1_Hand!$B$4+H1210*D1210</f>
        <v>16</v>
      </c>
      <c r="J1210" s="24" t="n">
        <f aca="false">Test1_Hand!$B$6*H1210*D1210+Test1_Hand!$B$7*MAX(0,I1210-Test1_Hand!$B$5)+Test1_Hand!$B$14</f>
        <v>6000</v>
      </c>
    </row>
    <row r="1211" customFormat="false" ht="15" hidden="false" customHeight="false" outlineLevel="0" collapsed="false">
      <c r="A1211" s="2" t="n">
        <v>1199</v>
      </c>
      <c r="B1211" s="22" t="n">
        <v>0.439979063289917</v>
      </c>
      <c r="C1211" s="22" t="n">
        <v>0.947987975491453</v>
      </c>
      <c r="D1211" s="23" t="n">
        <f aca="false">BETAINV(C1211,Test1_Hand!$B$21,Test1_Hand!$B$22,Test1_Hand!$B$9,Test1_Hand!$B$11)</f>
        <v>5.74846156319267</v>
      </c>
      <c r="E1211" s="2" t="n">
        <f aca="false">IF(B1211&lt;Test1_Hand!$B$12,1,0)</f>
        <v>1</v>
      </c>
      <c r="F1211" s="23" t="n">
        <f aca="false">Test1_Hand!$B$4+E1211*D1211</f>
        <v>21.7484615631927</v>
      </c>
      <c r="G1211" s="24" t="n">
        <f aca="false">Test1_Hand!$B$6*E1211*D1211+Test1_Hand!$B$7*MAX(0,F1211-Test1_Hand!$B$5)</f>
        <v>54730.0003215046</v>
      </c>
      <c r="H1211" s="2" t="n">
        <f aca="false">IF(B1211&lt;Test1_Hand!$B$13,1,0)</f>
        <v>0</v>
      </c>
      <c r="I1211" s="23" t="n">
        <f aca="false">Test1_Hand!$B$4+H1211*D1211</f>
        <v>16</v>
      </c>
      <c r="J1211" s="24" t="n">
        <f aca="false">Test1_Hand!$B$6*H1211*D1211+Test1_Hand!$B$7*MAX(0,I1211-Test1_Hand!$B$5)+Test1_Hand!$B$14</f>
        <v>6000</v>
      </c>
    </row>
    <row r="1212" customFormat="false" ht="15" hidden="false" customHeight="false" outlineLevel="0" collapsed="false">
      <c r="A1212" s="2" t="n">
        <v>1200</v>
      </c>
      <c r="B1212" s="22" t="n">
        <v>0.0327713672794705</v>
      </c>
      <c r="C1212" s="22" t="n">
        <v>0.531053079157046</v>
      </c>
      <c r="D1212" s="23" t="n">
        <f aca="false">BETAINV(C1212,Test1_Hand!$B$21,Test1_Hand!$B$22,Test1_Hand!$B$9,Test1_Hand!$B$11)</f>
        <v>3.49308436647932</v>
      </c>
      <c r="E1212" s="2" t="n">
        <f aca="false">IF(B1212&lt;Test1_Hand!$B$12,1,0)</f>
        <v>1</v>
      </c>
      <c r="F1212" s="23" t="n">
        <f aca="false">Test1_Hand!$B$4+E1212*D1212</f>
        <v>19.4930843664793</v>
      </c>
      <c r="G1212" s="24" t="n">
        <f aca="false">Test1_Hand!$B$6*E1212*D1212+Test1_Hand!$B$7*MAX(0,F1212-Test1_Hand!$B$5)</f>
        <v>27944.6749318346</v>
      </c>
      <c r="H1212" s="2" t="n">
        <f aca="false">IF(B1212&lt;Test1_Hand!$B$13,1,0)</f>
        <v>1</v>
      </c>
      <c r="I1212" s="23" t="n">
        <f aca="false">Test1_Hand!$B$4+H1212*D1212</f>
        <v>19.4930843664793</v>
      </c>
      <c r="J1212" s="24" t="n">
        <f aca="false">Test1_Hand!$B$6*H1212*D1212+Test1_Hand!$B$7*MAX(0,I1212-Test1_Hand!$B$5)+Test1_Hand!$B$14</f>
        <v>33944.6749318346</v>
      </c>
    </row>
    <row r="1213" customFormat="false" ht="15" hidden="false" customHeight="false" outlineLevel="0" collapsed="false">
      <c r="A1213" s="2" t="n">
        <v>1201</v>
      </c>
      <c r="B1213" s="22" t="n">
        <v>0.728519118570893</v>
      </c>
      <c r="C1213" s="22" t="n">
        <v>0.264759040254251</v>
      </c>
      <c r="D1213" s="23" t="n">
        <f aca="false">BETAINV(C1213,Test1_Hand!$B$21,Test1_Hand!$B$22,Test1_Hand!$B$9,Test1_Hand!$B$11)</f>
        <v>2.5655884055585</v>
      </c>
      <c r="E1213" s="2" t="n">
        <f aca="false">IF(B1213&lt;Test1_Hand!$B$12,1,0)</f>
        <v>0</v>
      </c>
      <c r="F1213" s="23" t="n">
        <f aca="false">Test1_Hand!$B$4+E1213*D1213</f>
        <v>16</v>
      </c>
      <c r="G1213" s="24" t="n">
        <f aca="false">Test1_Hand!$B$6*E1213*D1213+Test1_Hand!$B$7*MAX(0,F1213-Test1_Hand!$B$5)</f>
        <v>0</v>
      </c>
      <c r="H1213" s="2" t="n">
        <f aca="false">IF(B1213&lt;Test1_Hand!$B$13,1,0)</f>
        <v>0</v>
      </c>
      <c r="I1213" s="23" t="n">
        <f aca="false">Test1_Hand!$B$4+H1213*D1213</f>
        <v>16</v>
      </c>
      <c r="J1213" s="24" t="n">
        <f aca="false">Test1_Hand!$B$6*H1213*D1213+Test1_Hand!$B$7*MAX(0,I1213-Test1_Hand!$B$5)+Test1_Hand!$B$14</f>
        <v>6000</v>
      </c>
    </row>
    <row r="1214" customFormat="false" ht="15" hidden="false" customHeight="false" outlineLevel="0" collapsed="false">
      <c r="A1214" s="2" t="n">
        <v>1202</v>
      </c>
      <c r="B1214" s="22" t="n">
        <v>0.410037607513735</v>
      </c>
      <c r="C1214" s="22" t="n">
        <v>0.930548831790548</v>
      </c>
      <c r="D1214" s="23" t="n">
        <f aca="false">BETAINV(C1214,Test1_Hand!$B$21,Test1_Hand!$B$22,Test1_Hand!$B$9,Test1_Hand!$B$11)</f>
        <v>5.55121524431338</v>
      </c>
      <c r="E1214" s="2" t="n">
        <f aca="false">IF(B1214&lt;Test1_Hand!$B$12,1,0)</f>
        <v>1</v>
      </c>
      <c r="F1214" s="23" t="n">
        <f aca="false">Test1_Hand!$B$4+E1214*D1214</f>
        <v>21.5512152443134</v>
      </c>
      <c r="G1214" s="24" t="n">
        <f aca="false">Test1_Hand!$B$6*E1214*D1214+Test1_Hand!$B$7*MAX(0,F1214-Test1_Hand!$B$5)</f>
        <v>52165.7981760739</v>
      </c>
      <c r="H1214" s="2" t="n">
        <f aca="false">IF(B1214&lt;Test1_Hand!$B$13,1,0)</f>
        <v>0</v>
      </c>
      <c r="I1214" s="23" t="n">
        <f aca="false">Test1_Hand!$B$4+H1214*D1214</f>
        <v>16</v>
      </c>
      <c r="J1214" s="24" t="n">
        <f aca="false">Test1_Hand!$B$6*H1214*D1214+Test1_Hand!$B$7*MAX(0,I1214-Test1_Hand!$B$5)+Test1_Hand!$B$14</f>
        <v>6000</v>
      </c>
    </row>
    <row r="1215" customFormat="false" ht="15" hidden="false" customHeight="false" outlineLevel="0" collapsed="false">
      <c r="A1215" s="2" t="n">
        <v>1203</v>
      </c>
      <c r="B1215" s="22" t="n">
        <v>0.614122697050442</v>
      </c>
      <c r="C1215" s="22" t="n">
        <v>0.850091273044626</v>
      </c>
      <c r="D1215" s="23" t="n">
        <f aca="false">BETAINV(C1215,Test1_Hand!$B$21,Test1_Hand!$B$22,Test1_Hand!$B$9,Test1_Hand!$B$11)</f>
        <v>4.91652245128108</v>
      </c>
      <c r="E1215" s="2" t="n">
        <f aca="false">IF(B1215&lt;Test1_Hand!$B$12,1,0)</f>
        <v>0</v>
      </c>
      <c r="F1215" s="23" t="n">
        <f aca="false">Test1_Hand!$B$4+E1215*D1215</f>
        <v>16</v>
      </c>
      <c r="G1215" s="24" t="n">
        <f aca="false">Test1_Hand!$B$6*E1215*D1215+Test1_Hand!$B$7*MAX(0,F1215-Test1_Hand!$B$5)</f>
        <v>0</v>
      </c>
      <c r="H1215" s="2" t="n">
        <f aca="false">IF(B1215&lt;Test1_Hand!$B$13,1,0)</f>
        <v>0</v>
      </c>
      <c r="I1215" s="23" t="n">
        <f aca="false">Test1_Hand!$B$4+H1215*D1215</f>
        <v>16</v>
      </c>
      <c r="J1215" s="24" t="n">
        <f aca="false">Test1_Hand!$B$6*H1215*D1215+Test1_Hand!$B$7*MAX(0,I1215-Test1_Hand!$B$5)+Test1_Hand!$B$14</f>
        <v>6000</v>
      </c>
    </row>
    <row r="1216" customFormat="false" ht="15" hidden="false" customHeight="false" outlineLevel="0" collapsed="false">
      <c r="A1216" s="2" t="n">
        <v>1204</v>
      </c>
      <c r="B1216" s="22" t="n">
        <v>0.697357188636727</v>
      </c>
      <c r="C1216" s="22" t="n">
        <v>0.227358598008205</v>
      </c>
      <c r="D1216" s="23" t="n">
        <f aca="false">BETAINV(C1216,Test1_Hand!$B$21,Test1_Hand!$B$22,Test1_Hand!$B$9,Test1_Hand!$B$11)</f>
        <v>2.42958347662816</v>
      </c>
      <c r="E1216" s="2" t="n">
        <f aca="false">IF(B1216&lt;Test1_Hand!$B$12,1,0)</f>
        <v>0</v>
      </c>
      <c r="F1216" s="23" t="n">
        <f aca="false">Test1_Hand!$B$4+E1216*D1216</f>
        <v>16</v>
      </c>
      <c r="G1216" s="24" t="n">
        <f aca="false">Test1_Hand!$B$6*E1216*D1216+Test1_Hand!$B$7*MAX(0,F1216-Test1_Hand!$B$5)</f>
        <v>0</v>
      </c>
      <c r="H1216" s="2" t="n">
        <f aca="false">IF(B1216&lt;Test1_Hand!$B$13,1,0)</f>
        <v>0</v>
      </c>
      <c r="I1216" s="23" t="n">
        <f aca="false">Test1_Hand!$B$4+H1216*D1216</f>
        <v>16</v>
      </c>
      <c r="J1216" s="24" t="n">
        <f aca="false">Test1_Hand!$B$6*H1216*D1216+Test1_Hand!$B$7*MAX(0,I1216-Test1_Hand!$B$5)+Test1_Hand!$B$14</f>
        <v>6000</v>
      </c>
    </row>
    <row r="1217" customFormat="false" ht="15" hidden="false" customHeight="false" outlineLevel="0" collapsed="false">
      <c r="A1217" s="2" t="n">
        <v>1205</v>
      </c>
      <c r="B1217" s="22" t="n">
        <v>0.153572735308336</v>
      </c>
      <c r="C1217" s="22" t="n">
        <v>0.612426818089156</v>
      </c>
      <c r="D1217" s="23" t="n">
        <f aca="false">BETAINV(C1217,Test1_Hand!$B$21,Test1_Hand!$B$22,Test1_Hand!$B$9,Test1_Hand!$B$11)</f>
        <v>3.79449475126028</v>
      </c>
      <c r="E1217" s="2" t="n">
        <f aca="false">IF(B1217&lt;Test1_Hand!$B$12,1,0)</f>
        <v>1</v>
      </c>
      <c r="F1217" s="23" t="n">
        <f aca="false">Test1_Hand!$B$4+E1217*D1217</f>
        <v>19.7944947512603</v>
      </c>
      <c r="G1217" s="24" t="n">
        <f aca="false">Test1_Hand!$B$6*E1217*D1217+Test1_Hand!$B$7*MAX(0,F1217-Test1_Hand!$B$5)</f>
        <v>30355.9580100823</v>
      </c>
      <c r="H1217" s="2" t="n">
        <f aca="false">IF(B1217&lt;Test1_Hand!$B$13,1,0)</f>
        <v>1</v>
      </c>
      <c r="I1217" s="23" t="n">
        <f aca="false">Test1_Hand!$B$4+H1217*D1217</f>
        <v>19.7944947512603</v>
      </c>
      <c r="J1217" s="24" t="n">
        <f aca="false">Test1_Hand!$B$6*H1217*D1217+Test1_Hand!$B$7*MAX(0,I1217-Test1_Hand!$B$5)+Test1_Hand!$B$14</f>
        <v>36355.9580100823</v>
      </c>
    </row>
    <row r="1218" customFormat="false" ht="15" hidden="false" customHeight="false" outlineLevel="0" collapsed="false">
      <c r="A1218" s="2" t="n">
        <v>1206</v>
      </c>
      <c r="B1218" s="22" t="n">
        <v>0.32157160244365</v>
      </c>
      <c r="C1218" s="22" t="n">
        <v>0.069621523044366</v>
      </c>
      <c r="D1218" s="23" t="n">
        <f aca="false">BETAINV(C1218,Test1_Hand!$B$21,Test1_Hand!$B$22,Test1_Hand!$B$9,Test1_Hand!$B$11)</f>
        <v>1.74733182288882</v>
      </c>
      <c r="E1218" s="2" t="n">
        <f aca="false">IF(B1218&lt;Test1_Hand!$B$12,1,0)</f>
        <v>1</v>
      </c>
      <c r="F1218" s="23" t="n">
        <f aca="false">Test1_Hand!$B$4+E1218*D1218</f>
        <v>17.7473318228888</v>
      </c>
      <c r="G1218" s="24" t="n">
        <f aca="false">Test1_Hand!$B$6*E1218*D1218+Test1_Hand!$B$7*MAX(0,F1218-Test1_Hand!$B$5)</f>
        <v>13978.6545831106</v>
      </c>
      <c r="H1218" s="2" t="n">
        <f aca="false">IF(B1218&lt;Test1_Hand!$B$13,1,0)</f>
        <v>0</v>
      </c>
      <c r="I1218" s="23" t="n">
        <f aca="false">Test1_Hand!$B$4+H1218*D1218</f>
        <v>16</v>
      </c>
      <c r="J1218" s="24" t="n">
        <f aca="false">Test1_Hand!$B$6*H1218*D1218+Test1_Hand!$B$7*MAX(0,I1218-Test1_Hand!$B$5)+Test1_Hand!$B$14</f>
        <v>6000</v>
      </c>
    </row>
    <row r="1219" customFormat="false" ht="15" hidden="false" customHeight="false" outlineLevel="0" collapsed="false">
      <c r="A1219" s="2" t="n">
        <v>1207</v>
      </c>
      <c r="B1219" s="22" t="n">
        <v>0.0569183516366898</v>
      </c>
      <c r="C1219" s="22" t="n">
        <v>0.808991077624063</v>
      </c>
      <c r="D1219" s="23" t="n">
        <f aca="false">BETAINV(C1219,Test1_Hand!$B$21,Test1_Hand!$B$22,Test1_Hand!$B$9,Test1_Hand!$B$11)</f>
        <v>4.67462512867151</v>
      </c>
      <c r="E1219" s="2" t="n">
        <f aca="false">IF(B1219&lt;Test1_Hand!$B$12,1,0)</f>
        <v>1</v>
      </c>
      <c r="F1219" s="23" t="n">
        <f aca="false">Test1_Hand!$B$4+E1219*D1219</f>
        <v>20.6746251286715</v>
      </c>
      <c r="G1219" s="24" t="n">
        <f aca="false">Test1_Hand!$B$6*E1219*D1219+Test1_Hand!$B$7*MAX(0,F1219-Test1_Hand!$B$5)</f>
        <v>40770.1266727297</v>
      </c>
      <c r="H1219" s="2" t="n">
        <f aca="false">IF(B1219&lt;Test1_Hand!$B$13,1,0)</f>
        <v>1</v>
      </c>
      <c r="I1219" s="23" t="n">
        <f aca="false">Test1_Hand!$B$4+H1219*D1219</f>
        <v>20.6746251286715</v>
      </c>
      <c r="J1219" s="24" t="n">
        <f aca="false">Test1_Hand!$B$6*H1219*D1219+Test1_Hand!$B$7*MAX(0,I1219-Test1_Hand!$B$5)+Test1_Hand!$B$14</f>
        <v>46770.1266727297</v>
      </c>
    </row>
    <row r="1220" customFormat="false" ht="15" hidden="false" customHeight="false" outlineLevel="0" collapsed="false">
      <c r="A1220" s="2" t="n">
        <v>1208</v>
      </c>
      <c r="B1220" s="22" t="n">
        <v>0.723643262179029</v>
      </c>
      <c r="C1220" s="22" t="n">
        <v>0.850313317161725</v>
      </c>
      <c r="D1220" s="23" t="n">
        <f aca="false">BETAINV(C1220,Test1_Hand!$B$21,Test1_Hand!$B$22,Test1_Hand!$B$9,Test1_Hand!$B$11)</f>
        <v>4.91793038792666</v>
      </c>
      <c r="E1220" s="2" t="n">
        <f aca="false">IF(B1220&lt;Test1_Hand!$B$12,1,0)</f>
        <v>0</v>
      </c>
      <c r="F1220" s="23" t="n">
        <f aca="false">Test1_Hand!$B$4+E1220*D1220</f>
        <v>16</v>
      </c>
      <c r="G1220" s="24" t="n">
        <f aca="false">Test1_Hand!$B$6*E1220*D1220+Test1_Hand!$B$7*MAX(0,F1220-Test1_Hand!$B$5)</f>
        <v>0</v>
      </c>
      <c r="H1220" s="2" t="n">
        <f aca="false">IF(B1220&lt;Test1_Hand!$B$13,1,0)</f>
        <v>0</v>
      </c>
      <c r="I1220" s="23" t="n">
        <f aca="false">Test1_Hand!$B$4+H1220*D1220</f>
        <v>16</v>
      </c>
      <c r="J1220" s="24" t="n">
        <f aca="false">Test1_Hand!$B$6*H1220*D1220+Test1_Hand!$B$7*MAX(0,I1220-Test1_Hand!$B$5)+Test1_Hand!$B$14</f>
        <v>6000</v>
      </c>
    </row>
    <row r="1221" customFormat="false" ht="15" hidden="false" customHeight="false" outlineLevel="0" collapsed="false">
      <c r="A1221" s="2" t="n">
        <v>1209</v>
      </c>
      <c r="B1221" s="22" t="n">
        <v>0.0133603630881066</v>
      </c>
      <c r="C1221" s="22" t="n">
        <v>0.599710832718544</v>
      </c>
      <c r="D1221" s="23" t="n">
        <f aca="false">BETAINV(C1221,Test1_Hand!$B$21,Test1_Hand!$B$22,Test1_Hand!$B$9,Test1_Hand!$B$11)</f>
        <v>3.74597019938887</v>
      </c>
      <c r="E1221" s="2" t="n">
        <f aca="false">IF(B1221&lt;Test1_Hand!$B$12,1,0)</f>
        <v>1</v>
      </c>
      <c r="F1221" s="23" t="n">
        <f aca="false">Test1_Hand!$B$4+E1221*D1221</f>
        <v>19.7459701993889</v>
      </c>
      <c r="G1221" s="24" t="n">
        <f aca="false">Test1_Hand!$B$6*E1221*D1221+Test1_Hand!$B$7*MAX(0,F1221-Test1_Hand!$B$5)</f>
        <v>29967.761595111</v>
      </c>
      <c r="H1221" s="2" t="n">
        <f aca="false">IF(B1221&lt;Test1_Hand!$B$13,1,0)</f>
        <v>1</v>
      </c>
      <c r="I1221" s="23" t="n">
        <f aca="false">Test1_Hand!$B$4+H1221*D1221</f>
        <v>19.7459701993889</v>
      </c>
      <c r="J1221" s="24" t="n">
        <f aca="false">Test1_Hand!$B$6*H1221*D1221+Test1_Hand!$B$7*MAX(0,I1221-Test1_Hand!$B$5)+Test1_Hand!$B$14</f>
        <v>35967.761595111</v>
      </c>
    </row>
    <row r="1222" customFormat="false" ht="15" hidden="false" customHeight="false" outlineLevel="0" collapsed="false">
      <c r="A1222" s="2" t="n">
        <v>1210</v>
      </c>
      <c r="B1222" s="22" t="n">
        <v>0.14963818063572</v>
      </c>
      <c r="C1222" s="22" t="n">
        <v>0.885232991018084</v>
      </c>
      <c r="D1222" s="23" t="n">
        <f aca="false">BETAINV(C1222,Test1_Hand!$B$21,Test1_Hand!$B$22,Test1_Hand!$B$9,Test1_Hand!$B$11)</f>
        <v>5.15758731379697</v>
      </c>
      <c r="E1222" s="2" t="n">
        <f aca="false">IF(B1222&lt;Test1_Hand!$B$12,1,0)</f>
        <v>1</v>
      </c>
      <c r="F1222" s="23" t="n">
        <f aca="false">Test1_Hand!$B$4+E1222*D1222</f>
        <v>21.157587313797</v>
      </c>
      <c r="G1222" s="24" t="n">
        <f aca="false">Test1_Hand!$B$6*E1222*D1222+Test1_Hand!$B$7*MAX(0,F1222-Test1_Hand!$B$5)</f>
        <v>47048.6350793607</v>
      </c>
      <c r="H1222" s="2" t="n">
        <f aca="false">IF(B1222&lt;Test1_Hand!$B$13,1,0)</f>
        <v>1</v>
      </c>
      <c r="I1222" s="23" t="n">
        <f aca="false">Test1_Hand!$B$4+H1222*D1222</f>
        <v>21.157587313797</v>
      </c>
      <c r="J1222" s="24" t="n">
        <f aca="false">Test1_Hand!$B$6*H1222*D1222+Test1_Hand!$B$7*MAX(0,I1222-Test1_Hand!$B$5)+Test1_Hand!$B$14</f>
        <v>53048.6350793607</v>
      </c>
    </row>
    <row r="1223" customFormat="false" ht="15" hidden="false" customHeight="false" outlineLevel="0" collapsed="false">
      <c r="A1223" s="2" t="n">
        <v>1211</v>
      </c>
      <c r="B1223" s="22" t="n">
        <v>0.622449213935216</v>
      </c>
      <c r="C1223" s="22" t="n">
        <v>0.0386656073677008</v>
      </c>
      <c r="D1223" s="23" t="n">
        <f aca="false">BETAINV(C1223,Test1_Hand!$B$21,Test1_Hand!$B$22,Test1_Hand!$B$9,Test1_Hand!$B$11)</f>
        <v>1.55309450645758</v>
      </c>
      <c r="E1223" s="2" t="n">
        <f aca="false">IF(B1223&lt;Test1_Hand!$B$12,1,0)</f>
        <v>0</v>
      </c>
      <c r="F1223" s="23" t="n">
        <f aca="false">Test1_Hand!$B$4+E1223*D1223</f>
        <v>16</v>
      </c>
      <c r="G1223" s="24" t="n">
        <f aca="false">Test1_Hand!$B$6*E1223*D1223+Test1_Hand!$B$7*MAX(0,F1223-Test1_Hand!$B$5)</f>
        <v>0</v>
      </c>
      <c r="H1223" s="2" t="n">
        <f aca="false">IF(B1223&lt;Test1_Hand!$B$13,1,0)</f>
        <v>0</v>
      </c>
      <c r="I1223" s="23" t="n">
        <f aca="false">Test1_Hand!$B$4+H1223*D1223</f>
        <v>16</v>
      </c>
      <c r="J1223" s="24" t="n">
        <f aca="false">Test1_Hand!$B$6*H1223*D1223+Test1_Hand!$B$7*MAX(0,I1223-Test1_Hand!$B$5)+Test1_Hand!$B$14</f>
        <v>6000</v>
      </c>
    </row>
    <row r="1224" customFormat="false" ht="15" hidden="false" customHeight="false" outlineLevel="0" collapsed="false">
      <c r="A1224" s="2" t="n">
        <v>1212</v>
      </c>
      <c r="B1224" s="22" t="n">
        <v>0.868713537894602</v>
      </c>
      <c r="C1224" s="22" t="n">
        <v>0.248811669184343</v>
      </c>
      <c r="D1224" s="23" t="n">
        <f aca="false">BETAINV(C1224,Test1_Hand!$B$21,Test1_Hand!$B$22,Test1_Hand!$B$9,Test1_Hand!$B$11)</f>
        <v>2.50814295230511</v>
      </c>
      <c r="E1224" s="2" t="n">
        <f aca="false">IF(B1224&lt;Test1_Hand!$B$12,1,0)</f>
        <v>0</v>
      </c>
      <c r="F1224" s="23" t="n">
        <f aca="false">Test1_Hand!$B$4+E1224*D1224</f>
        <v>16</v>
      </c>
      <c r="G1224" s="24" t="n">
        <f aca="false">Test1_Hand!$B$6*E1224*D1224+Test1_Hand!$B$7*MAX(0,F1224-Test1_Hand!$B$5)</f>
        <v>0</v>
      </c>
      <c r="H1224" s="2" t="n">
        <f aca="false">IF(B1224&lt;Test1_Hand!$B$13,1,0)</f>
        <v>0</v>
      </c>
      <c r="I1224" s="23" t="n">
        <f aca="false">Test1_Hand!$B$4+H1224*D1224</f>
        <v>16</v>
      </c>
      <c r="J1224" s="24" t="n">
        <f aca="false">Test1_Hand!$B$6*H1224*D1224+Test1_Hand!$B$7*MAX(0,I1224-Test1_Hand!$B$5)+Test1_Hand!$B$14</f>
        <v>6000</v>
      </c>
    </row>
    <row r="1225" customFormat="false" ht="15" hidden="false" customHeight="false" outlineLevel="0" collapsed="false">
      <c r="A1225" s="2" t="n">
        <v>1213</v>
      </c>
      <c r="B1225" s="22" t="n">
        <v>0.950154197404105</v>
      </c>
      <c r="C1225" s="22" t="n">
        <v>0.331817647973925</v>
      </c>
      <c r="D1225" s="23" t="n">
        <f aca="false">BETAINV(C1225,Test1_Hand!$B$21,Test1_Hand!$B$22,Test1_Hand!$B$9,Test1_Hand!$B$11)</f>
        <v>2.80110113025524</v>
      </c>
      <c r="E1225" s="2" t="n">
        <f aca="false">IF(B1225&lt;Test1_Hand!$B$12,1,0)</f>
        <v>0</v>
      </c>
      <c r="F1225" s="23" t="n">
        <f aca="false">Test1_Hand!$B$4+E1225*D1225</f>
        <v>16</v>
      </c>
      <c r="G1225" s="24" t="n">
        <f aca="false">Test1_Hand!$B$6*E1225*D1225+Test1_Hand!$B$7*MAX(0,F1225-Test1_Hand!$B$5)</f>
        <v>0</v>
      </c>
      <c r="H1225" s="2" t="n">
        <f aca="false">IF(B1225&lt;Test1_Hand!$B$13,1,0)</f>
        <v>0</v>
      </c>
      <c r="I1225" s="23" t="n">
        <f aca="false">Test1_Hand!$B$4+H1225*D1225</f>
        <v>16</v>
      </c>
      <c r="J1225" s="24" t="n">
        <f aca="false">Test1_Hand!$B$6*H1225*D1225+Test1_Hand!$B$7*MAX(0,I1225-Test1_Hand!$B$5)+Test1_Hand!$B$14</f>
        <v>6000</v>
      </c>
    </row>
    <row r="1226" customFormat="false" ht="15" hidden="false" customHeight="false" outlineLevel="0" collapsed="false">
      <c r="A1226" s="2" t="n">
        <v>1214</v>
      </c>
      <c r="B1226" s="22" t="n">
        <v>0.77961285510377</v>
      </c>
      <c r="C1226" s="22" t="n">
        <v>0.506540792006876</v>
      </c>
      <c r="D1226" s="23" t="n">
        <f aca="false">BETAINV(C1226,Test1_Hand!$B$21,Test1_Hand!$B$22,Test1_Hand!$B$9,Test1_Hand!$B$11)</f>
        <v>3.40570692863216</v>
      </c>
      <c r="E1226" s="2" t="n">
        <f aca="false">IF(B1226&lt;Test1_Hand!$B$12,1,0)</f>
        <v>0</v>
      </c>
      <c r="F1226" s="23" t="n">
        <f aca="false">Test1_Hand!$B$4+E1226*D1226</f>
        <v>16</v>
      </c>
      <c r="G1226" s="24" t="n">
        <f aca="false">Test1_Hand!$B$6*E1226*D1226+Test1_Hand!$B$7*MAX(0,F1226-Test1_Hand!$B$5)</f>
        <v>0</v>
      </c>
      <c r="H1226" s="2" t="n">
        <f aca="false">IF(B1226&lt;Test1_Hand!$B$13,1,0)</f>
        <v>0</v>
      </c>
      <c r="I1226" s="23" t="n">
        <f aca="false">Test1_Hand!$B$4+H1226*D1226</f>
        <v>16</v>
      </c>
      <c r="J1226" s="24" t="n">
        <f aca="false">Test1_Hand!$B$6*H1226*D1226+Test1_Hand!$B$7*MAX(0,I1226-Test1_Hand!$B$5)+Test1_Hand!$B$14</f>
        <v>6000</v>
      </c>
    </row>
    <row r="1227" customFormat="false" ht="15" hidden="false" customHeight="false" outlineLevel="0" collapsed="false">
      <c r="A1227" s="2" t="n">
        <v>1215</v>
      </c>
      <c r="B1227" s="22" t="n">
        <v>0.474804380374922</v>
      </c>
      <c r="C1227" s="22" t="n">
        <v>0.301823614349674</v>
      </c>
      <c r="D1227" s="23" t="n">
        <f aca="false">BETAINV(C1227,Test1_Hand!$B$21,Test1_Hand!$B$22,Test1_Hand!$B$9,Test1_Hand!$B$11)</f>
        <v>2.69671750817764</v>
      </c>
      <c r="E1227" s="2" t="n">
        <f aca="false">IF(B1227&lt;Test1_Hand!$B$12,1,0)</f>
        <v>1</v>
      </c>
      <c r="F1227" s="23" t="n">
        <f aca="false">Test1_Hand!$B$4+E1227*D1227</f>
        <v>18.6967175081776</v>
      </c>
      <c r="G1227" s="24" t="n">
        <f aca="false">Test1_Hand!$B$6*E1227*D1227+Test1_Hand!$B$7*MAX(0,F1227-Test1_Hand!$B$5)</f>
        <v>21573.7400654211</v>
      </c>
      <c r="H1227" s="2" t="n">
        <f aca="false">IF(B1227&lt;Test1_Hand!$B$13,1,0)</f>
        <v>0</v>
      </c>
      <c r="I1227" s="23" t="n">
        <f aca="false">Test1_Hand!$B$4+H1227*D1227</f>
        <v>16</v>
      </c>
      <c r="J1227" s="24" t="n">
        <f aca="false">Test1_Hand!$B$6*H1227*D1227+Test1_Hand!$B$7*MAX(0,I1227-Test1_Hand!$B$5)+Test1_Hand!$B$14</f>
        <v>6000</v>
      </c>
    </row>
    <row r="1228" customFormat="false" ht="15" hidden="false" customHeight="false" outlineLevel="0" collapsed="false">
      <c r="A1228" s="2" t="n">
        <v>1216</v>
      </c>
      <c r="B1228" s="22" t="n">
        <v>0.994174253025732</v>
      </c>
      <c r="C1228" s="22" t="n">
        <v>0.878878895640476</v>
      </c>
      <c r="D1228" s="23" t="n">
        <f aca="false">BETAINV(C1228,Test1_Hand!$B$21,Test1_Hand!$B$22,Test1_Hand!$B$9,Test1_Hand!$B$11)</f>
        <v>5.11092008083</v>
      </c>
      <c r="E1228" s="2" t="n">
        <f aca="false">IF(B1228&lt;Test1_Hand!$B$12,1,0)</f>
        <v>0</v>
      </c>
      <c r="F1228" s="23" t="n">
        <f aca="false">Test1_Hand!$B$4+E1228*D1228</f>
        <v>16</v>
      </c>
      <c r="G1228" s="24" t="n">
        <f aca="false">Test1_Hand!$B$6*E1228*D1228+Test1_Hand!$B$7*MAX(0,F1228-Test1_Hand!$B$5)</f>
        <v>0</v>
      </c>
      <c r="H1228" s="2" t="n">
        <f aca="false">IF(B1228&lt;Test1_Hand!$B$13,1,0)</f>
        <v>0</v>
      </c>
      <c r="I1228" s="23" t="n">
        <f aca="false">Test1_Hand!$B$4+H1228*D1228</f>
        <v>16</v>
      </c>
      <c r="J1228" s="24" t="n">
        <f aca="false">Test1_Hand!$B$6*H1228*D1228+Test1_Hand!$B$7*MAX(0,I1228-Test1_Hand!$B$5)+Test1_Hand!$B$14</f>
        <v>6000</v>
      </c>
    </row>
    <row r="1229" customFormat="false" ht="15" hidden="false" customHeight="false" outlineLevel="0" collapsed="false">
      <c r="A1229" s="2" t="n">
        <v>1217</v>
      </c>
      <c r="B1229" s="22" t="n">
        <v>0.996929236194586</v>
      </c>
      <c r="C1229" s="22" t="n">
        <v>0.0895367346259056</v>
      </c>
      <c r="D1229" s="23" t="n">
        <f aca="false">BETAINV(C1229,Test1_Hand!$B$21,Test1_Hand!$B$22,Test1_Hand!$B$9,Test1_Hand!$B$11)</f>
        <v>1.85275596943113</v>
      </c>
      <c r="E1229" s="2" t="n">
        <f aca="false">IF(B1229&lt;Test1_Hand!$B$12,1,0)</f>
        <v>0</v>
      </c>
      <c r="F1229" s="23" t="n">
        <f aca="false">Test1_Hand!$B$4+E1229*D1229</f>
        <v>16</v>
      </c>
      <c r="G1229" s="24" t="n">
        <f aca="false">Test1_Hand!$B$6*E1229*D1229+Test1_Hand!$B$7*MAX(0,F1229-Test1_Hand!$B$5)</f>
        <v>0</v>
      </c>
      <c r="H1229" s="2" t="n">
        <f aca="false">IF(B1229&lt;Test1_Hand!$B$13,1,0)</f>
        <v>0</v>
      </c>
      <c r="I1229" s="23" t="n">
        <f aca="false">Test1_Hand!$B$4+H1229*D1229</f>
        <v>16</v>
      </c>
      <c r="J1229" s="24" t="n">
        <f aca="false">Test1_Hand!$B$6*H1229*D1229+Test1_Hand!$B$7*MAX(0,I1229-Test1_Hand!$B$5)+Test1_Hand!$B$14</f>
        <v>6000</v>
      </c>
    </row>
    <row r="1230" customFormat="false" ht="15" hidden="false" customHeight="false" outlineLevel="0" collapsed="false">
      <c r="A1230" s="2" t="n">
        <v>1218</v>
      </c>
      <c r="B1230" s="22" t="n">
        <v>0.607829904485105</v>
      </c>
      <c r="C1230" s="22" t="n">
        <v>0.497740560405867</v>
      </c>
      <c r="D1230" s="23" t="n">
        <f aca="false">BETAINV(C1230,Test1_Hand!$B$21,Test1_Hand!$B$22,Test1_Hand!$B$9,Test1_Hand!$B$11)</f>
        <v>3.37462010187864</v>
      </c>
      <c r="E1230" s="2" t="n">
        <f aca="false">IF(B1230&lt;Test1_Hand!$B$12,1,0)</f>
        <v>0</v>
      </c>
      <c r="F1230" s="23" t="n">
        <f aca="false">Test1_Hand!$B$4+E1230*D1230</f>
        <v>16</v>
      </c>
      <c r="G1230" s="24" t="n">
        <f aca="false">Test1_Hand!$B$6*E1230*D1230+Test1_Hand!$B$7*MAX(0,F1230-Test1_Hand!$B$5)</f>
        <v>0</v>
      </c>
      <c r="H1230" s="2" t="n">
        <f aca="false">IF(B1230&lt;Test1_Hand!$B$13,1,0)</f>
        <v>0</v>
      </c>
      <c r="I1230" s="23" t="n">
        <f aca="false">Test1_Hand!$B$4+H1230*D1230</f>
        <v>16</v>
      </c>
      <c r="J1230" s="24" t="n">
        <f aca="false">Test1_Hand!$B$6*H1230*D1230+Test1_Hand!$B$7*MAX(0,I1230-Test1_Hand!$B$5)+Test1_Hand!$B$14</f>
        <v>6000</v>
      </c>
    </row>
    <row r="1231" customFormat="false" ht="15" hidden="false" customHeight="false" outlineLevel="0" collapsed="false">
      <c r="A1231" s="2" t="n">
        <v>1219</v>
      </c>
      <c r="B1231" s="22" t="n">
        <v>0.293137765300509</v>
      </c>
      <c r="C1231" s="22" t="n">
        <v>0.618178537082808</v>
      </c>
      <c r="D1231" s="23" t="n">
        <f aca="false">BETAINV(C1231,Test1_Hand!$B$21,Test1_Hand!$B$22,Test1_Hand!$B$9,Test1_Hand!$B$11)</f>
        <v>3.8166522269073</v>
      </c>
      <c r="E1231" s="2" t="n">
        <f aca="false">IF(B1231&lt;Test1_Hand!$B$12,1,0)</f>
        <v>1</v>
      </c>
      <c r="F1231" s="23" t="n">
        <f aca="false">Test1_Hand!$B$4+E1231*D1231</f>
        <v>19.8166522269073</v>
      </c>
      <c r="G1231" s="24" t="n">
        <f aca="false">Test1_Hand!$B$6*E1231*D1231+Test1_Hand!$B$7*MAX(0,F1231-Test1_Hand!$B$5)</f>
        <v>30533.2178152584</v>
      </c>
      <c r="H1231" s="2" t="n">
        <f aca="false">IF(B1231&lt;Test1_Hand!$B$13,1,0)</f>
        <v>0</v>
      </c>
      <c r="I1231" s="23" t="n">
        <f aca="false">Test1_Hand!$B$4+H1231*D1231</f>
        <v>16</v>
      </c>
      <c r="J1231" s="24" t="n">
        <f aca="false">Test1_Hand!$B$6*H1231*D1231+Test1_Hand!$B$7*MAX(0,I1231-Test1_Hand!$B$5)+Test1_Hand!$B$14</f>
        <v>6000</v>
      </c>
    </row>
    <row r="1232" customFormat="false" ht="15" hidden="false" customHeight="false" outlineLevel="0" collapsed="false">
      <c r="A1232" s="2" t="n">
        <v>1220</v>
      </c>
      <c r="B1232" s="22" t="n">
        <v>0.95939153335575</v>
      </c>
      <c r="C1232" s="22" t="n">
        <v>0.744355839832386</v>
      </c>
      <c r="D1232" s="23" t="n">
        <f aca="false">BETAINV(C1232,Test1_Hand!$B$21,Test1_Hand!$B$22,Test1_Hand!$B$9,Test1_Hand!$B$11)</f>
        <v>4.34832367480666</v>
      </c>
      <c r="E1232" s="2" t="n">
        <f aca="false">IF(B1232&lt;Test1_Hand!$B$12,1,0)</f>
        <v>0</v>
      </c>
      <c r="F1232" s="23" t="n">
        <f aca="false">Test1_Hand!$B$4+E1232*D1232</f>
        <v>16</v>
      </c>
      <c r="G1232" s="24" t="n">
        <f aca="false">Test1_Hand!$B$6*E1232*D1232+Test1_Hand!$B$7*MAX(0,F1232-Test1_Hand!$B$5)</f>
        <v>0</v>
      </c>
      <c r="H1232" s="2" t="n">
        <f aca="false">IF(B1232&lt;Test1_Hand!$B$13,1,0)</f>
        <v>0</v>
      </c>
      <c r="I1232" s="23" t="n">
        <f aca="false">Test1_Hand!$B$4+H1232*D1232</f>
        <v>16</v>
      </c>
      <c r="J1232" s="24" t="n">
        <f aca="false">Test1_Hand!$B$6*H1232*D1232+Test1_Hand!$B$7*MAX(0,I1232-Test1_Hand!$B$5)+Test1_Hand!$B$14</f>
        <v>6000</v>
      </c>
    </row>
    <row r="1233" customFormat="false" ht="15" hidden="false" customHeight="false" outlineLevel="0" collapsed="false">
      <c r="A1233" s="2" t="n">
        <v>1221</v>
      </c>
      <c r="B1233" s="22" t="n">
        <v>0.646560978911844</v>
      </c>
      <c r="C1233" s="22" t="n">
        <v>0.361009014433863</v>
      </c>
      <c r="D1233" s="23" t="n">
        <f aca="false">BETAINV(C1233,Test1_Hand!$B$21,Test1_Hand!$B$22,Test1_Hand!$B$9,Test1_Hand!$B$11)</f>
        <v>2.90180147663092</v>
      </c>
      <c r="E1233" s="2" t="n">
        <f aca="false">IF(B1233&lt;Test1_Hand!$B$12,1,0)</f>
        <v>0</v>
      </c>
      <c r="F1233" s="23" t="n">
        <f aca="false">Test1_Hand!$B$4+E1233*D1233</f>
        <v>16</v>
      </c>
      <c r="G1233" s="24" t="n">
        <f aca="false">Test1_Hand!$B$6*E1233*D1233+Test1_Hand!$B$7*MAX(0,F1233-Test1_Hand!$B$5)</f>
        <v>0</v>
      </c>
      <c r="H1233" s="2" t="n">
        <f aca="false">IF(B1233&lt;Test1_Hand!$B$13,1,0)</f>
        <v>0</v>
      </c>
      <c r="I1233" s="23" t="n">
        <f aca="false">Test1_Hand!$B$4+H1233*D1233</f>
        <v>16</v>
      </c>
      <c r="J1233" s="24" t="n">
        <f aca="false">Test1_Hand!$B$6*H1233*D1233+Test1_Hand!$B$7*MAX(0,I1233-Test1_Hand!$B$5)+Test1_Hand!$B$14</f>
        <v>6000</v>
      </c>
    </row>
    <row r="1234" customFormat="false" ht="15" hidden="false" customHeight="false" outlineLevel="0" collapsed="false">
      <c r="A1234" s="2" t="n">
        <v>1222</v>
      </c>
      <c r="B1234" s="22" t="n">
        <v>0.580086121203697</v>
      </c>
      <c r="C1234" s="22" t="n">
        <v>0.00496851265162557</v>
      </c>
      <c r="D1234" s="23" t="n">
        <f aca="false">BETAINV(C1234,Test1_Hand!$B$21,Test1_Hand!$B$22,Test1_Hand!$B$9,Test1_Hand!$B$11)</f>
        <v>1.20258096626283</v>
      </c>
      <c r="E1234" s="2" t="n">
        <f aca="false">IF(B1234&lt;Test1_Hand!$B$12,1,0)</f>
        <v>0</v>
      </c>
      <c r="F1234" s="23" t="n">
        <f aca="false">Test1_Hand!$B$4+E1234*D1234</f>
        <v>16</v>
      </c>
      <c r="G1234" s="24" t="n">
        <f aca="false">Test1_Hand!$B$6*E1234*D1234+Test1_Hand!$B$7*MAX(0,F1234-Test1_Hand!$B$5)</f>
        <v>0</v>
      </c>
      <c r="H1234" s="2" t="n">
        <f aca="false">IF(B1234&lt;Test1_Hand!$B$13,1,0)</f>
        <v>0</v>
      </c>
      <c r="I1234" s="23" t="n">
        <f aca="false">Test1_Hand!$B$4+H1234*D1234</f>
        <v>16</v>
      </c>
      <c r="J1234" s="24" t="n">
        <f aca="false">Test1_Hand!$B$6*H1234*D1234+Test1_Hand!$B$7*MAX(0,I1234-Test1_Hand!$B$5)+Test1_Hand!$B$14</f>
        <v>6000</v>
      </c>
    </row>
    <row r="1235" customFormat="false" ht="15" hidden="false" customHeight="false" outlineLevel="0" collapsed="false">
      <c r="A1235" s="2" t="n">
        <v>1223</v>
      </c>
      <c r="B1235" s="22" t="n">
        <v>0.256919658351045</v>
      </c>
      <c r="C1235" s="22" t="n">
        <v>0.640747493625117</v>
      </c>
      <c r="D1235" s="23" t="n">
        <f aca="false">BETAINV(C1235,Test1_Hand!$B$21,Test1_Hand!$B$22,Test1_Hand!$B$9,Test1_Hand!$B$11)</f>
        <v>3.90496744771654</v>
      </c>
      <c r="E1235" s="2" t="n">
        <f aca="false">IF(B1235&lt;Test1_Hand!$B$12,1,0)</f>
        <v>1</v>
      </c>
      <c r="F1235" s="23" t="n">
        <f aca="false">Test1_Hand!$B$4+E1235*D1235</f>
        <v>19.9049674477165</v>
      </c>
      <c r="G1235" s="24" t="n">
        <f aca="false">Test1_Hand!$B$6*E1235*D1235+Test1_Hand!$B$7*MAX(0,F1235-Test1_Hand!$B$5)</f>
        <v>31239.7395817323</v>
      </c>
      <c r="H1235" s="2" t="n">
        <f aca="false">IF(B1235&lt;Test1_Hand!$B$13,1,0)</f>
        <v>0</v>
      </c>
      <c r="I1235" s="23" t="n">
        <f aca="false">Test1_Hand!$B$4+H1235*D1235</f>
        <v>16</v>
      </c>
      <c r="J1235" s="24" t="n">
        <f aca="false">Test1_Hand!$B$6*H1235*D1235+Test1_Hand!$B$7*MAX(0,I1235-Test1_Hand!$B$5)+Test1_Hand!$B$14</f>
        <v>6000</v>
      </c>
    </row>
    <row r="1236" customFormat="false" ht="15" hidden="false" customHeight="false" outlineLevel="0" collapsed="false">
      <c r="A1236" s="2" t="n">
        <v>1224</v>
      </c>
      <c r="B1236" s="22" t="n">
        <v>0.648989445530607</v>
      </c>
      <c r="C1236" s="22" t="n">
        <v>0.126297288073088</v>
      </c>
      <c r="D1236" s="23" t="n">
        <f aca="false">BETAINV(C1236,Test1_Hand!$B$21,Test1_Hand!$B$22,Test1_Hand!$B$9,Test1_Hand!$B$11)</f>
        <v>2.02572010924443</v>
      </c>
      <c r="E1236" s="2" t="n">
        <f aca="false">IF(B1236&lt;Test1_Hand!$B$12,1,0)</f>
        <v>0</v>
      </c>
      <c r="F1236" s="23" t="n">
        <f aca="false">Test1_Hand!$B$4+E1236*D1236</f>
        <v>16</v>
      </c>
      <c r="G1236" s="24" t="n">
        <f aca="false">Test1_Hand!$B$6*E1236*D1236+Test1_Hand!$B$7*MAX(0,F1236-Test1_Hand!$B$5)</f>
        <v>0</v>
      </c>
      <c r="H1236" s="2" t="n">
        <f aca="false">IF(B1236&lt;Test1_Hand!$B$13,1,0)</f>
        <v>0</v>
      </c>
      <c r="I1236" s="23" t="n">
        <f aca="false">Test1_Hand!$B$4+H1236*D1236</f>
        <v>16</v>
      </c>
      <c r="J1236" s="24" t="n">
        <f aca="false">Test1_Hand!$B$6*H1236*D1236+Test1_Hand!$B$7*MAX(0,I1236-Test1_Hand!$B$5)+Test1_Hand!$B$14</f>
        <v>6000</v>
      </c>
    </row>
    <row r="1237" customFormat="false" ht="15" hidden="false" customHeight="false" outlineLevel="0" collapsed="false">
      <c r="A1237" s="2" t="n">
        <v>1225</v>
      </c>
      <c r="B1237" s="22" t="n">
        <v>0.348420741060101</v>
      </c>
      <c r="C1237" s="22" t="n">
        <v>0.969234600891188</v>
      </c>
      <c r="D1237" s="23" t="n">
        <f aca="false">BETAINV(C1237,Test1_Hand!$B$21,Test1_Hand!$B$22,Test1_Hand!$B$9,Test1_Hand!$B$11)</f>
        <v>6.06193165948385</v>
      </c>
      <c r="E1237" s="2" t="n">
        <f aca="false">IF(B1237&lt;Test1_Hand!$B$12,1,0)</f>
        <v>1</v>
      </c>
      <c r="F1237" s="23" t="n">
        <f aca="false">Test1_Hand!$B$4+E1237*D1237</f>
        <v>22.0619316594838</v>
      </c>
      <c r="G1237" s="24" t="n">
        <f aca="false">Test1_Hand!$B$6*E1237*D1237+Test1_Hand!$B$7*MAX(0,F1237-Test1_Hand!$B$5)</f>
        <v>58805.11157329</v>
      </c>
      <c r="H1237" s="2" t="n">
        <f aca="false">IF(B1237&lt;Test1_Hand!$B$13,1,0)</f>
        <v>0</v>
      </c>
      <c r="I1237" s="23" t="n">
        <f aca="false">Test1_Hand!$B$4+H1237*D1237</f>
        <v>16</v>
      </c>
      <c r="J1237" s="24" t="n">
        <f aca="false">Test1_Hand!$B$6*H1237*D1237+Test1_Hand!$B$7*MAX(0,I1237-Test1_Hand!$B$5)+Test1_Hand!$B$14</f>
        <v>6000</v>
      </c>
    </row>
    <row r="1238" customFormat="false" ht="15" hidden="false" customHeight="false" outlineLevel="0" collapsed="false">
      <c r="A1238" s="2" t="n">
        <v>1226</v>
      </c>
      <c r="B1238" s="22" t="n">
        <v>0.217444660213657</v>
      </c>
      <c r="C1238" s="22" t="n">
        <v>0.160083022985401</v>
      </c>
      <c r="D1238" s="23" t="n">
        <f aca="false">BETAINV(C1238,Test1_Hand!$B$21,Test1_Hand!$B$22,Test1_Hand!$B$9,Test1_Hand!$B$11)</f>
        <v>2.16916616999582</v>
      </c>
      <c r="E1238" s="2" t="n">
        <f aca="false">IF(B1238&lt;Test1_Hand!$B$12,1,0)</f>
        <v>1</v>
      </c>
      <c r="F1238" s="23" t="n">
        <f aca="false">Test1_Hand!$B$4+E1238*D1238</f>
        <v>18.1691661699958</v>
      </c>
      <c r="G1238" s="24" t="n">
        <f aca="false">Test1_Hand!$B$6*E1238*D1238+Test1_Hand!$B$7*MAX(0,F1238-Test1_Hand!$B$5)</f>
        <v>17353.3293599666</v>
      </c>
      <c r="H1238" s="2" t="n">
        <f aca="false">IF(B1238&lt;Test1_Hand!$B$13,1,0)</f>
        <v>0</v>
      </c>
      <c r="I1238" s="23" t="n">
        <f aca="false">Test1_Hand!$B$4+H1238*D1238</f>
        <v>16</v>
      </c>
      <c r="J1238" s="24" t="n">
        <f aca="false">Test1_Hand!$B$6*H1238*D1238+Test1_Hand!$B$7*MAX(0,I1238-Test1_Hand!$B$5)+Test1_Hand!$B$14</f>
        <v>6000</v>
      </c>
    </row>
    <row r="1239" customFormat="false" ht="15" hidden="false" customHeight="false" outlineLevel="0" collapsed="false">
      <c r="A1239" s="2" t="n">
        <v>1227</v>
      </c>
      <c r="B1239" s="22" t="n">
        <v>0.504853319397577</v>
      </c>
      <c r="C1239" s="22" t="n">
        <v>0.365849076846848</v>
      </c>
      <c r="D1239" s="23" t="n">
        <f aca="false">BETAINV(C1239,Test1_Hand!$B$21,Test1_Hand!$B$22,Test1_Hand!$B$9,Test1_Hand!$B$11)</f>
        <v>2.91844657124758</v>
      </c>
      <c r="E1239" s="2" t="n">
        <f aca="false">IF(B1239&lt;Test1_Hand!$B$12,1,0)</f>
        <v>0</v>
      </c>
      <c r="F1239" s="23" t="n">
        <f aca="false">Test1_Hand!$B$4+E1239*D1239</f>
        <v>16</v>
      </c>
      <c r="G1239" s="24" t="n">
        <f aca="false">Test1_Hand!$B$6*E1239*D1239+Test1_Hand!$B$7*MAX(0,F1239-Test1_Hand!$B$5)</f>
        <v>0</v>
      </c>
      <c r="H1239" s="2" t="n">
        <f aca="false">IF(B1239&lt;Test1_Hand!$B$13,1,0)</f>
        <v>0</v>
      </c>
      <c r="I1239" s="23" t="n">
        <f aca="false">Test1_Hand!$B$4+H1239*D1239</f>
        <v>16</v>
      </c>
      <c r="J1239" s="24" t="n">
        <f aca="false">Test1_Hand!$B$6*H1239*D1239+Test1_Hand!$B$7*MAX(0,I1239-Test1_Hand!$B$5)+Test1_Hand!$B$14</f>
        <v>6000</v>
      </c>
    </row>
    <row r="1240" customFormat="false" ht="15" hidden="false" customHeight="false" outlineLevel="0" collapsed="false">
      <c r="A1240" s="2" t="n">
        <v>1228</v>
      </c>
      <c r="B1240" s="22" t="n">
        <v>0.521348071532785</v>
      </c>
      <c r="C1240" s="22" t="n">
        <v>0.0667494919440134</v>
      </c>
      <c r="D1240" s="23" t="n">
        <f aca="false">BETAINV(C1240,Test1_Hand!$B$21,Test1_Hand!$B$22,Test1_Hand!$B$9,Test1_Hand!$B$11)</f>
        <v>1.73115534081201</v>
      </c>
      <c r="E1240" s="2" t="n">
        <f aca="false">IF(B1240&lt;Test1_Hand!$B$12,1,0)</f>
        <v>0</v>
      </c>
      <c r="F1240" s="23" t="n">
        <f aca="false">Test1_Hand!$B$4+E1240*D1240</f>
        <v>16</v>
      </c>
      <c r="G1240" s="24" t="n">
        <f aca="false">Test1_Hand!$B$6*E1240*D1240+Test1_Hand!$B$7*MAX(0,F1240-Test1_Hand!$B$5)</f>
        <v>0</v>
      </c>
      <c r="H1240" s="2" t="n">
        <f aca="false">IF(B1240&lt;Test1_Hand!$B$13,1,0)</f>
        <v>0</v>
      </c>
      <c r="I1240" s="23" t="n">
        <f aca="false">Test1_Hand!$B$4+H1240*D1240</f>
        <v>16</v>
      </c>
      <c r="J1240" s="24" t="n">
        <f aca="false">Test1_Hand!$B$6*H1240*D1240+Test1_Hand!$B$7*MAX(0,I1240-Test1_Hand!$B$5)+Test1_Hand!$B$14</f>
        <v>6000</v>
      </c>
    </row>
    <row r="1241" customFormat="false" ht="15" hidden="false" customHeight="false" outlineLevel="0" collapsed="false">
      <c r="A1241" s="2" t="n">
        <v>1229</v>
      </c>
      <c r="B1241" s="22" t="n">
        <v>0.679188073884048</v>
      </c>
      <c r="C1241" s="22" t="n">
        <v>0.404636120486348</v>
      </c>
      <c r="D1241" s="23" t="n">
        <f aca="false">BETAINV(C1241,Test1_Hand!$B$21,Test1_Hand!$B$22,Test1_Hand!$B$9,Test1_Hand!$B$11)</f>
        <v>3.05166188982298</v>
      </c>
      <c r="E1241" s="2" t="n">
        <f aca="false">IF(B1241&lt;Test1_Hand!$B$12,1,0)</f>
        <v>0</v>
      </c>
      <c r="F1241" s="23" t="n">
        <f aca="false">Test1_Hand!$B$4+E1241*D1241</f>
        <v>16</v>
      </c>
      <c r="G1241" s="24" t="n">
        <f aca="false">Test1_Hand!$B$6*E1241*D1241+Test1_Hand!$B$7*MAX(0,F1241-Test1_Hand!$B$5)</f>
        <v>0</v>
      </c>
      <c r="H1241" s="2" t="n">
        <f aca="false">IF(B1241&lt;Test1_Hand!$B$13,1,0)</f>
        <v>0</v>
      </c>
      <c r="I1241" s="23" t="n">
        <f aca="false">Test1_Hand!$B$4+H1241*D1241</f>
        <v>16</v>
      </c>
      <c r="J1241" s="24" t="n">
        <f aca="false">Test1_Hand!$B$6*H1241*D1241+Test1_Hand!$B$7*MAX(0,I1241-Test1_Hand!$B$5)+Test1_Hand!$B$14</f>
        <v>6000</v>
      </c>
    </row>
    <row r="1242" customFormat="false" ht="15" hidden="false" customHeight="false" outlineLevel="0" collapsed="false">
      <c r="A1242" s="2" t="n">
        <v>1230</v>
      </c>
      <c r="B1242" s="22" t="n">
        <v>0.0926868794658435</v>
      </c>
      <c r="C1242" s="22" t="n">
        <v>0.522806494646332</v>
      </c>
      <c r="D1242" s="23" t="n">
        <f aca="false">BETAINV(C1242,Test1_Hand!$B$21,Test1_Hand!$B$22,Test1_Hand!$B$9,Test1_Hand!$B$11)</f>
        <v>3.46354932328788</v>
      </c>
      <c r="E1242" s="2" t="n">
        <f aca="false">IF(B1242&lt;Test1_Hand!$B$12,1,0)</f>
        <v>1</v>
      </c>
      <c r="F1242" s="23" t="n">
        <f aca="false">Test1_Hand!$B$4+E1242*D1242</f>
        <v>19.4635493232879</v>
      </c>
      <c r="G1242" s="24" t="n">
        <f aca="false">Test1_Hand!$B$6*E1242*D1242+Test1_Hand!$B$7*MAX(0,F1242-Test1_Hand!$B$5)</f>
        <v>27708.3945863031</v>
      </c>
      <c r="H1242" s="2" t="n">
        <f aca="false">IF(B1242&lt;Test1_Hand!$B$13,1,0)</f>
        <v>1</v>
      </c>
      <c r="I1242" s="23" t="n">
        <f aca="false">Test1_Hand!$B$4+H1242*D1242</f>
        <v>19.4635493232879</v>
      </c>
      <c r="J1242" s="24" t="n">
        <f aca="false">Test1_Hand!$B$6*H1242*D1242+Test1_Hand!$B$7*MAX(0,I1242-Test1_Hand!$B$5)+Test1_Hand!$B$14</f>
        <v>33708.3945863031</v>
      </c>
    </row>
    <row r="1243" customFormat="false" ht="15" hidden="false" customHeight="false" outlineLevel="0" collapsed="false">
      <c r="A1243" s="2" t="n">
        <v>1231</v>
      </c>
      <c r="B1243" s="22" t="n">
        <v>0.590195922746549</v>
      </c>
      <c r="C1243" s="22" t="n">
        <v>0.314304580492266</v>
      </c>
      <c r="D1243" s="23" t="n">
        <f aca="false">BETAINV(C1243,Test1_Hand!$B$21,Test1_Hand!$B$22,Test1_Hand!$B$9,Test1_Hand!$B$11)</f>
        <v>2.74029986664561</v>
      </c>
      <c r="E1243" s="2" t="n">
        <f aca="false">IF(B1243&lt;Test1_Hand!$B$12,1,0)</f>
        <v>0</v>
      </c>
      <c r="F1243" s="23" t="n">
        <f aca="false">Test1_Hand!$B$4+E1243*D1243</f>
        <v>16</v>
      </c>
      <c r="G1243" s="24" t="n">
        <f aca="false">Test1_Hand!$B$6*E1243*D1243+Test1_Hand!$B$7*MAX(0,F1243-Test1_Hand!$B$5)</f>
        <v>0</v>
      </c>
      <c r="H1243" s="2" t="n">
        <f aca="false">IF(B1243&lt;Test1_Hand!$B$13,1,0)</f>
        <v>0</v>
      </c>
      <c r="I1243" s="23" t="n">
        <f aca="false">Test1_Hand!$B$4+H1243*D1243</f>
        <v>16</v>
      </c>
      <c r="J1243" s="24" t="n">
        <f aca="false">Test1_Hand!$B$6*H1243*D1243+Test1_Hand!$B$7*MAX(0,I1243-Test1_Hand!$B$5)+Test1_Hand!$B$14</f>
        <v>6000</v>
      </c>
    </row>
    <row r="1244" customFormat="false" ht="15" hidden="false" customHeight="false" outlineLevel="0" collapsed="false">
      <c r="A1244" s="2" t="n">
        <v>1232</v>
      </c>
      <c r="B1244" s="22" t="n">
        <v>0.235925009015833</v>
      </c>
      <c r="C1244" s="22" t="n">
        <v>0.885979846550991</v>
      </c>
      <c r="D1244" s="23" t="n">
        <f aca="false">BETAINV(C1244,Test1_Hand!$B$21,Test1_Hand!$B$22,Test1_Hand!$B$9,Test1_Hand!$B$11)</f>
        <v>5.16317764287355</v>
      </c>
      <c r="E1244" s="2" t="n">
        <f aca="false">IF(B1244&lt;Test1_Hand!$B$12,1,0)</f>
        <v>1</v>
      </c>
      <c r="F1244" s="23" t="n">
        <f aca="false">Test1_Hand!$B$4+E1244*D1244</f>
        <v>21.1631776428736</v>
      </c>
      <c r="G1244" s="24" t="n">
        <f aca="false">Test1_Hand!$B$6*E1244*D1244+Test1_Hand!$B$7*MAX(0,F1244-Test1_Hand!$B$5)</f>
        <v>47121.3093573562</v>
      </c>
      <c r="H1244" s="2" t="n">
        <f aca="false">IF(B1244&lt;Test1_Hand!$B$13,1,0)</f>
        <v>0</v>
      </c>
      <c r="I1244" s="23" t="n">
        <f aca="false">Test1_Hand!$B$4+H1244*D1244</f>
        <v>16</v>
      </c>
      <c r="J1244" s="24" t="n">
        <f aca="false">Test1_Hand!$B$6*H1244*D1244+Test1_Hand!$B$7*MAX(0,I1244-Test1_Hand!$B$5)+Test1_Hand!$B$14</f>
        <v>6000</v>
      </c>
    </row>
    <row r="1245" customFormat="false" ht="15" hidden="false" customHeight="false" outlineLevel="0" collapsed="false">
      <c r="A1245" s="2" t="n">
        <v>1233</v>
      </c>
      <c r="B1245" s="22" t="n">
        <v>0.637193811881521</v>
      </c>
      <c r="C1245" s="22" t="n">
        <v>0.309053271956835</v>
      </c>
      <c r="D1245" s="23" t="n">
        <f aca="false">BETAINV(C1245,Test1_Hand!$B$21,Test1_Hand!$B$22,Test1_Hand!$B$9,Test1_Hand!$B$11)</f>
        <v>2.72199136959403</v>
      </c>
      <c r="E1245" s="2" t="n">
        <f aca="false">IF(B1245&lt;Test1_Hand!$B$12,1,0)</f>
        <v>0</v>
      </c>
      <c r="F1245" s="23" t="n">
        <f aca="false">Test1_Hand!$B$4+E1245*D1245</f>
        <v>16</v>
      </c>
      <c r="G1245" s="24" t="n">
        <f aca="false">Test1_Hand!$B$6*E1245*D1245+Test1_Hand!$B$7*MAX(0,F1245-Test1_Hand!$B$5)</f>
        <v>0</v>
      </c>
      <c r="H1245" s="2" t="n">
        <f aca="false">IF(B1245&lt;Test1_Hand!$B$13,1,0)</f>
        <v>0</v>
      </c>
      <c r="I1245" s="23" t="n">
        <f aca="false">Test1_Hand!$B$4+H1245*D1245</f>
        <v>16</v>
      </c>
      <c r="J1245" s="24" t="n">
        <f aca="false">Test1_Hand!$B$6*H1245*D1245+Test1_Hand!$B$7*MAX(0,I1245-Test1_Hand!$B$5)+Test1_Hand!$B$14</f>
        <v>6000</v>
      </c>
    </row>
    <row r="1246" customFormat="false" ht="15" hidden="false" customHeight="false" outlineLevel="0" collapsed="false">
      <c r="A1246" s="2" t="n">
        <v>1234</v>
      </c>
      <c r="B1246" s="22" t="n">
        <v>0.782493341807813</v>
      </c>
      <c r="C1246" s="22" t="n">
        <v>0.405856838729011</v>
      </c>
      <c r="D1246" s="23" t="n">
        <f aca="false">BETAINV(C1246,Test1_Hand!$B$21,Test1_Hand!$B$22,Test1_Hand!$B$9,Test1_Hand!$B$11)</f>
        <v>3.05585544489011</v>
      </c>
      <c r="E1246" s="2" t="n">
        <f aca="false">IF(B1246&lt;Test1_Hand!$B$12,1,0)</f>
        <v>0</v>
      </c>
      <c r="F1246" s="23" t="n">
        <f aca="false">Test1_Hand!$B$4+E1246*D1246</f>
        <v>16</v>
      </c>
      <c r="G1246" s="24" t="n">
        <f aca="false">Test1_Hand!$B$6*E1246*D1246+Test1_Hand!$B$7*MAX(0,F1246-Test1_Hand!$B$5)</f>
        <v>0</v>
      </c>
      <c r="H1246" s="2" t="n">
        <f aca="false">IF(B1246&lt;Test1_Hand!$B$13,1,0)</f>
        <v>0</v>
      </c>
      <c r="I1246" s="23" t="n">
        <f aca="false">Test1_Hand!$B$4+H1246*D1246</f>
        <v>16</v>
      </c>
      <c r="J1246" s="24" t="n">
        <f aca="false">Test1_Hand!$B$6*H1246*D1246+Test1_Hand!$B$7*MAX(0,I1246-Test1_Hand!$B$5)+Test1_Hand!$B$14</f>
        <v>6000</v>
      </c>
    </row>
    <row r="1247" customFormat="false" ht="15" hidden="false" customHeight="false" outlineLevel="0" collapsed="false">
      <c r="A1247" s="2" t="n">
        <v>1235</v>
      </c>
      <c r="B1247" s="22" t="n">
        <v>0.476810199336564</v>
      </c>
      <c r="C1247" s="22" t="n">
        <v>0.145524051082752</v>
      </c>
      <c r="D1247" s="23" t="n">
        <f aca="false">BETAINV(C1247,Test1_Hand!$B$21,Test1_Hand!$B$22,Test1_Hand!$B$9,Test1_Hand!$B$11)</f>
        <v>2.1087444320337</v>
      </c>
      <c r="E1247" s="2" t="n">
        <f aca="false">IF(B1247&lt;Test1_Hand!$B$12,1,0)</f>
        <v>1</v>
      </c>
      <c r="F1247" s="23" t="n">
        <f aca="false">Test1_Hand!$B$4+E1247*D1247</f>
        <v>18.1087444320337</v>
      </c>
      <c r="G1247" s="24" t="n">
        <f aca="false">Test1_Hand!$B$6*E1247*D1247+Test1_Hand!$B$7*MAX(0,F1247-Test1_Hand!$B$5)</f>
        <v>16869.9554562696</v>
      </c>
      <c r="H1247" s="2" t="n">
        <f aca="false">IF(B1247&lt;Test1_Hand!$B$13,1,0)</f>
        <v>0</v>
      </c>
      <c r="I1247" s="23" t="n">
        <f aca="false">Test1_Hand!$B$4+H1247*D1247</f>
        <v>16</v>
      </c>
      <c r="J1247" s="24" t="n">
        <f aca="false">Test1_Hand!$B$6*H1247*D1247+Test1_Hand!$B$7*MAX(0,I1247-Test1_Hand!$B$5)+Test1_Hand!$B$14</f>
        <v>6000</v>
      </c>
    </row>
    <row r="1248" customFormat="false" ht="15" hidden="false" customHeight="false" outlineLevel="0" collapsed="false">
      <c r="A1248" s="2" t="n">
        <v>1236</v>
      </c>
      <c r="B1248" s="22" t="n">
        <v>0.303442311334177</v>
      </c>
      <c r="C1248" s="22" t="n">
        <v>0.364866680995059</v>
      </c>
      <c r="D1248" s="23" t="n">
        <f aca="false">BETAINV(C1248,Test1_Hand!$B$21,Test1_Hand!$B$22,Test1_Hand!$B$9,Test1_Hand!$B$11)</f>
        <v>2.91506890054651</v>
      </c>
      <c r="E1248" s="2" t="n">
        <f aca="false">IF(B1248&lt;Test1_Hand!$B$12,1,0)</f>
        <v>1</v>
      </c>
      <c r="F1248" s="23" t="n">
        <f aca="false">Test1_Hand!$B$4+E1248*D1248</f>
        <v>18.9150689005465</v>
      </c>
      <c r="G1248" s="24" t="n">
        <f aca="false">Test1_Hand!$B$6*E1248*D1248+Test1_Hand!$B$7*MAX(0,F1248-Test1_Hand!$B$5)</f>
        <v>23320.5512043721</v>
      </c>
      <c r="H1248" s="2" t="n">
        <f aca="false">IF(B1248&lt;Test1_Hand!$B$13,1,0)</f>
        <v>0</v>
      </c>
      <c r="I1248" s="23" t="n">
        <f aca="false">Test1_Hand!$B$4+H1248*D1248</f>
        <v>16</v>
      </c>
      <c r="J1248" s="24" t="n">
        <f aca="false">Test1_Hand!$B$6*H1248*D1248+Test1_Hand!$B$7*MAX(0,I1248-Test1_Hand!$B$5)+Test1_Hand!$B$14</f>
        <v>6000</v>
      </c>
    </row>
    <row r="1249" customFormat="false" ht="15" hidden="false" customHeight="false" outlineLevel="0" collapsed="false">
      <c r="A1249" s="2" t="n">
        <v>1237</v>
      </c>
      <c r="B1249" s="22" t="n">
        <v>0.822673143722455</v>
      </c>
      <c r="C1249" s="22" t="n">
        <v>0.222931267816886</v>
      </c>
      <c r="D1249" s="23" t="n">
        <f aca="false">BETAINV(C1249,Test1_Hand!$B$21,Test1_Hand!$B$22,Test1_Hand!$B$9,Test1_Hand!$B$11)</f>
        <v>2.41315882876609</v>
      </c>
      <c r="E1249" s="2" t="n">
        <f aca="false">IF(B1249&lt;Test1_Hand!$B$12,1,0)</f>
        <v>0</v>
      </c>
      <c r="F1249" s="23" t="n">
        <f aca="false">Test1_Hand!$B$4+E1249*D1249</f>
        <v>16</v>
      </c>
      <c r="G1249" s="24" t="n">
        <f aca="false">Test1_Hand!$B$6*E1249*D1249+Test1_Hand!$B$7*MAX(0,F1249-Test1_Hand!$B$5)</f>
        <v>0</v>
      </c>
      <c r="H1249" s="2" t="n">
        <f aca="false">IF(B1249&lt;Test1_Hand!$B$13,1,0)</f>
        <v>0</v>
      </c>
      <c r="I1249" s="23" t="n">
        <f aca="false">Test1_Hand!$B$4+H1249*D1249</f>
        <v>16</v>
      </c>
      <c r="J1249" s="24" t="n">
        <f aca="false">Test1_Hand!$B$6*H1249*D1249+Test1_Hand!$B$7*MAX(0,I1249-Test1_Hand!$B$5)+Test1_Hand!$B$14</f>
        <v>6000</v>
      </c>
    </row>
    <row r="1250" customFormat="false" ht="15" hidden="false" customHeight="false" outlineLevel="0" collapsed="false">
      <c r="A1250" s="2" t="n">
        <v>1238</v>
      </c>
      <c r="B1250" s="22" t="n">
        <v>0.520408728899869</v>
      </c>
      <c r="C1250" s="22" t="n">
        <v>0.244406293921341</v>
      </c>
      <c r="D1250" s="23" t="n">
        <f aca="false">BETAINV(C1250,Test1_Hand!$B$21,Test1_Hand!$B$22,Test1_Hand!$B$9,Test1_Hand!$B$11)</f>
        <v>2.49213958873699</v>
      </c>
      <c r="E1250" s="2" t="n">
        <f aca="false">IF(B1250&lt;Test1_Hand!$B$12,1,0)</f>
        <v>0</v>
      </c>
      <c r="F1250" s="23" t="n">
        <f aca="false">Test1_Hand!$B$4+E1250*D1250</f>
        <v>16</v>
      </c>
      <c r="G1250" s="24" t="n">
        <f aca="false">Test1_Hand!$B$6*E1250*D1250+Test1_Hand!$B$7*MAX(0,F1250-Test1_Hand!$B$5)</f>
        <v>0</v>
      </c>
      <c r="H1250" s="2" t="n">
        <f aca="false">IF(B1250&lt;Test1_Hand!$B$13,1,0)</f>
        <v>0</v>
      </c>
      <c r="I1250" s="23" t="n">
        <f aca="false">Test1_Hand!$B$4+H1250*D1250</f>
        <v>16</v>
      </c>
      <c r="J1250" s="24" t="n">
        <f aca="false">Test1_Hand!$B$6*H1250*D1250+Test1_Hand!$B$7*MAX(0,I1250-Test1_Hand!$B$5)+Test1_Hand!$B$14</f>
        <v>6000</v>
      </c>
    </row>
    <row r="1251" customFormat="false" ht="15" hidden="false" customHeight="false" outlineLevel="0" collapsed="false">
      <c r="A1251" s="2" t="n">
        <v>1239</v>
      </c>
      <c r="B1251" s="22" t="n">
        <v>0.743886879018074</v>
      </c>
      <c r="C1251" s="22" t="n">
        <v>0.14894865425111</v>
      </c>
      <c r="D1251" s="23" t="n">
        <f aca="false">BETAINV(C1251,Test1_Hand!$B$21,Test1_Hand!$B$22,Test1_Hand!$B$9,Test1_Hand!$B$11)</f>
        <v>2.12312908609884</v>
      </c>
      <c r="E1251" s="2" t="n">
        <f aca="false">IF(B1251&lt;Test1_Hand!$B$12,1,0)</f>
        <v>0</v>
      </c>
      <c r="F1251" s="23" t="n">
        <f aca="false">Test1_Hand!$B$4+E1251*D1251</f>
        <v>16</v>
      </c>
      <c r="G1251" s="24" t="n">
        <f aca="false">Test1_Hand!$B$6*E1251*D1251+Test1_Hand!$B$7*MAX(0,F1251-Test1_Hand!$B$5)</f>
        <v>0</v>
      </c>
      <c r="H1251" s="2" t="n">
        <f aca="false">IF(B1251&lt;Test1_Hand!$B$13,1,0)</f>
        <v>0</v>
      </c>
      <c r="I1251" s="23" t="n">
        <f aca="false">Test1_Hand!$B$4+H1251*D1251</f>
        <v>16</v>
      </c>
      <c r="J1251" s="24" t="n">
        <f aca="false">Test1_Hand!$B$6*H1251*D1251+Test1_Hand!$B$7*MAX(0,I1251-Test1_Hand!$B$5)+Test1_Hand!$B$14</f>
        <v>6000</v>
      </c>
    </row>
    <row r="1252" customFormat="false" ht="15" hidden="false" customHeight="false" outlineLevel="0" collapsed="false">
      <c r="A1252" s="2" t="n">
        <v>1240</v>
      </c>
      <c r="B1252" s="22" t="n">
        <v>0.490406970716338</v>
      </c>
      <c r="C1252" s="22" t="n">
        <v>0.25898925874512</v>
      </c>
      <c r="D1252" s="23" t="n">
        <f aca="false">BETAINV(C1252,Test1_Hand!$B$21,Test1_Hand!$B$22,Test1_Hand!$B$9,Test1_Hand!$B$11)</f>
        <v>2.54488794592795</v>
      </c>
      <c r="E1252" s="2" t="n">
        <f aca="false">IF(B1252&lt;Test1_Hand!$B$12,1,0)</f>
        <v>1</v>
      </c>
      <c r="F1252" s="23" t="n">
        <f aca="false">Test1_Hand!$B$4+E1252*D1252</f>
        <v>18.5448879459279</v>
      </c>
      <c r="G1252" s="24" t="n">
        <f aca="false">Test1_Hand!$B$6*E1252*D1252+Test1_Hand!$B$7*MAX(0,F1252-Test1_Hand!$B$5)</f>
        <v>20359.1035674236</v>
      </c>
      <c r="H1252" s="2" t="n">
        <f aca="false">IF(B1252&lt;Test1_Hand!$B$13,1,0)</f>
        <v>0</v>
      </c>
      <c r="I1252" s="23" t="n">
        <f aca="false">Test1_Hand!$B$4+H1252*D1252</f>
        <v>16</v>
      </c>
      <c r="J1252" s="24" t="n">
        <f aca="false">Test1_Hand!$B$6*H1252*D1252+Test1_Hand!$B$7*MAX(0,I1252-Test1_Hand!$B$5)+Test1_Hand!$B$14</f>
        <v>6000</v>
      </c>
    </row>
    <row r="1253" customFormat="false" ht="15" hidden="false" customHeight="false" outlineLevel="0" collapsed="false">
      <c r="A1253" s="2" t="n">
        <v>1241</v>
      </c>
      <c r="B1253" s="22" t="n">
        <v>0.710853610308889</v>
      </c>
      <c r="C1253" s="22" t="n">
        <v>0.881183171373263</v>
      </c>
      <c r="D1253" s="23" t="n">
        <f aca="false">BETAINV(C1253,Test1_Hand!$B$21,Test1_Hand!$B$22,Test1_Hand!$B$9,Test1_Hand!$B$11)</f>
        <v>5.12766312089412</v>
      </c>
      <c r="E1253" s="2" t="n">
        <f aca="false">IF(B1253&lt;Test1_Hand!$B$12,1,0)</f>
        <v>0</v>
      </c>
      <c r="F1253" s="23" t="n">
        <f aca="false">Test1_Hand!$B$4+E1253*D1253</f>
        <v>16</v>
      </c>
      <c r="G1253" s="24" t="n">
        <f aca="false">Test1_Hand!$B$6*E1253*D1253+Test1_Hand!$B$7*MAX(0,F1253-Test1_Hand!$B$5)</f>
        <v>0</v>
      </c>
      <c r="H1253" s="2" t="n">
        <f aca="false">IF(B1253&lt;Test1_Hand!$B$13,1,0)</f>
        <v>0</v>
      </c>
      <c r="I1253" s="23" t="n">
        <f aca="false">Test1_Hand!$B$4+H1253*D1253</f>
        <v>16</v>
      </c>
      <c r="J1253" s="24" t="n">
        <f aca="false">Test1_Hand!$B$6*H1253*D1253+Test1_Hand!$B$7*MAX(0,I1253-Test1_Hand!$B$5)+Test1_Hand!$B$14</f>
        <v>6000</v>
      </c>
    </row>
    <row r="1254" customFormat="false" ht="15" hidden="false" customHeight="false" outlineLevel="0" collapsed="false">
      <c r="A1254" s="2" t="n">
        <v>1242</v>
      </c>
      <c r="B1254" s="22" t="n">
        <v>0.980585345865481</v>
      </c>
      <c r="C1254" s="22" t="n">
        <v>0.689023202353112</v>
      </c>
      <c r="D1254" s="23" t="n">
        <f aca="false">BETAINV(C1254,Test1_Hand!$B$21,Test1_Hand!$B$22,Test1_Hand!$B$9,Test1_Hand!$B$11)</f>
        <v>4.10255894982355</v>
      </c>
      <c r="E1254" s="2" t="n">
        <f aca="false">IF(B1254&lt;Test1_Hand!$B$12,1,0)</f>
        <v>0</v>
      </c>
      <c r="F1254" s="23" t="n">
        <f aca="false">Test1_Hand!$B$4+E1254*D1254</f>
        <v>16</v>
      </c>
      <c r="G1254" s="24" t="n">
        <f aca="false">Test1_Hand!$B$6*E1254*D1254+Test1_Hand!$B$7*MAX(0,F1254-Test1_Hand!$B$5)</f>
        <v>0</v>
      </c>
      <c r="H1254" s="2" t="n">
        <f aca="false">IF(B1254&lt;Test1_Hand!$B$13,1,0)</f>
        <v>0</v>
      </c>
      <c r="I1254" s="23" t="n">
        <f aca="false">Test1_Hand!$B$4+H1254*D1254</f>
        <v>16</v>
      </c>
      <c r="J1254" s="24" t="n">
        <f aca="false">Test1_Hand!$B$6*H1254*D1254+Test1_Hand!$B$7*MAX(0,I1254-Test1_Hand!$B$5)+Test1_Hand!$B$14</f>
        <v>6000</v>
      </c>
    </row>
    <row r="1255" customFormat="false" ht="15" hidden="false" customHeight="false" outlineLevel="0" collapsed="false">
      <c r="A1255" s="2" t="n">
        <v>1243</v>
      </c>
      <c r="B1255" s="22" t="n">
        <v>0.00521574543672199</v>
      </c>
      <c r="C1255" s="22" t="n">
        <v>0.739079945804076</v>
      </c>
      <c r="D1255" s="23" t="n">
        <f aca="false">BETAINV(C1255,Test1_Hand!$B$21,Test1_Hand!$B$22,Test1_Hand!$B$9,Test1_Hand!$B$11)</f>
        <v>4.32378542033037</v>
      </c>
      <c r="E1255" s="2" t="n">
        <f aca="false">IF(B1255&lt;Test1_Hand!$B$12,1,0)</f>
        <v>1</v>
      </c>
      <c r="F1255" s="23" t="n">
        <f aca="false">Test1_Hand!$B$4+E1255*D1255</f>
        <v>20.3237854203304</v>
      </c>
      <c r="G1255" s="24" t="n">
        <f aca="false">Test1_Hand!$B$6*E1255*D1255+Test1_Hand!$B$7*MAX(0,F1255-Test1_Hand!$B$5)</f>
        <v>36209.2104642948</v>
      </c>
      <c r="H1255" s="2" t="n">
        <f aca="false">IF(B1255&lt;Test1_Hand!$B$13,1,0)</f>
        <v>1</v>
      </c>
      <c r="I1255" s="23" t="n">
        <f aca="false">Test1_Hand!$B$4+H1255*D1255</f>
        <v>20.3237854203304</v>
      </c>
      <c r="J1255" s="24" t="n">
        <f aca="false">Test1_Hand!$B$6*H1255*D1255+Test1_Hand!$B$7*MAX(0,I1255-Test1_Hand!$B$5)+Test1_Hand!$B$14</f>
        <v>42209.2104642948</v>
      </c>
    </row>
    <row r="1256" customFormat="false" ht="15" hidden="false" customHeight="false" outlineLevel="0" collapsed="false">
      <c r="A1256" s="2" t="n">
        <v>1244</v>
      </c>
      <c r="B1256" s="22" t="n">
        <v>0.730610868806008</v>
      </c>
      <c r="C1256" s="22" t="n">
        <v>0.816556316060652</v>
      </c>
      <c r="D1256" s="23" t="n">
        <f aca="false">BETAINV(C1256,Test1_Hand!$B$21,Test1_Hand!$B$22,Test1_Hand!$B$9,Test1_Hand!$B$11)</f>
        <v>4.71667269587746</v>
      </c>
      <c r="E1256" s="2" t="n">
        <f aca="false">IF(B1256&lt;Test1_Hand!$B$12,1,0)</f>
        <v>0</v>
      </c>
      <c r="F1256" s="23" t="n">
        <f aca="false">Test1_Hand!$B$4+E1256*D1256</f>
        <v>16</v>
      </c>
      <c r="G1256" s="24" t="n">
        <f aca="false">Test1_Hand!$B$6*E1256*D1256+Test1_Hand!$B$7*MAX(0,F1256-Test1_Hand!$B$5)</f>
        <v>0</v>
      </c>
      <c r="H1256" s="2" t="n">
        <f aca="false">IF(B1256&lt;Test1_Hand!$B$13,1,0)</f>
        <v>0</v>
      </c>
      <c r="I1256" s="23" t="n">
        <f aca="false">Test1_Hand!$B$4+H1256*D1256</f>
        <v>16</v>
      </c>
      <c r="J1256" s="24" t="n">
        <f aca="false">Test1_Hand!$B$6*H1256*D1256+Test1_Hand!$B$7*MAX(0,I1256-Test1_Hand!$B$5)+Test1_Hand!$B$14</f>
        <v>6000</v>
      </c>
    </row>
    <row r="1257" customFormat="false" ht="15" hidden="false" customHeight="false" outlineLevel="0" collapsed="false">
      <c r="A1257" s="2" t="n">
        <v>1245</v>
      </c>
      <c r="B1257" s="22" t="n">
        <v>0.73791757492005</v>
      </c>
      <c r="C1257" s="22" t="n">
        <v>0.150689746738655</v>
      </c>
      <c r="D1257" s="23" t="n">
        <f aca="false">BETAINV(C1257,Test1_Hand!$B$21,Test1_Hand!$B$22,Test1_Hand!$B$9,Test1_Hand!$B$11)</f>
        <v>2.13040021446893</v>
      </c>
      <c r="E1257" s="2" t="n">
        <f aca="false">IF(B1257&lt;Test1_Hand!$B$12,1,0)</f>
        <v>0</v>
      </c>
      <c r="F1257" s="23" t="n">
        <f aca="false">Test1_Hand!$B$4+E1257*D1257</f>
        <v>16</v>
      </c>
      <c r="G1257" s="24" t="n">
        <f aca="false">Test1_Hand!$B$6*E1257*D1257+Test1_Hand!$B$7*MAX(0,F1257-Test1_Hand!$B$5)</f>
        <v>0</v>
      </c>
      <c r="H1257" s="2" t="n">
        <f aca="false">IF(B1257&lt;Test1_Hand!$B$13,1,0)</f>
        <v>0</v>
      </c>
      <c r="I1257" s="23" t="n">
        <f aca="false">Test1_Hand!$B$4+H1257*D1257</f>
        <v>16</v>
      </c>
      <c r="J1257" s="24" t="n">
        <f aca="false">Test1_Hand!$B$6*H1257*D1257+Test1_Hand!$B$7*MAX(0,I1257-Test1_Hand!$B$5)+Test1_Hand!$B$14</f>
        <v>6000</v>
      </c>
    </row>
    <row r="1258" customFormat="false" ht="15" hidden="false" customHeight="false" outlineLevel="0" collapsed="false">
      <c r="A1258" s="2" t="n">
        <v>1246</v>
      </c>
      <c r="B1258" s="22" t="n">
        <v>0.932459320125042</v>
      </c>
      <c r="C1258" s="22" t="n">
        <v>0.259739772521372</v>
      </c>
      <c r="D1258" s="23" t="n">
        <f aca="false">BETAINV(C1258,Test1_Hand!$B$21,Test1_Hand!$B$22,Test1_Hand!$B$9,Test1_Hand!$B$11)</f>
        <v>2.54758572655624</v>
      </c>
      <c r="E1258" s="2" t="n">
        <f aca="false">IF(B1258&lt;Test1_Hand!$B$12,1,0)</f>
        <v>0</v>
      </c>
      <c r="F1258" s="23" t="n">
        <f aca="false">Test1_Hand!$B$4+E1258*D1258</f>
        <v>16</v>
      </c>
      <c r="G1258" s="24" t="n">
        <f aca="false">Test1_Hand!$B$6*E1258*D1258+Test1_Hand!$B$7*MAX(0,F1258-Test1_Hand!$B$5)</f>
        <v>0</v>
      </c>
      <c r="H1258" s="2" t="n">
        <f aca="false">IF(B1258&lt;Test1_Hand!$B$13,1,0)</f>
        <v>0</v>
      </c>
      <c r="I1258" s="23" t="n">
        <f aca="false">Test1_Hand!$B$4+H1258*D1258</f>
        <v>16</v>
      </c>
      <c r="J1258" s="24" t="n">
        <f aca="false">Test1_Hand!$B$6*H1258*D1258+Test1_Hand!$B$7*MAX(0,I1258-Test1_Hand!$B$5)+Test1_Hand!$B$14</f>
        <v>6000</v>
      </c>
    </row>
    <row r="1259" customFormat="false" ht="15" hidden="false" customHeight="false" outlineLevel="0" collapsed="false">
      <c r="A1259" s="2" t="n">
        <v>1247</v>
      </c>
      <c r="B1259" s="22" t="n">
        <v>0.808955944507209</v>
      </c>
      <c r="C1259" s="22" t="n">
        <v>0.129250590309522</v>
      </c>
      <c r="D1259" s="23" t="n">
        <f aca="false">BETAINV(C1259,Test1_Hand!$B$21,Test1_Hand!$B$22,Test1_Hand!$B$9,Test1_Hand!$B$11)</f>
        <v>2.03874484447642</v>
      </c>
      <c r="E1259" s="2" t="n">
        <f aca="false">IF(B1259&lt;Test1_Hand!$B$12,1,0)</f>
        <v>0</v>
      </c>
      <c r="F1259" s="23" t="n">
        <f aca="false">Test1_Hand!$B$4+E1259*D1259</f>
        <v>16</v>
      </c>
      <c r="G1259" s="24" t="n">
        <f aca="false">Test1_Hand!$B$6*E1259*D1259+Test1_Hand!$B$7*MAX(0,F1259-Test1_Hand!$B$5)</f>
        <v>0</v>
      </c>
      <c r="H1259" s="2" t="n">
        <f aca="false">IF(B1259&lt;Test1_Hand!$B$13,1,0)</f>
        <v>0</v>
      </c>
      <c r="I1259" s="23" t="n">
        <f aca="false">Test1_Hand!$B$4+H1259*D1259</f>
        <v>16</v>
      </c>
      <c r="J1259" s="24" t="n">
        <f aca="false">Test1_Hand!$B$6*H1259*D1259+Test1_Hand!$B$7*MAX(0,I1259-Test1_Hand!$B$5)+Test1_Hand!$B$14</f>
        <v>6000</v>
      </c>
    </row>
    <row r="1260" customFormat="false" ht="15" hidden="false" customHeight="false" outlineLevel="0" collapsed="false">
      <c r="A1260" s="2" t="n">
        <v>1248</v>
      </c>
      <c r="B1260" s="22" t="n">
        <v>0.082166861695346</v>
      </c>
      <c r="C1260" s="22" t="n">
        <v>0.283318185447538</v>
      </c>
      <c r="D1260" s="23" t="n">
        <f aca="false">BETAINV(C1260,Test1_Hand!$B$21,Test1_Hand!$B$22,Test1_Hand!$B$9,Test1_Hand!$B$11)</f>
        <v>2.63161020899192</v>
      </c>
      <c r="E1260" s="2" t="n">
        <f aca="false">IF(B1260&lt;Test1_Hand!$B$12,1,0)</f>
        <v>1</v>
      </c>
      <c r="F1260" s="23" t="n">
        <f aca="false">Test1_Hand!$B$4+E1260*D1260</f>
        <v>18.6316102089919</v>
      </c>
      <c r="G1260" s="24" t="n">
        <f aca="false">Test1_Hand!$B$6*E1260*D1260+Test1_Hand!$B$7*MAX(0,F1260-Test1_Hand!$B$5)</f>
        <v>21052.8816719354</v>
      </c>
      <c r="H1260" s="2" t="n">
        <f aca="false">IF(B1260&lt;Test1_Hand!$B$13,1,0)</f>
        <v>1</v>
      </c>
      <c r="I1260" s="23" t="n">
        <f aca="false">Test1_Hand!$B$4+H1260*D1260</f>
        <v>18.6316102089919</v>
      </c>
      <c r="J1260" s="24" t="n">
        <f aca="false">Test1_Hand!$B$6*H1260*D1260+Test1_Hand!$B$7*MAX(0,I1260-Test1_Hand!$B$5)+Test1_Hand!$B$14</f>
        <v>27052.8816719354</v>
      </c>
    </row>
    <row r="1261" customFormat="false" ht="15" hidden="false" customHeight="false" outlineLevel="0" collapsed="false">
      <c r="A1261" s="2" t="n">
        <v>1249</v>
      </c>
      <c r="B1261" s="22" t="n">
        <v>0.0997959852122285</v>
      </c>
      <c r="C1261" s="22" t="n">
        <v>0.31797094121508</v>
      </c>
      <c r="D1261" s="23" t="n">
        <f aca="false">BETAINV(C1261,Test1_Hand!$B$21,Test1_Hand!$B$22,Test1_Hand!$B$9,Test1_Hand!$B$11)</f>
        <v>2.75305980892034</v>
      </c>
      <c r="E1261" s="2" t="n">
        <f aca="false">IF(B1261&lt;Test1_Hand!$B$12,1,0)</f>
        <v>1</v>
      </c>
      <c r="F1261" s="23" t="n">
        <f aca="false">Test1_Hand!$B$4+E1261*D1261</f>
        <v>18.7530598089203</v>
      </c>
      <c r="G1261" s="24" t="n">
        <f aca="false">Test1_Hand!$B$6*E1261*D1261+Test1_Hand!$B$7*MAX(0,F1261-Test1_Hand!$B$5)</f>
        <v>22024.4784713628</v>
      </c>
      <c r="H1261" s="2" t="n">
        <f aca="false">IF(B1261&lt;Test1_Hand!$B$13,1,0)</f>
        <v>1</v>
      </c>
      <c r="I1261" s="23" t="n">
        <f aca="false">Test1_Hand!$B$4+H1261*D1261</f>
        <v>18.7530598089203</v>
      </c>
      <c r="J1261" s="24" t="n">
        <f aca="false">Test1_Hand!$B$6*H1261*D1261+Test1_Hand!$B$7*MAX(0,I1261-Test1_Hand!$B$5)+Test1_Hand!$B$14</f>
        <v>28024.4784713628</v>
      </c>
    </row>
    <row r="1262" customFormat="false" ht="15" hidden="false" customHeight="false" outlineLevel="0" collapsed="false">
      <c r="A1262" s="2" t="n">
        <v>1250</v>
      </c>
      <c r="B1262" s="22" t="n">
        <v>0.157762159566097</v>
      </c>
      <c r="C1262" s="22" t="n">
        <v>0.871636937018781</v>
      </c>
      <c r="D1262" s="23" t="n">
        <f aca="false">BETAINV(C1262,Test1_Hand!$B$21,Test1_Hand!$B$22,Test1_Hand!$B$9,Test1_Hand!$B$11)</f>
        <v>5.05955243165044</v>
      </c>
      <c r="E1262" s="2" t="n">
        <f aca="false">IF(B1262&lt;Test1_Hand!$B$12,1,0)</f>
        <v>1</v>
      </c>
      <c r="F1262" s="23" t="n">
        <f aca="false">Test1_Hand!$B$4+E1262*D1262</f>
        <v>21.0595524316504</v>
      </c>
      <c r="G1262" s="24" t="n">
        <f aca="false">Test1_Hand!$B$6*E1262*D1262+Test1_Hand!$B$7*MAX(0,F1262-Test1_Hand!$B$5)</f>
        <v>45774.1816114558</v>
      </c>
      <c r="H1262" s="2" t="n">
        <f aca="false">IF(B1262&lt;Test1_Hand!$B$13,1,0)</f>
        <v>1</v>
      </c>
      <c r="I1262" s="23" t="n">
        <f aca="false">Test1_Hand!$B$4+H1262*D1262</f>
        <v>21.0595524316504</v>
      </c>
      <c r="J1262" s="24" t="n">
        <f aca="false">Test1_Hand!$B$6*H1262*D1262+Test1_Hand!$B$7*MAX(0,I1262-Test1_Hand!$B$5)+Test1_Hand!$B$14</f>
        <v>51774.1816114558</v>
      </c>
    </row>
    <row r="1263" customFormat="false" ht="15" hidden="false" customHeight="false" outlineLevel="0" collapsed="false">
      <c r="A1263" s="2" t="n">
        <v>1251</v>
      </c>
      <c r="B1263" s="22" t="n">
        <v>0.778139006237553</v>
      </c>
      <c r="C1263" s="22" t="n">
        <v>0.872065471817416</v>
      </c>
      <c r="D1263" s="23" t="n">
        <f aca="false">BETAINV(C1263,Test1_Hand!$B$21,Test1_Hand!$B$22,Test1_Hand!$B$9,Test1_Hand!$B$11)</f>
        <v>5.06254136565323</v>
      </c>
      <c r="E1263" s="2" t="n">
        <f aca="false">IF(B1263&lt;Test1_Hand!$B$12,1,0)</f>
        <v>0</v>
      </c>
      <c r="F1263" s="23" t="n">
        <f aca="false">Test1_Hand!$B$4+E1263*D1263</f>
        <v>16</v>
      </c>
      <c r="G1263" s="24" t="n">
        <f aca="false">Test1_Hand!$B$6*E1263*D1263+Test1_Hand!$B$7*MAX(0,F1263-Test1_Hand!$B$5)</f>
        <v>0</v>
      </c>
      <c r="H1263" s="2" t="n">
        <f aca="false">IF(B1263&lt;Test1_Hand!$B$13,1,0)</f>
        <v>0</v>
      </c>
      <c r="I1263" s="23" t="n">
        <f aca="false">Test1_Hand!$B$4+H1263*D1263</f>
        <v>16</v>
      </c>
      <c r="J1263" s="24" t="n">
        <f aca="false">Test1_Hand!$B$6*H1263*D1263+Test1_Hand!$B$7*MAX(0,I1263-Test1_Hand!$B$5)+Test1_Hand!$B$14</f>
        <v>6000</v>
      </c>
    </row>
    <row r="1264" customFormat="false" ht="15" hidden="false" customHeight="false" outlineLevel="0" collapsed="false">
      <c r="A1264" s="2" t="n">
        <v>1252</v>
      </c>
      <c r="B1264" s="22" t="n">
        <v>0.584780350162592</v>
      </c>
      <c r="C1264" s="22" t="n">
        <v>0.235621752076089</v>
      </c>
      <c r="D1264" s="23" t="n">
        <f aca="false">BETAINV(C1264,Test1_Hand!$B$21,Test1_Hand!$B$22,Test1_Hand!$B$9,Test1_Hand!$B$11)</f>
        <v>2.4600352915193</v>
      </c>
      <c r="E1264" s="2" t="n">
        <f aca="false">IF(B1264&lt;Test1_Hand!$B$12,1,0)</f>
        <v>0</v>
      </c>
      <c r="F1264" s="23" t="n">
        <f aca="false">Test1_Hand!$B$4+E1264*D1264</f>
        <v>16</v>
      </c>
      <c r="G1264" s="24" t="n">
        <f aca="false">Test1_Hand!$B$6*E1264*D1264+Test1_Hand!$B$7*MAX(0,F1264-Test1_Hand!$B$5)</f>
        <v>0</v>
      </c>
      <c r="H1264" s="2" t="n">
        <f aca="false">IF(B1264&lt;Test1_Hand!$B$13,1,0)</f>
        <v>0</v>
      </c>
      <c r="I1264" s="23" t="n">
        <f aca="false">Test1_Hand!$B$4+H1264*D1264</f>
        <v>16</v>
      </c>
      <c r="J1264" s="24" t="n">
        <f aca="false">Test1_Hand!$B$6*H1264*D1264+Test1_Hand!$B$7*MAX(0,I1264-Test1_Hand!$B$5)+Test1_Hand!$B$14</f>
        <v>6000</v>
      </c>
    </row>
    <row r="1265" customFormat="false" ht="15" hidden="false" customHeight="false" outlineLevel="0" collapsed="false">
      <c r="A1265" s="2" t="n">
        <v>1253</v>
      </c>
      <c r="B1265" s="22" t="n">
        <v>0.0409546005415399</v>
      </c>
      <c r="C1265" s="22" t="n">
        <v>0.0937620484132451</v>
      </c>
      <c r="D1265" s="23" t="n">
        <f aca="false">BETAINV(C1265,Test1_Hand!$B$21,Test1_Hand!$B$22,Test1_Hand!$B$9,Test1_Hand!$B$11)</f>
        <v>1.87386110357417</v>
      </c>
      <c r="E1265" s="2" t="n">
        <f aca="false">IF(B1265&lt;Test1_Hand!$B$12,1,0)</f>
        <v>1</v>
      </c>
      <c r="F1265" s="23" t="n">
        <f aca="false">Test1_Hand!$B$4+E1265*D1265</f>
        <v>17.8738611035742</v>
      </c>
      <c r="G1265" s="24" t="n">
        <f aca="false">Test1_Hand!$B$6*E1265*D1265+Test1_Hand!$B$7*MAX(0,F1265-Test1_Hand!$B$5)</f>
        <v>14990.8888285934</v>
      </c>
      <c r="H1265" s="2" t="n">
        <f aca="false">IF(B1265&lt;Test1_Hand!$B$13,1,0)</f>
        <v>1</v>
      </c>
      <c r="I1265" s="23" t="n">
        <f aca="false">Test1_Hand!$B$4+H1265*D1265</f>
        <v>17.8738611035742</v>
      </c>
      <c r="J1265" s="24" t="n">
        <f aca="false">Test1_Hand!$B$6*H1265*D1265+Test1_Hand!$B$7*MAX(0,I1265-Test1_Hand!$B$5)+Test1_Hand!$B$14</f>
        <v>20990.8888285934</v>
      </c>
    </row>
    <row r="1266" customFormat="false" ht="15" hidden="false" customHeight="false" outlineLevel="0" collapsed="false">
      <c r="A1266" s="2" t="n">
        <v>1254</v>
      </c>
      <c r="B1266" s="22" t="n">
        <v>0.271047222863273</v>
      </c>
      <c r="C1266" s="22" t="n">
        <v>0.276633911508634</v>
      </c>
      <c r="D1266" s="23" t="n">
        <f aca="false">BETAINV(C1266,Test1_Hand!$B$21,Test1_Hand!$B$22,Test1_Hand!$B$9,Test1_Hand!$B$11)</f>
        <v>2.60792420810498</v>
      </c>
      <c r="E1266" s="2" t="n">
        <f aca="false">IF(B1266&lt;Test1_Hand!$B$12,1,0)</f>
        <v>1</v>
      </c>
      <c r="F1266" s="23" t="n">
        <f aca="false">Test1_Hand!$B$4+E1266*D1266</f>
        <v>18.607924208105</v>
      </c>
      <c r="G1266" s="24" t="n">
        <f aca="false">Test1_Hand!$B$6*E1266*D1266+Test1_Hand!$B$7*MAX(0,F1266-Test1_Hand!$B$5)</f>
        <v>20863.3936648398</v>
      </c>
      <c r="H1266" s="2" t="n">
        <f aca="false">IF(B1266&lt;Test1_Hand!$B$13,1,0)</f>
        <v>0</v>
      </c>
      <c r="I1266" s="23" t="n">
        <f aca="false">Test1_Hand!$B$4+H1266*D1266</f>
        <v>16</v>
      </c>
      <c r="J1266" s="24" t="n">
        <f aca="false">Test1_Hand!$B$6*H1266*D1266+Test1_Hand!$B$7*MAX(0,I1266-Test1_Hand!$B$5)+Test1_Hand!$B$14</f>
        <v>6000</v>
      </c>
    </row>
    <row r="1267" customFormat="false" ht="15" hidden="false" customHeight="false" outlineLevel="0" collapsed="false">
      <c r="A1267" s="2" t="n">
        <v>1255</v>
      </c>
      <c r="B1267" s="22" t="n">
        <v>0.288920629381238</v>
      </c>
      <c r="C1267" s="22" t="n">
        <v>0.833992117444743</v>
      </c>
      <c r="D1267" s="23" t="n">
        <f aca="false">BETAINV(C1267,Test1_Hand!$B$21,Test1_Hand!$B$22,Test1_Hand!$B$9,Test1_Hand!$B$11)</f>
        <v>4.8175960692119</v>
      </c>
      <c r="E1267" s="2" t="n">
        <f aca="false">IF(B1267&lt;Test1_Hand!$B$12,1,0)</f>
        <v>1</v>
      </c>
      <c r="F1267" s="23" t="n">
        <f aca="false">Test1_Hand!$B$4+E1267*D1267</f>
        <v>20.8175960692119</v>
      </c>
      <c r="G1267" s="24" t="n">
        <f aca="false">Test1_Hand!$B$6*E1267*D1267+Test1_Hand!$B$7*MAX(0,F1267-Test1_Hand!$B$5)</f>
        <v>42628.7488997547</v>
      </c>
      <c r="H1267" s="2" t="n">
        <f aca="false">IF(B1267&lt;Test1_Hand!$B$13,1,0)</f>
        <v>0</v>
      </c>
      <c r="I1267" s="23" t="n">
        <f aca="false">Test1_Hand!$B$4+H1267*D1267</f>
        <v>16</v>
      </c>
      <c r="J1267" s="24" t="n">
        <f aca="false">Test1_Hand!$B$6*H1267*D1267+Test1_Hand!$B$7*MAX(0,I1267-Test1_Hand!$B$5)+Test1_Hand!$B$14</f>
        <v>6000</v>
      </c>
    </row>
    <row r="1268" customFormat="false" ht="15" hidden="false" customHeight="false" outlineLevel="0" collapsed="false">
      <c r="A1268" s="2" t="n">
        <v>1256</v>
      </c>
      <c r="B1268" s="22" t="n">
        <v>0.723481044418721</v>
      </c>
      <c r="C1268" s="22" t="n">
        <v>0.572303712922958</v>
      </c>
      <c r="D1268" s="23" t="n">
        <f aca="false">BETAINV(C1268,Test1_Hand!$B$21,Test1_Hand!$B$22,Test1_Hand!$B$9,Test1_Hand!$B$11)</f>
        <v>3.64334196382852</v>
      </c>
      <c r="E1268" s="2" t="n">
        <f aca="false">IF(B1268&lt;Test1_Hand!$B$12,1,0)</f>
        <v>0</v>
      </c>
      <c r="F1268" s="23" t="n">
        <f aca="false">Test1_Hand!$B$4+E1268*D1268</f>
        <v>16</v>
      </c>
      <c r="G1268" s="24" t="n">
        <f aca="false">Test1_Hand!$B$6*E1268*D1268+Test1_Hand!$B$7*MAX(0,F1268-Test1_Hand!$B$5)</f>
        <v>0</v>
      </c>
      <c r="H1268" s="2" t="n">
        <f aca="false">IF(B1268&lt;Test1_Hand!$B$13,1,0)</f>
        <v>0</v>
      </c>
      <c r="I1268" s="23" t="n">
        <f aca="false">Test1_Hand!$B$4+H1268*D1268</f>
        <v>16</v>
      </c>
      <c r="J1268" s="24" t="n">
        <f aca="false">Test1_Hand!$B$6*H1268*D1268+Test1_Hand!$B$7*MAX(0,I1268-Test1_Hand!$B$5)+Test1_Hand!$B$14</f>
        <v>6000</v>
      </c>
    </row>
    <row r="1269" customFormat="false" ht="15" hidden="false" customHeight="false" outlineLevel="0" collapsed="false">
      <c r="A1269" s="2" t="n">
        <v>1257</v>
      </c>
      <c r="B1269" s="22" t="n">
        <v>0.427192755233986</v>
      </c>
      <c r="C1269" s="22" t="n">
        <v>0.240437715110654</v>
      </c>
      <c r="D1269" s="23" t="n">
        <f aca="false">BETAINV(C1269,Test1_Hand!$B$21,Test1_Hand!$B$22,Test1_Hand!$B$9,Test1_Hand!$B$11)</f>
        <v>2.4776686360859</v>
      </c>
      <c r="E1269" s="2" t="n">
        <f aca="false">IF(B1269&lt;Test1_Hand!$B$12,1,0)</f>
        <v>1</v>
      </c>
      <c r="F1269" s="23" t="n">
        <f aca="false">Test1_Hand!$B$4+E1269*D1269</f>
        <v>18.4776686360859</v>
      </c>
      <c r="G1269" s="24" t="n">
        <f aca="false">Test1_Hand!$B$6*E1269*D1269+Test1_Hand!$B$7*MAX(0,F1269-Test1_Hand!$B$5)</f>
        <v>19821.3490886872</v>
      </c>
      <c r="H1269" s="2" t="n">
        <f aca="false">IF(B1269&lt;Test1_Hand!$B$13,1,0)</f>
        <v>0</v>
      </c>
      <c r="I1269" s="23" t="n">
        <f aca="false">Test1_Hand!$B$4+H1269*D1269</f>
        <v>16</v>
      </c>
      <c r="J1269" s="24" t="n">
        <f aca="false">Test1_Hand!$B$6*H1269*D1269+Test1_Hand!$B$7*MAX(0,I1269-Test1_Hand!$B$5)+Test1_Hand!$B$14</f>
        <v>6000</v>
      </c>
    </row>
    <row r="1270" customFormat="false" ht="15" hidden="false" customHeight="false" outlineLevel="0" collapsed="false">
      <c r="A1270" s="2" t="n">
        <v>1258</v>
      </c>
      <c r="B1270" s="22" t="n">
        <v>0.595148781920918</v>
      </c>
      <c r="C1270" s="22" t="n">
        <v>0.263999021303272</v>
      </c>
      <c r="D1270" s="23" t="n">
        <f aca="false">BETAINV(C1270,Test1_Hand!$B$21,Test1_Hand!$B$22,Test1_Hand!$B$9,Test1_Hand!$B$11)</f>
        <v>2.56286676491399</v>
      </c>
      <c r="E1270" s="2" t="n">
        <f aca="false">IF(B1270&lt;Test1_Hand!$B$12,1,0)</f>
        <v>0</v>
      </c>
      <c r="F1270" s="23" t="n">
        <f aca="false">Test1_Hand!$B$4+E1270*D1270</f>
        <v>16</v>
      </c>
      <c r="G1270" s="24" t="n">
        <f aca="false">Test1_Hand!$B$6*E1270*D1270+Test1_Hand!$B$7*MAX(0,F1270-Test1_Hand!$B$5)</f>
        <v>0</v>
      </c>
      <c r="H1270" s="2" t="n">
        <f aca="false">IF(B1270&lt;Test1_Hand!$B$13,1,0)</f>
        <v>0</v>
      </c>
      <c r="I1270" s="23" t="n">
        <f aca="false">Test1_Hand!$B$4+H1270*D1270</f>
        <v>16</v>
      </c>
      <c r="J1270" s="24" t="n">
        <f aca="false">Test1_Hand!$B$6*H1270*D1270+Test1_Hand!$B$7*MAX(0,I1270-Test1_Hand!$B$5)+Test1_Hand!$B$14</f>
        <v>6000</v>
      </c>
    </row>
    <row r="1271" customFormat="false" ht="15" hidden="false" customHeight="false" outlineLevel="0" collapsed="false">
      <c r="A1271" s="2" t="n">
        <v>1259</v>
      </c>
      <c r="B1271" s="22" t="n">
        <v>0.809136431941106</v>
      </c>
      <c r="C1271" s="22" t="n">
        <v>0.917650701574544</v>
      </c>
      <c r="D1271" s="23" t="n">
        <f aca="false">BETAINV(C1271,Test1_Hand!$B$21,Test1_Hand!$B$22,Test1_Hand!$B$9,Test1_Hand!$B$11)</f>
        <v>5.4255295799427</v>
      </c>
      <c r="E1271" s="2" t="n">
        <f aca="false">IF(B1271&lt;Test1_Hand!$B$12,1,0)</f>
        <v>0</v>
      </c>
      <c r="F1271" s="23" t="n">
        <f aca="false">Test1_Hand!$B$4+E1271*D1271</f>
        <v>16</v>
      </c>
      <c r="G1271" s="24" t="n">
        <f aca="false">Test1_Hand!$B$6*E1271*D1271+Test1_Hand!$B$7*MAX(0,F1271-Test1_Hand!$B$5)</f>
        <v>0</v>
      </c>
      <c r="H1271" s="2" t="n">
        <f aca="false">IF(B1271&lt;Test1_Hand!$B$13,1,0)</f>
        <v>0</v>
      </c>
      <c r="I1271" s="23" t="n">
        <f aca="false">Test1_Hand!$B$4+H1271*D1271</f>
        <v>16</v>
      </c>
      <c r="J1271" s="24" t="n">
        <f aca="false">Test1_Hand!$B$6*H1271*D1271+Test1_Hand!$B$7*MAX(0,I1271-Test1_Hand!$B$5)+Test1_Hand!$B$14</f>
        <v>6000</v>
      </c>
    </row>
    <row r="1272" customFormat="false" ht="15" hidden="false" customHeight="false" outlineLevel="0" collapsed="false">
      <c r="A1272" s="2" t="n">
        <v>1260</v>
      </c>
      <c r="B1272" s="22" t="n">
        <v>0.541803798826788</v>
      </c>
      <c r="C1272" s="22" t="n">
        <v>0.0406332099437016</v>
      </c>
      <c r="D1272" s="23" t="n">
        <f aca="false">BETAINV(C1272,Test1_Hand!$B$21,Test1_Hand!$B$22,Test1_Hand!$B$9,Test1_Hand!$B$11)</f>
        <v>1.56713410607352</v>
      </c>
      <c r="E1272" s="2" t="n">
        <f aca="false">IF(B1272&lt;Test1_Hand!$B$12,1,0)</f>
        <v>0</v>
      </c>
      <c r="F1272" s="23" t="n">
        <f aca="false">Test1_Hand!$B$4+E1272*D1272</f>
        <v>16</v>
      </c>
      <c r="G1272" s="24" t="n">
        <f aca="false">Test1_Hand!$B$6*E1272*D1272+Test1_Hand!$B$7*MAX(0,F1272-Test1_Hand!$B$5)</f>
        <v>0</v>
      </c>
      <c r="H1272" s="2" t="n">
        <f aca="false">IF(B1272&lt;Test1_Hand!$B$13,1,0)</f>
        <v>0</v>
      </c>
      <c r="I1272" s="23" t="n">
        <f aca="false">Test1_Hand!$B$4+H1272*D1272</f>
        <v>16</v>
      </c>
      <c r="J1272" s="24" t="n">
        <f aca="false">Test1_Hand!$B$6*H1272*D1272+Test1_Hand!$B$7*MAX(0,I1272-Test1_Hand!$B$5)+Test1_Hand!$B$14</f>
        <v>6000</v>
      </c>
    </row>
    <row r="1273" customFormat="false" ht="15" hidden="false" customHeight="false" outlineLevel="0" collapsed="false">
      <c r="A1273" s="2" t="n">
        <v>1261</v>
      </c>
      <c r="B1273" s="22" t="n">
        <v>0.685068009926754</v>
      </c>
      <c r="C1273" s="22" t="n">
        <v>0.315812438788864</v>
      </c>
      <c r="D1273" s="23" t="n">
        <f aca="false">BETAINV(C1273,Test1_Hand!$B$21,Test1_Hand!$B$22,Test1_Hand!$B$9,Test1_Hand!$B$11)</f>
        <v>2.7455498080739</v>
      </c>
      <c r="E1273" s="2" t="n">
        <f aca="false">IF(B1273&lt;Test1_Hand!$B$12,1,0)</f>
        <v>0</v>
      </c>
      <c r="F1273" s="23" t="n">
        <f aca="false">Test1_Hand!$B$4+E1273*D1273</f>
        <v>16</v>
      </c>
      <c r="G1273" s="24" t="n">
        <f aca="false">Test1_Hand!$B$6*E1273*D1273+Test1_Hand!$B$7*MAX(0,F1273-Test1_Hand!$B$5)</f>
        <v>0</v>
      </c>
      <c r="H1273" s="2" t="n">
        <f aca="false">IF(B1273&lt;Test1_Hand!$B$13,1,0)</f>
        <v>0</v>
      </c>
      <c r="I1273" s="23" t="n">
        <f aca="false">Test1_Hand!$B$4+H1273*D1273</f>
        <v>16</v>
      </c>
      <c r="J1273" s="24" t="n">
        <f aca="false">Test1_Hand!$B$6*H1273*D1273+Test1_Hand!$B$7*MAX(0,I1273-Test1_Hand!$B$5)+Test1_Hand!$B$14</f>
        <v>6000</v>
      </c>
    </row>
    <row r="1274" customFormat="false" ht="15" hidden="false" customHeight="false" outlineLevel="0" collapsed="false">
      <c r="A1274" s="2" t="n">
        <v>1262</v>
      </c>
      <c r="B1274" s="22" t="n">
        <v>0.927211563604693</v>
      </c>
      <c r="C1274" s="22" t="n">
        <v>0.077676013670926</v>
      </c>
      <c r="D1274" s="23" t="n">
        <f aca="false">BETAINV(C1274,Test1_Hand!$B$21,Test1_Hand!$B$22,Test1_Hand!$B$9,Test1_Hand!$B$11)</f>
        <v>1.79128085721871</v>
      </c>
      <c r="E1274" s="2" t="n">
        <f aca="false">IF(B1274&lt;Test1_Hand!$B$12,1,0)</f>
        <v>0</v>
      </c>
      <c r="F1274" s="23" t="n">
        <f aca="false">Test1_Hand!$B$4+E1274*D1274</f>
        <v>16</v>
      </c>
      <c r="G1274" s="24" t="n">
        <f aca="false">Test1_Hand!$B$6*E1274*D1274+Test1_Hand!$B$7*MAX(0,F1274-Test1_Hand!$B$5)</f>
        <v>0</v>
      </c>
      <c r="H1274" s="2" t="n">
        <f aca="false">IF(B1274&lt;Test1_Hand!$B$13,1,0)</f>
        <v>0</v>
      </c>
      <c r="I1274" s="23" t="n">
        <f aca="false">Test1_Hand!$B$4+H1274*D1274</f>
        <v>16</v>
      </c>
      <c r="J1274" s="24" t="n">
        <f aca="false">Test1_Hand!$B$6*H1274*D1274+Test1_Hand!$B$7*MAX(0,I1274-Test1_Hand!$B$5)+Test1_Hand!$B$14</f>
        <v>6000</v>
      </c>
    </row>
    <row r="1275" customFormat="false" ht="15" hidden="false" customHeight="false" outlineLevel="0" collapsed="false">
      <c r="A1275" s="2" t="n">
        <v>1263</v>
      </c>
      <c r="B1275" s="22" t="n">
        <v>0.708352981223063</v>
      </c>
      <c r="C1275" s="22" t="n">
        <v>0.753343822632849</v>
      </c>
      <c r="D1275" s="23" t="n">
        <f aca="false">BETAINV(C1275,Test1_Hand!$B$21,Test1_Hand!$B$22,Test1_Hand!$B$9,Test1_Hand!$B$11)</f>
        <v>4.39075113949976</v>
      </c>
      <c r="E1275" s="2" t="n">
        <f aca="false">IF(B1275&lt;Test1_Hand!$B$12,1,0)</f>
        <v>0</v>
      </c>
      <c r="F1275" s="23" t="n">
        <f aca="false">Test1_Hand!$B$4+E1275*D1275</f>
        <v>16</v>
      </c>
      <c r="G1275" s="24" t="n">
        <f aca="false">Test1_Hand!$B$6*E1275*D1275+Test1_Hand!$B$7*MAX(0,F1275-Test1_Hand!$B$5)</f>
        <v>0</v>
      </c>
      <c r="H1275" s="2" t="n">
        <f aca="false">IF(B1275&lt;Test1_Hand!$B$13,1,0)</f>
        <v>0</v>
      </c>
      <c r="I1275" s="23" t="n">
        <f aca="false">Test1_Hand!$B$4+H1275*D1275</f>
        <v>16</v>
      </c>
      <c r="J1275" s="24" t="n">
        <f aca="false">Test1_Hand!$B$6*H1275*D1275+Test1_Hand!$B$7*MAX(0,I1275-Test1_Hand!$B$5)+Test1_Hand!$B$14</f>
        <v>6000</v>
      </c>
    </row>
    <row r="1276" customFormat="false" ht="15" hidden="false" customHeight="false" outlineLevel="0" collapsed="false">
      <c r="A1276" s="2" t="n">
        <v>1264</v>
      </c>
      <c r="B1276" s="22" t="n">
        <v>0.0434355108985014</v>
      </c>
      <c r="C1276" s="22" t="n">
        <v>0.834228416282811</v>
      </c>
      <c r="D1276" s="23" t="n">
        <f aca="false">BETAINV(C1276,Test1_Hand!$B$21,Test1_Hand!$B$22,Test1_Hand!$B$9,Test1_Hand!$B$11)</f>
        <v>4.81900570881486</v>
      </c>
      <c r="E1276" s="2" t="n">
        <f aca="false">IF(B1276&lt;Test1_Hand!$B$12,1,0)</f>
        <v>1</v>
      </c>
      <c r="F1276" s="23" t="n">
        <f aca="false">Test1_Hand!$B$4+E1276*D1276</f>
        <v>20.8190057088149</v>
      </c>
      <c r="G1276" s="24" t="n">
        <f aca="false">Test1_Hand!$B$6*E1276*D1276+Test1_Hand!$B$7*MAX(0,F1276-Test1_Hand!$B$5)</f>
        <v>42647.0742145931</v>
      </c>
      <c r="H1276" s="2" t="n">
        <f aca="false">IF(B1276&lt;Test1_Hand!$B$13,1,0)</f>
        <v>1</v>
      </c>
      <c r="I1276" s="23" t="n">
        <f aca="false">Test1_Hand!$B$4+H1276*D1276</f>
        <v>20.8190057088149</v>
      </c>
      <c r="J1276" s="24" t="n">
        <f aca="false">Test1_Hand!$B$6*H1276*D1276+Test1_Hand!$B$7*MAX(0,I1276-Test1_Hand!$B$5)+Test1_Hand!$B$14</f>
        <v>48647.0742145931</v>
      </c>
    </row>
    <row r="1277" customFormat="false" ht="15" hidden="false" customHeight="false" outlineLevel="0" collapsed="false">
      <c r="A1277" s="2" t="n">
        <v>1265</v>
      </c>
      <c r="B1277" s="22" t="n">
        <v>0.230797249102954</v>
      </c>
      <c r="C1277" s="22" t="n">
        <v>0.783477331852232</v>
      </c>
      <c r="D1277" s="23" t="n">
        <f aca="false">BETAINV(C1277,Test1_Hand!$B$21,Test1_Hand!$B$22,Test1_Hand!$B$9,Test1_Hand!$B$11)</f>
        <v>4.53944296489931</v>
      </c>
      <c r="E1277" s="2" t="n">
        <f aca="false">IF(B1277&lt;Test1_Hand!$B$12,1,0)</f>
        <v>1</v>
      </c>
      <c r="F1277" s="23" t="n">
        <f aca="false">Test1_Hand!$B$4+E1277*D1277</f>
        <v>20.5394429648993</v>
      </c>
      <c r="G1277" s="24" t="n">
        <f aca="false">Test1_Hand!$B$6*E1277*D1277+Test1_Hand!$B$7*MAX(0,F1277-Test1_Hand!$B$5)</f>
        <v>39012.758543691</v>
      </c>
      <c r="H1277" s="2" t="n">
        <f aca="false">IF(B1277&lt;Test1_Hand!$B$13,1,0)</f>
        <v>0</v>
      </c>
      <c r="I1277" s="23" t="n">
        <f aca="false">Test1_Hand!$B$4+H1277*D1277</f>
        <v>16</v>
      </c>
      <c r="J1277" s="24" t="n">
        <f aca="false">Test1_Hand!$B$6*H1277*D1277+Test1_Hand!$B$7*MAX(0,I1277-Test1_Hand!$B$5)+Test1_Hand!$B$14</f>
        <v>6000</v>
      </c>
    </row>
    <row r="1278" customFormat="false" ht="15" hidden="false" customHeight="false" outlineLevel="0" collapsed="false">
      <c r="A1278" s="2" t="n">
        <v>1266</v>
      </c>
      <c r="B1278" s="22" t="n">
        <v>0.827567736421143</v>
      </c>
      <c r="C1278" s="22" t="n">
        <v>0.554468311038326</v>
      </c>
      <c r="D1278" s="23" t="n">
        <f aca="false">BETAINV(C1278,Test1_Hand!$B$21,Test1_Hand!$B$22,Test1_Hand!$B$9,Test1_Hand!$B$11)</f>
        <v>3.57781893440411</v>
      </c>
      <c r="E1278" s="2" t="n">
        <f aca="false">IF(B1278&lt;Test1_Hand!$B$12,1,0)</f>
        <v>0</v>
      </c>
      <c r="F1278" s="23" t="n">
        <f aca="false">Test1_Hand!$B$4+E1278*D1278</f>
        <v>16</v>
      </c>
      <c r="G1278" s="24" t="n">
        <f aca="false">Test1_Hand!$B$6*E1278*D1278+Test1_Hand!$B$7*MAX(0,F1278-Test1_Hand!$B$5)</f>
        <v>0</v>
      </c>
      <c r="H1278" s="2" t="n">
        <f aca="false">IF(B1278&lt;Test1_Hand!$B$13,1,0)</f>
        <v>0</v>
      </c>
      <c r="I1278" s="23" t="n">
        <f aca="false">Test1_Hand!$B$4+H1278*D1278</f>
        <v>16</v>
      </c>
      <c r="J1278" s="24" t="n">
        <f aca="false">Test1_Hand!$B$6*H1278*D1278+Test1_Hand!$B$7*MAX(0,I1278-Test1_Hand!$B$5)+Test1_Hand!$B$14</f>
        <v>6000</v>
      </c>
    </row>
    <row r="1279" customFormat="false" ht="15" hidden="false" customHeight="false" outlineLevel="0" collapsed="false">
      <c r="A1279" s="2" t="n">
        <v>1267</v>
      </c>
      <c r="B1279" s="22" t="n">
        <v>0.601164302306936</v>
      </c>
      <c r="C1279" s="22" t="n">
        <v>0.93286605153843</v>
      </c>
      <c r="D1279" s="23" t="n">
        <f aca="false">BETAINV(C1279,Test1_Hand!$B$21,Test1_Hand!$B$22,Test1_Hand!$B$9,Test1_Hand!$B$11)</f>
        <v>5.57537886834788</v>
      </c>
      <c r="E1279" s="2" t="n">
        <f aca="false">IF(B1279&lt;Test1_Hand!$B$12,1,0)</f>
        <v>0</v>
      </c>
      <c r="F1279" s="23" t="n">
        <f aca="false">Test1_Hand!$B$4+E1279*D1279</f>
        <v>16</v>
      </c>
      <c r="G1279" s="24" t="n">
        <f aca="false">Test1_Hand!$B$6*E1279*D1279+Test1_Hand!$B$7*MAX(0,F1279-Test1_Hand!$B$5)</f>
        <v>0</v>
      </c>
      <c r="H1279" s="2" t="n">
        <f aca="false">IF(B1279&lt;Test1_Hand!$B$13,1,0)</f>
        <v>0</v>
      </c>
      <c r="I1279" s="23" t="n">
        <f aca="false">Test1_Hand!$B$4+H1279*D1279</f>
        <v>16</v>
      </c>
      <c r="J1279" s="24" t="n">
        <f aca="false">Test1_Hand!$B$6*H1279*D1279+Test1_Hand!$B$7*MAX(0,I1279-Test1_Hand!$B$5)+Test1_Hand!$B$14</f>
        <v>6000</v>
      </c>
    </row>
    <row r="1280" customFormat="false" ht="15" hidden="false" customHeight="false" outlineLevel="0" collapsed="false">
      <c r="A1280" s="2" t="n">
        <v>1268</v>
      </c>
      <c r="B1280" s="22" t="n">
        <v>0.157307452860257</v>
      </c>
      <c r="C1280" s="22" t="n">
        <v>0.517370261353059</v>
      </c>
      <c r="D1280" s="23" t="n">
        <f aca="false">BETAINV(C1280,Test1_Hand!$B$21,Test1_Hand!$B$22,Test1_Hand!$B$9,Test1_Hand!$B$11)</f>
        <v>3.44415889031774</v>
      </c>
      <c r="E1280" s="2" t="n">
        <f aca="false">IF(B1280&lt;Test1_Hand!$B$12,1,0)</f>
        <v>1</v>
      </c>
      <c r="F1280" s="23" t="n">
        <f aca="false">Test1_Hand!$B$4+E1280*D1280</f>
        <v>19.4441588903177</v>
      </c>
      <c r="G1280" s="24" t="n">
        <f aca="false">Test1_Hand!$B$6*E1280*D1280+Test1_Hand!$B$7*MAX(0,F1280-Test1_Hand!$B$5)</f>
        <v>27553.2711225419</v>
      </c>
      <c r="H1280" s="2" t="n">
        <f aca="false">IF(B1280&lt;Test1_Hand!$B$13,1,0)</f>
        <v>1</v>
      </c>
      <c r="I1280" s="23" t="n">
        <f aca="false">Test1_Hand!$B$4+H1280*D1280</f>
        <v>19.4441588903177</v>
      </c>
      <c r="J1280" s="24" t="n">
        <f aca="false">Test1_Hand!$B$6*H1280*D1280+Test1_Hand!$B$7*MAX(0,I1280-Test1_Hand!$B$5)+Test1_Hand!$B$14</f>
        <v>33553.2711225419</v>
      </c>
    </row>
    <row r="1281" customFormat="false" ht="15" hidden="false" customHeight="false" outlineLevel="0" collapsed="false">
      <c r="A1281" s="2" t="n">
        <v>1269</v>
      </c>
      <c r="B1281" s="22" t="n">
        <v>0.371388705386832</v>
      </c>
      <c r="C1281" s="22" t="n">
        <v>0.0201785935823139</v>
      </c>
      <c r="D1281" s="23" t="n">
        <f aca="false">BETAINV(C1281,Test1_Hand!$B$21,Test1_Hand!$B$22,Test1_Hand!$B$9,Test1_Hand!$B$11)</f>
        <v>1.39997928408708</v>
      </c>
      <c r="E1281" s="2" t="n">
        <f aca="false">IF(B1281&lt;Test1_Hand!$B$12,1,0)</f>
        <v>1</v>
      </c>
      <c r="F1281" s="23" t="n">
        <f aca="false">Test1_Hand!$B$4+E1281*D1281</f>
        <v>17.3999792840871</v>
      </c>
      <c r="G1281" s="24" t="n">
        <f aca="false">Test1_Hand!$B$6*E1281*D1281+Test1_Hand!$B$7*MAX(0,F1281-Test1_Hand!$B$5)</f>
        <v>11199.8342726966</v>
      </c>
      <c r="H1281" s="2" t="n">
        <f aca="false">IF(B1281&lt;Test1_Hand!$B$13,1,0)</f>
        <v>0</v>
      </c>
      <c r="I1281" s="23" t="n">
        <f aca="false">Test1_Hand!$B$4+H1281*D1281</f>
        <v>16</v>
      </c>
      <c r="J1281" s="24" t="n">
        <f aca="false">Test1_Hand!$B$6*H1281*D1281+Test1_Hand!$B$7*MAX(0,I1281-Test1_Hand!$B$5)+Test1_Hand!$B$14</f>
        <v>6000</v>
      </c>
    </row>
    <row r="1282" customFormat="false" ht="15" hidden="false" customHeight="false" outlineLevel="0" collapsed="false">
      <c r="A1282" s="2" t="n">
        <v>1270</v>
      </c>
      <c r="B1282" s="22" t="n">
        <v>0.102067252081018</v>
      </c>
      <c r="C1282" s="22" t="n">
        <v>0.343752888900347</v>
      </c>
      <c r="D1282" s="23" t="n">
        <f aca="false">BETAINV(C1282,Test1_Hand!$B$21,Test1_Hand!$B$22,Test1_Hand!$B$9,Test1_Hand!$B$11)</f>
        <v>2.84235181402513</v>
      </c>
      <c r="E1282" s="2" t="n">
        <f aca="false">IF(B1282&lt;Test1_Hand!$B$12,1,0)</f>
        <v>1</v>
      </c>
      <c r="F1282" s="23" t="n">
        <f aca="false">Test1_Hand!$B$4+E1282*D1282</f>
        <v>18.8423518140251</v>
      </c>
      <c r="G1282" s="24" t="n">
        <f aca="false">Test1_Hand!$B$6*E1282*D1282+Test1_Hand!$B$7*MAX(0,F1282-Test1_Hand!$B$5)</f>
        <v>22738.814512201</v>
      </c>
      <c r="H1282" s="2" t="n">
        <f aca="false">IF(B1282&lt;Test1_Hand!$B$13,1,0)</f>
        <v>1</v>
      </c>
      <c r="I1282" s="23" t="n">
        <f aca="false">Test1_Hand!$B$4+H1282*D1282</f>
        <v>18.8423518140251</v>
      </c>
      <c r="J1282" s="24" t="n">
        <f aca="false">Test1_Hand!$B$6*H1282*D1282+Test1_Hand!$B$7*MAX(0,I1282-Test1_Hand!$B$5)+Test1_Hand!$B$14</f>
        <v>28738.814512201</v>
      </c>
    </row>
    <row r="1283" customFormat="false" ht="15" hidden="false" customHeight="false" outlineLevel="0" collapsed="false">
      <c r="A1283" s="2" t="n">
        <v>1271</v>
      </c>
      <c r="B1283" s="22" t="n">
        <v>0.855917450474342</v>
      </c>
      <c r="C1283" s="22" t="n">
        <v>0.850872549157031</v>
      </c>
      <c r="D1283" s="23" t="n">
        <f aca="false">BETAINV(C1283,Test1_Hand!$B$21,Test1_Hand!$B$22,Test1_Hand!$B$9,Test1_Hand!$B$11)</f>
        <v>4.92148195702383</v>
      </c>
      <c r="E1283" s="2" t="n">
        <f aca="false">IF(B1283&lt;Test1_Hand!$B$12,1,0)</f>
        <v>0</v>
      </c>
      <c r="F1283" s="23" t="n">
        <f aca="false">Test1_Hand!$B$4+E1283*D1283</f>
        <v>16</v>
      </c>
      <c r="G1283" s="24" t="n">
        <f aca="false">Test1_Hand!$B$6*E1283*D1283+Test1_Hand!$B$7*MAX(0,F1283-Test1_Hand!$B$5)</f>
        <v>0</v>
      </c>
      <c r="H1283" s="2" t="n">
        <f aca="false">IF(B1283&lt;Test1_Hand!$B$13,1,0)</f>
        <v>0</v>
      </c>
      <c r="I1283" s="23" t="n">
        <f aca="false">Test1_Hand!$B$4+H1283*D1283</f>
        <v>16</v>
      </c>
      <c r="J1283" s="24" t="n">
        <f aca="false">Test1_Hand!$B$6*H1283*D1283+Test1_Hand!$B$7*MAX(0,I1283-Test1_Hand!$B$5)+Test1_Hand!$B$14</f>
        <v>6000</v>
      </c>
    </row>
    <row r="1284" customFormat="false" ht="15" hidden="false" customHeight="false" outlineLevel="0" collapsed="false">
      <c r="A1284" s="2" t="n">
        <v>1272</v>
      </c>
      <c r="B1284" s="22" t="n">
        <v>0.31590385423864</v>
      </c>
      <c r="C1284" s="22" t="n">
        <v>0.721959403554698</v>
      </c>
      <c r="D1284" s="23" t="n">
        <f aca="false">BETAINV(C1284,Test1_Hand!$B$21,Test1_Hand!$B$22,Test1_Hand!$B$9,Test1_Hand!$B$11)</f>
        <v>4.24588634270092</v>
      </c>
      <c r="E1284" s="2" t="n">
        <f aca="false">IF(B1284&lt;Test1_Hand!$B$12,1,0)</f>
        <v>1</v>
      </c>
      <c r="F1284" s="23" t="n">
        <f aca="false">Test1_Hand!$B$4+E1284*D1284</f>
        <v>20.2458863427009</v>
      </c>
      <c r="G1284" s="24" t="n">
        <f aca="false">Test1_Hand!$B$6*E1284*D1284+Test1_Hand!$B$7*MAX(0,F1284-Test1_Hand!$B$5)</f>
        <v>35196.522455112</v>
      </c>
      <c r="H1284" s="2" t="n">
        <f aca="false">IF(B1284&lt;Test1_Hand!$B$13,1,0)</f>
        <v>0</v>
      </c>
      <c r="I1284" s="23" t="n">
        <f aca="false">Test1_Hand!$B$4+H1284*D1284</f>
        <v>16</v>
      </c>
      <c r="J1284" s="24" t="n">
        <f aca="false">Test1_Hand!$B$6*H1284*D1284+Test1_Hand!$B$7*MAX(0,I1284-Test1_Hand!$B$5)+Test1_Hand!$B$14</f>
        <v>6000</v>
      </c>
    </row>
    <row r="1285" customFormat="false" ht="15" hidden="false" customHeight="false" outlineLevel="0" collapsed="false">
      <c r="A1285" s="2" t="n">
        <v>1273</v>
      </c>
      <c r="B1285" s="22" t="n">
        <v>0.58627904504186</v>
      </c>
      <c r="C1285" s="22" t="n">
        <v>0.83075742282343</v>
      </c>
      <c r="D1285" s="23" t="n">
        <f aca="false">BETAINV(C1285,Test1_Hand!$B$21,Test1_Hand!$B$22,Test1_Hand!$B$9,Test1_Hand!$B$11)</f>
        <v>4.79841770207943</v>
      </c>
      <c r="E1285" s="2" t="n">
        <f aca="false">IF(B1285&lt;Test1_Hand!$B$12,1,0)</f>
        <v>0</v>
      </c>
      <c r="F1285" s="23" t="n">
        <f aca="false">Test1_Hand!$B$4+E1285*D1285</f>
        <v>16</v>
      </c>
      <c r="G1285" s="24" t="n">
        <f aca="false">Test1_Hand!$B$6*E1285*D1285+Test1_Hand!$B$7*MAX(0,F1285-Test1_Hand!$B$5)</f>
        <v>0</v>
      </c>
      <c r="H1285" s="2" t="n">
        <f aca="false">IF(B1285&lt;Test1_Hand!$B$13,1,0)</f>
        <v>0</v>
      </c>
      <c r="I1285" s="23" t="n">
        <f aca="false">Test1_Hand!$B$4+H1285*D1285</f>
        <v>16</v>
      </c>
      <c r="J1285" s="24" t="n">
        <f aca="false">Test1_Hand!$B$6*H1285*D1285+Test1_Hand!$B$7*MAX(0,I1285-Test1_Hand!$B$5)+Test1_Hand!$B$14</f>
        <v>6000</v>
      </c>
    </row>
    <row r="1286" customFormat="false" ht="15" hidden="false" customHeight="false" outlineLevel="0" collapsed="false">
      <c r="A1286" s="2" t="n">
        <v>1274</v>
      </c>
      <c r="B1286" s="22" t="n">
        <v>0.770150087913106</v>
      </c>
      <c r="C1286" s="22" t="n">
        <v>0.317838461568833</v>
      </c>
      <c r="D1286" s="23" t="n">
        <f aca="false">BETAINV(C1286,Test1_Hand!$B$21,Test1_Hand!$B$22,Test1_Hand!$B$9,Test1_Hand!$B$11)</f>
        <v>2.75259905366187</v>
      </c>
      <c r="E1286" s="2" t="n">
        <f aca="false">IF(B1286&lt;Test1_Hand!$B$12,1,0)</f>
        <v>0</v>
      </c>
      <c r="F1286" s="23" t="n">
        <f aca="false">Test1_Hand!$B$4+E1286*D1286</f>
        <v>16</v>
      </c>
      <c r="G1286" s="24" t="n">
        <f aca="false">Test1_Hand!$B$6*E1286*D1286+Test1_Hand!$B$7*MAX(0,F1286-Test1_Hand!$B$5)</f>
        <v>0</v>
      </c>
      <c r="H1286" s="2" t="n">
        <f aca="false">IF(B1286&lt;Test1_Hand!$B$13,1,0)</f>
        <v>0</v>
      </c>
      <c r="I1286" s="23" t="n">
        <f aca="false">Test1_Hand!$B$4+H1286*D1286</f>
        <v>16</v>
      </c>
      <c r="J1286" s="24" t="n">
        <f aca="false">Test1_Hand!$B$6*H1286*D1286+Test1_Hand!$B$7*MAX(0,I1286-Test1_Hand!$B$5)+Test1_Hand!$B$14</f>
        <v>6000</v>
      </c>
    </row>
    <row r="1287" customFormat="false" ht="15" hidden="false" customHeight="false" outlineLevel="0" collapsed="false">
      <c r="A1287" s="2" t="n">
        <v>1275</v>
      </c>
      <c r="B1287" s="22" t="n">
        <v>0.87124708699213</v>
      </c>
      <c r="C1287" s="22" t="n">
        <v>0.68417823507328</v>
      </c>
      <c r="D1287" s="23" t="n">
        <f aca="false">BETAINV(C1287,Test1_Hand!$B$21,Test1_Hand!$B$22,Test1_Hand!$B$9,Test1_Hand!$B$11)</f>
        <v>4.08211417015143</v>
      </c>
      <c r="E1287" s="2" t="n">
        <f aca="false">IF(B1287&lt;Test1_Hand!$B$12,1,0)</f>
        <v>0</v>
      </c>
      <c r="F1287" s="23" t="n">
        <f aca="false">Test1_Hand!$B$4+E1287*D1287</f>
        <v>16</v>
      </c>
      <c r="G1287" s="24" t="n">
        <f aca="false">Test1_Hand!$B$6*E1287*D1287+Test1_Hand!$B$7*MAX(0,F1287-Test1_Hand!$B$5)</f>
        <v>0</v>
      </c>
      <c r="H1287" s="2" t="n">
        <f aca="false">IF(B1287&lt;Test1_Hand!$B$13,1,0)</f>
        <v>0</v>
      </c>
      <c r="I1287" s="23" t="n">
        <f aca="false">Test1_Hand!$B$4+H1287*D1287</f>
        <v>16</v>
      </c>
      <c r="J1287" s="24" t="n">
        <f aca="false">Test1_Hand!$B$6*H1287*D1287+Test1_Hand!$B$7*MAX(0,I1287-Test1_Hand!$B$5)+Test1_Hand!$B$14</f>
        <v>6000</v>
      </c>
    </row>
    <row r="1288" customFormat="false" ht="15" hidden="false" customHeight="false" outlineLevel="0" collapsed="false">
      <c r="A1288" s="2" t="n">
        <v>1276</v>
      </c>
      <c r="B1288" s="22" t="n">
        <v>0.123039109162038</v>
      </c>
      <c r="C1288" s="22" t="n">
        <v>0.0865172119444906</v>
      </c>
      <c r="D1288" s="23" t="n">
        <f aca="false">BETAINV(C1288,Test1_Hand!$B$21,Test1_Hand!$B$22,Test1_Hand!$B$9,Test1_Hand!$B$11)</f>
        <v>1.83743202140918</v>
      </c>
      <c r="E1288" s="2" t="n">
        <f aca="false">IF(B1288&lt;Test1_Hand!$B$12,1,0)</f>
        <v>1</v>
      </c>
      <c r="F1288" s="23" t="n">
        <f aca="false">Test1_Hand!$B$4+E1288*D1288</f>
        <v>17.8374320214092</v>
      </c>
      <c r="G1288" s="24" t="n">
        <f aca="false">Test1_Hand!$B$6*E1288*D1288+Test1_Hand!$B$7*MAX(0,F1288-Test1_Hand!$B$5)</f>
        <v>14699.4561712735</v>
      </c>
      <c r="H1288" s="2" t="n">
        <f aca="false">IF(B1288&lt;Test1_Hand!$B$13,1,0)</f>
        <v>1</v>
      </c>
      <c r="I1288" s="23" t="n">
        <f aca="false">Test1_Hand!$B$4+H1288*D1288</f>
        <v>17.8374320214092</v>
      </c>
      <c r="J1288" s="24" t="n">
        <f aca="false">Test1_Hand!$B$6*H1288*D1288+Test1_Hand!$B$7*MAX(0,I1288-Test1_Hand!$B$5)+Test1_Hand!$B$14</f>
        <v>20699.4561712735</v>
      </c>
    </row>
    <row r="1289" customFormat="false" ht="15" hidden="false" customHeight="false" outlineLevel="0" collapsed="false">
      <c r="A1289" s="2" t="n">
        <v>1277</v>
      </c>
      <c r="B1289" s="22" t="n">
        <v>0.0617976022522518</v>
      </c>
      <c r="C1289" s="22" t="n">
        <v>0.799347440894268</v>
      </c>
      <c r="D1289" s="23" t="n">
        <f aca="false">BETAINV(C1289,Test1_Hand!$B$21,Test1_Hand!$B$22,Test1_Hand!$B$9,Test1_Hand!$B$11)</f>
        <v>4.62239091017766</v>
      </c>
      <c r="E1289" s="2" t="n">
        <f aca="false">IF(B1289&lt;Test1_Hand!$B$12,1,0)</f>
        <v>1</v>
      </c>
      <c r="F1289" s="23" t="n">
        <f aca="false">Test1_Hand!$B$4+E1289*D1289</f>
        <v>20.6223909101777</v>
      </c>
      <c r="G1289" s="24" t="n">
        <f aca="false">Test1_Hand!$B$6*E1289*D1289+Test1_Hand!$B$7*MAX(0,F1289-Test1_Hand!$B$5)</f>
        <v>40091.0818323096</v>
      </c>
      <c r="H1289" s="2" t="n">
        <f aca="false">IF(B1289&lt;Test1_Hand!$B$13,1,0)</f>
        <v>1</v>
      </c>
      <c r="I1289" s="23" t="n">
        <f aca="false">Test1_Hand!$B$4+H1289*D1289</f>
        <v>20.6223909101777</v>
      </c>
      <c r="J1289" s="24" t="n">
        <f aca="false">Test1_Hand!$B$6*H1289*D1289+Test1_Hand!$B$7*MAX(0,I1289-Test1_Hand!$B$5)+Test1_Hand!$B$14</f>
        <v>46091.0818323096</v>
      </c>
    </row>
    <row r="1290" customFormat="false" ht="15" hidden="false" customHeight="false" outlineLevel="0" collapsed="false">
      <c r="A1290" s="2" t="n">
        <v>1278</v>
      </c>
      <c r="B1290" s="22" t="n">
        <v>0.499979152239001</v>
      </c>
      <c r="C1290" s="22" t="n">
        <v>0.0961173555413133</v>
      </c>
      <c r="D1290" s="23" t="n">
        <f aca="false">BETAINV(C1290,Test1_Hand!$B$21,Test1_Hand!$B$22,Test1_Hand!$B$9,Test1_Hand!$B$11)</f>
        <v>1.88546405797827</v>
      </c>
      <c r="E1290" s="2" t="n">
        <f aca="false">IF(B1290&lt;Test1_Hand!$B$12,1,0)</f>
        <v>1</v>
      </c>
      <c r="F1290" s="23" t="n">
        <f aca="false">Test1_Hand!$B$4+E1290*D1290</f>
        <v>17.8854640579783</v>
      </c>
      <c r="G1290" s="24" t="n">
        <f aca="false">Test1_Hand!$B$6*E1290*D1290+Test1_Hand!$B$7*MAX(0,F1290-Test1_Hand!$B$5)</f>
        <v>15083.7124638262</v>
      </c>
      <c r="H1290" s="2" t="n">
        <f aca="false">IF(B1290&lt;Test1_Hand!$B$13,1,0)</f>
        <v>0</v>
      </c>
      <c r="I1290" s="23" t="n">
        <f aca="false">Test1_Hand!$B$4+H1290*D1290</f>
        <v>16</v>
      </c>
      <c r="J1290" s="24" t="n">
        <f aca="false">Test1_Hand!$B$6*H1290*D1290+Test1_Hand!$B$7*MAX(0,I1290-Test1_Hand!$B$5)+Test1_Hand!$B$14</f>
        <v>6000</v>
      </c>
    </row>
    <row r="1291" customFormat="false" ht="15" hidden="false" customHeight="false" outlineLevel="0" collapsed="false">
      <c r="A1291" s="2" t="n">
        <v>1279</v>
      </c>
      <c r="B1291" s="22" t="n">
        <v>0.645375751413163</v>
      </c>
      <c r="C1291" s="22" t="n">
        <v>0.657932013551513</v>
      </c>
      <c r="D1291" s="23" t="n">
        <f aca="false">BETAINV(C1291,Test1_Hand!$B$21,Test1_Hand!$B$22,Test1_Hand!$B$9,Test1_Hand!$B$11)</f>
        <v>3.97382995307411</v>
      </c>
      <c r="E1291" s="2" t="n">
        <f aca="false">IF(B1291&lt;Test1_Hand!$B$12,1,0)</f>
        <v>0</v>
      </c>
      <c r="F1291" s="23" t="n">
        <f aca="false">Test1_Hand!$B$4+E1291*D1291</f>
        <v>16</v>
      </c>
      <c r="G1291" s="24" t="n">
        <f aca="false">Test1_Hand!$B$6*E1291*D1291+Test1_Hand!$B$7*MAX(0,F1291-Test1_Hand!$B$5)</f>
        <v>0</v>
      </c>
      <c r="H1291" s="2" t="n">
        <f aca="false">IF(B1291&lt;Test1_Hand!$B$13,1,0)</f>
        <v>0</v>
      </c>
      <c r="I1291" s="23" t="n">
        <f aca="false">Test1_Hand!$B$4+H1291*D1291</f>
        <v>16</v>
      </c>
      <c r="J1291" s="24" t="n">
        <f aca="false">Test1_Hand!$B$6*H1291*D1291+Test1_Hand!$B$7*MAX(0,I1291-Test1_Hand!$B$5)+Test1_Hand!$B$14</f>
        <v>6000</v>
      </c>
    </row>
    <row r="1292" customFormat="false" ht="15" hidden="false" customHeight="false" outlineLevel="0" collapsed="false">
      <c r="A1292" s="2" t="n">
        <v>1280</v>
      </c>
      <c r="B1292" s="22" t="n">
        <v>0.879180329216331</v>
      </c>
      <c r="C1292" s="22" t="n">
        <v>0.623871088855498</v>
      </c>
      <c r="D1292" s="23" t="n">
        <f aca="false">BETAINV(C1292,Test1_Hand!$B$21,Test1_Hand!$B$22,Test1_Hand!$B$9,Test1_Hand!$B$11)</f>
        <v>3.83871660154158</v>
      </c>
      <c r="E1292" s="2" t="n">
        <f aca="false">IF(B1292&lt;Test1_Hand!$B$12,1,0)</f>
        <v>0</v>
      </c>
      <c r="F1292" s="23" t="n">
        <f aca="false">Test1_Hand!$B$4+E1292*D1292</f>
        <v>16</v>
      </c>
      <c r="G1292" s="24" t="n">
        <f aca="false">Test1_Hand!$B$6*E1292*D1292+Test1_Hand!$B$7*MAX(0,F1292-Test1_Hand!$B$5)</f>
        <v>0</v>
      </c>
      <c r="H1292" s="2" t="n">
        <f aca="false">IF(B1292&lt;Test1_Hand!$B$13,1,0)</f>
        <v>0</v>
      </c>
      <c r="I1292" s="23" t="n">
        <f aca="false">Test1_Hand!$B$4+H1292*D1292</f>
        <v>16</v>
      </c>
      <c r="J1292" s="24" t="n">
        <f aca="false">Test1_Hand!$B$6*H1292*D1292+Test1_Hand!$B$7*MAX(0,I1292-Test1_Hand!$B$5)+Test1_Hand!$B$14</f>
        <v>6000</v>
      </c>
    </row>
    <row r="1293" customFormat="false" ht="15" hidden="false" customHeight="false" outlineLevel="0" collapsed="false">
      <c r="A1293" s="2" t="n">
        <v>1281</v>
      </c>
      <c r="B1293" s="22" t="n">
        <v>0.999475870964766</v>
      </c>
      <c r="C1293" s="22" t="n">
        <v>0.552156322302509</v>
      </c>
      <c r="D1293" s="23" t="n">
        <f aca="false">BETAINV(C1293,Test1_Hand!$B$21,Test1_Hand!$B$22,Test1_Hand!$B$9,Test1_Hand!$B$11)</f>
        <v>3.56939048796586</v>
      </c>
      <c r="E1293" s="2" t="n">
        <f aca="false">IF(B1293&lt;Test1_Hand!$B$12,1,0)</f>
        <v>0</v>
      </c>
      <c r="F1293" s="23" t="n">
        <f aca="false">Test1_Hand!$B$4+E1293*D1293</f>
        <v>16</v>
      </c>
      <c r="G1293" s="24" t="n">
        <f aca="false">Test1_Hand!$B$6*E1293*D1293+Test1_Hand!$B$7*MAX(0,F1293-Test1_Hand!$B$5)</f>
        <v>0</v>
      </c>
      <c r="H1293" s="2" t="n">
        <f aca="false">IF(B1293&lt;Test1_Hand!$B$13,1,0)</f>
        <v>0</v>
      </c>
      <c r="I1293" s="23" t="n">
        <f aca="false">Test1_Hand!$B$4+H1293*D1293</f>
        <v>16</v>
      </c>
      <c r="J1293" s="24" t="n">
        <f aca="false">Test1_Hand!$B$6*H1293*D1293+Test1_Hand!$B$7*MAX(0,I1293-Test1_Hand!$B$5)+Test1_Hand!$B$14</f>
        <v>6000</v>
      </c>
    </row>
    <row r="1294" customFormat="false" ht="15" hidden="false" customHeight="false" outlineLevel="0" collapsed="false">
      <c r="A1294" s="2" t="n">
        <v>1282</v>
      </c>
      <c r="B1294" s="22" t="n">
        <v>0.457967844763561</v>
      </c>
      <c r="C1294" s="22" t="n">
        <v>0.813582644461898</v>
      </c>
      <c r="D1294" s="23" t="n">
        <f aca="false">BETAINV(C1294,Test1_Hand!$B$21,Test1_Hand!$B$22,Test1_Hand!$B$9,Test1_Hand!$B$11)</f>
        <v>4.70002760834031</v>
      </c>
      <c r="E1294" s="2" t="n">
        <f aca="false">IF(B1294&lt;Test1_Hand!$B$12,1,0)</f>
        <v>1</v>
      </c>
      <c r="F1294" s="23" t="n">
        <f aca="false">Test1_Hand!$B$4+E1294*D1294</f>
        <v>20.7000276083403</v>
      </c>
      <c r="G1294" s="24" t="n">
        <f aca="false">Test1_Hand!$B$6*E1294*D1294+Test1_Hand!$B$7*MAX(0,F1294-Test1_Hand!$B$5)</f>
        <v>41100.358908424</v>
      </c>
      <c r="H1294" s="2" t="n">
        <f aca="false">IF(B1294&lt;Test1_Hand!$B$13,1,0)</f>
        <v>0</v>
      </c>
      <c r="I1294" s="23" t="n">
        <f aca="false">Test1_Hand!$B$4+H1294*D1294</f>
        <v>16</v>
      </c>
      <c r="J1294" s="24" t="n">
        <f aca="false">Test1_Hand!$B$6*H1294*D1294+Test1_Hand!$B$7*MAX(0,I1294-Test1_Hand!$B$5)+Test1_Hand!$B$14</f>
        <v>6000</v>
      </c>
    </row>
    <row r="1295" customFormat="false" ht="15" hidden="false" customHeight="false" outlineLevel="0" collapsed="false">
      <c r="A1295" s="2" t="n">
        <v>1283</v>
      </c>
      <c r="B1295" s="22" t="n">
        <v>0.264123442132201</v>
      </c>
      <c r="C1295" s="22" t="n">
        <v>0.247207160148799</v>
      </c>
      <c r="D1295" s="23" t="n">
        <f aca="false">BETAINV(C1295,Test1_Hand!$B$21,Test1_Hand!$B$22,Test1_Hand!$B$9,Test1_Hand!$B$11)</f>
        <v>2.50232143859762</v>
      </c>
      <c r="E1295" s="2" t="n">
        <f aca="false">IF(B1295&lt;Test1_Hand!$B$12,1,0)</f>
        <v>1</v>
      </c>
      <c r="F1295" s="23" t="n">
        <f aca="false">Test1_Hand!$B$4+E1295*D1295</f>
        <v>18.5023214385976</v>
      </c>
      <c r="G1295" s="24" t="n">
        <f aca="false">Test1_Hand!$B$6*E1295*D1295+Test1_Hand!$B$7*MAX(0,F1295-Test1_Hand!$B$5)</f>
        <v>20018.5715087809</v>
      </c>
      <c r="H1295" s="2" t="n">
        <f aca="false">IF(B1295&lt;Test1_Hand!$B$13,1,0)</f>
        <v>0</v>
      </c>
      <c r="I1295" s="23" t="n">
        <f aca="false">Test1_Hand!$B$4+H1295*D1295</f>
        <v>16</v>
      </c>
      <c r="J1295" s="24" t="n">
        <f aca="false">Test1_Hand!$B$6*H1295*D1295+Test1_Hand!$B$7*MAX(0,I1295-Test1_Hand!$B$5)+Test1_Hand!$B$14</f>
        <v>6000</v>
      </c>
    </row>
    <row r="1296" customFormat="false" ht="15" hidden="false" customHeight="false" outlineLevel="0" collapsed="false">
      <c r="A1296" s="2" t="n">
        <v>1284</v>
      </c>
      <c r="B1296" s="22" t="n">
        <v>0.723497030193772</v>
      </c>
      <c r="C1296" s="22" t="n">
        <v>0.838778557601423</v>
      </c>
      <c r="D1296" s="23" t="n">
        <f aca="false">BETAINV(C1296,Test1_Hand!$B$21,Test1_Hand!$B$22,Test1_Hand!$B$9,Test1_Hand!$B$11)</f>
        <v>4.84638551130171</v>
      </c>
      <c r="E1296" s="2" t="n">
        <f aca="false">IF(B1296&lt;Test1_Hand!$B$12,1,0)</f>
        <v>0</v>
      </c>
      <c r="F1296" s="23" t="n">
        <f aca="false">Test1_Hand!$B$4+E1296*D1296</f>
        <v>16</v>
      </c>
      <c r="G1296" s="24" t="n">
        <f aca="false">Test1_Hand!$B$6*E1296*D1296+Test1_Hand!$B$7*MAX(0,F1296-Test1_Hand!$B$5)</f>
        <v>0</v>
      </c>
      <c r="H1296" s="2" t="n">
        <f aca="false">IF(B1296&lt;Test1_Hand!$B$13,1,0)</f>
        <v>0</v>
      </c>
      <c r="I1296" s="23" t="n">
        <f aca="false">Test1_Hand!$B$4+H1296*D1296</f>
        <v>16</v>
      </c>
      <c r="J1296" s="24" t="n">
        <f aca="false">Test1_Hand!$B$6*H1296*D1296+Test1_Hand!$B$7*MAX(0,I1296-Test1_Hand!$B$5)+Test1_Hand!$B$14</f>
        <v>6000</v>
      </c>
    </row>
    <row r="1297" customFormat="false" ht="15" hidden="false" customHeight="false" outlineLevel="0" collapsed="false">
      <c r="A1297" s="2" t="n">
        <v>1285</v>
      </c>
      <c r="B1297" s="22" t="n">
        <v>0.681025593368546</v>
      </c>
      <c r="C1297" s="22" t="n">
        <v>0.217201263455458</v>
      </c>
      <c r="D1297" s="23" t="n">
        <f aca="false">BETAINV(C1297,Test1_Hand!$B$21,Test1_Hand!$B$22,Test1_Hand!$B$9,Test1_Hand!$B$11)</f>
        <v>2.39178124859537</v>
      </c>
      <c r="E1297" s="2" t="n">
        <f aca="false">IF(B1297&lt;Test1_Hand!$B$12,1,0)</f>
        <v>0</v>
      </c>
      <c r="F1297" s="23" t="n">
        <f aca="false">Test1_Hand!$B$4+E1297*D1297</f>
        <v>16</v>
      </c>
      <c r="G1297" s="24" t="n">
        <f aca="false">Test1_Hand!$B$6*E1297*D1297+Test1_Hand!$B$7*MAX(0,F1297-Test1_Hand!$B$5)</f>
        <v>0</v>
      </c>
      <c r="H1297" s="2" t="n">
        <f aca="false">IF(B1297&lt;Test1_Hand!$B$13,1,0)</f>
        <v>0</v>
      </c>
      <c r="I1297" s="23" t="n">
        <f aca="false">Test1_Hand!$B$4+H1297*D1297</f>
        <v>16</v>
      </c>
      <c r="J1297" s="24" t="n">
        <f aca="false">Test1_Hand!$B$6*H1297*D1297+Test1_Hand!$B$7*MAX(0,I1297-Test1_Hand!$B$5)+Test1_Hand!$B$14</f>
        <v>6000</v>
      </c>
    </row>
    <row r="1298" customFormat="false" ht="15" hidden="false" customHeight="false" outlineLevel="0" collapsed="false">
      <c r="A1298" s="2" t="n">
        <v>1286</v>
      </c>
      <c r="B1298" s="22" t="n">
        <v>0.558197563956784</v>
      </c>
      <c r="C1298" s="22" t="n">
        <v>0.0870164987518023</v>
      </c>
      <c r="D1298" s="23" t="n">
        <f aca="false">BETAINV(C1298,Test1_Hand!$B$21,Test1_Hand!$B$22,Test1_Hand!$B$9,Test1_Hand!$B$11)</f>
        <v>1.83998036263249</v>
      </c>
      <c r="E1298" s="2" t="n">
        <f aca="false">IF(B1298&lt;Test1_Hand!$B$12,1,0)</f>
        <v>0</v>
      </c>
      <c r="F1298" s="23" t="n">
        <f aca="false">Test1_Hand!$B$4+E1298*D1298</f>
        <v>16</v>
      </c>
      <c r="G1298" s="24" t="n">
        <f aca="false">Test1_Hand!$B$6*E1298*D1298+Test1_Hand!$B$7*MAX(0,F1298-Test1_Hand!$B$5)</f>
        <v>0</v>
      </c>
      <c r="H1298" s="2" t="n">
        <f aca="false">IF(B1298&lt;Test1_Hand!$B$13,1,0)</f>
        <v>0</v>
      </c>
      <c r="I1298" s="23" t="n">
        <f aca="false">Test1_Hand!$B$4+H1298*D1298</f>
        <v>16</v>
      </c>
      <c r="J1298" s="24" t="n">
        <f aca="false">Test1_Hand!$B$6*H1298*D1298+Test1_Hand!$B$7*MAX(0,I1298-Test1_Hand!$B$5)+Test1_Hand!$B$14</f>
        <v>6000</v>
      </c>
    </row>
    <row r="1299" customFormat="false" ht="15" hidden="false" customHeight="false" outlineLevel="0" collapsed="false">
      <c r="A1299" s="2" t="n">
        <v>1287</v>
      </c>
      <c r="B1299" s="22" t="n">
        <v>0.859114271201893</v>
      </c>
      <c r="C1299" s="22" t="n">
        <v>0.968834501006538</v>
      </c>
      <c r="D1299" s="23" t="n">
        <f aca="false">BETAINV(C1299,Test1_Hand!$B$21,Test1_Hand!$B$22,Test1_Hand!$B$9,Test1_Hand!$B$11)</f>
        <v>6.05483476396533</v>
      </c>
      <c r="E1299" s="2" t="n">
        <f aca="false">IF(B1299&lt;Test1_Hand!$B$12,1,0)</f>
        <v>0</v>
      </c>
      <c r="F1299" s="23" t="n">
        <f aca="false">Test1_Hand!$B$4+E1299*D1299</f>
        <v>16</v>
      </c>
      <c r="G1299" s="24" t="n">
        <f aca="false">Test1_Hand!$B$6*E1299*D1299+Test1_Hand!$B$7*MAX(0,F1299-Test1_Hand!$B$5)</f>
        <v>0</v>
      </c>
      <c r="H1299" s="2" t="n">
        <f aca="false">IF(B1299&lt;Test1_Hand!$B$13,1,0)</f>
        <v>0</v>
      </c>
      <c r="I1299" s="23" t="n">
        <f aca="false">Test1_Hand!$B$4+H1299*D1299</f>
        <v>16</v>
      </c>
      <c r="J1299" s="24" t="n">
        <f aca="false">Test1_Hand!$B$6*H1299*D1299+Test1_Hand!$B$7*MAX(0,I1299-Test1_Hand!$B$5)+Test1_Hand!$B$14</f>
        <v>6000</v>
      </c>
    </row>
    <row r="1300" customFormat="false" ht="15" hidden="false" customHeight="false" outlineLevel="0" collapsed="false">
      <c r="A1300" s="2" t="n">
        <v>1288</v>
      </c>
      <c r="B1300" s="22" t="n">
        <v>0.0185423551567108</v>
      </c>
      <c r="C1300" s="22" t="n">
        <v>0.390191676061969</v>
      </c>
      <c r="D1300" s="23" t="n">
        <f aca="false">BETAINV(C1300,Test1_Hand!$B$21,Test1_Hand!$B$22,Test1_Hand!$B$9,Test1_Hand!$B$11)</f>
        <v>3.00205989928616</v>
      </c>
      <c r="E1300" s="2" t="n">
        <f aca="false">IF(B1300&lt;Test1_Hand!$B$12,1,0)</f>
        <v>1</v>
      </c>
      <c r="F1300" s="23" t="n">
        <f aca="false">Test1_Hand!$B$4+E1300*D1300</f>
        <v>19.0020598992862</v>
      </c>
      <c r="G1300" s="24" t="n">
        <f aca="false">Test1_Hand!$B$6*E1300*D1300+Test1_Hand!$B$7*MAX(0,F1300-Test1_Hand!$B$5)</f>
        <v>24016.4791942893</v>
      </c>
      <c r="H1300" s="2" t="n">
        <f aca="false">IF(B1300&lt;Test1_Hand!$B$13,1,0)</f>
        <v>1</v>
      </c>
      <c r="I1300" s="23" t="n">
        <f aca="false">Test1_Hand!$B$4+H1300*D1300</f>
        <v>19.0020598992862</v>
      </c>
      <c r="J1300" s="24" t="n">
        <f aca="false">Test1_Hand!$B$6*H1300*D1300+Test1_Hand!$B$7*MAX(0,I1300-Test1_Hand!$B$5)+Test1_Hand!$B$14</f>
        <v>30016.4791942893</v>
      </c>
    </row>
    <row r="1301" customFormat="false" ht="15" hidden="false" customHeight="false" outlineLevel="0" collapsed="false">
      <c r="A1301" s="2" t="n">
        <v>1289</v>
      </c>
      <c r="B1301" s="22" t="n">
        <v>0.863565983623001</v>
      </c>
      <c r="C1301" s="22" t="n">
        <v>0.848806784722903</v>
      </c>
      <c r="D1301" s="23" t="n">
        <f aca="false">BETAINV(C1301,Test1_Hand!$B$21,Test1_Hand!$B$22,Test1_Hand!$B$9,Test1_Hand!$B$11)</f>
        <v>4.90840234167883</v>
      </c>
      <c r="E1301" s="2" t="n">
        <f aca="false">IF(B1301&lt;Test1_Hand!$B$12,1,0)</f>
        <v>0</v>
      </c>
      <c r="F1301" s="23" t="n">
        <f aca="false">Test1_Hand!$B$4+E1301*D1301</f>
        <v>16</v>
      </c>
      <c r="G1301" s="24" t="n">
        <f aca="false">Test1_Hand!$B$6*E1301*D1301+Test1_Hand!$B$7*MAX(0,F1301-Test1_Hand!$B$5)</f>
        <v>0</v>
      </c>
      <c r="H1301" s="2" t="n">
        <f aca="false">IF(B1301&lt;Test1_Hand!$B$13,1,0)</f>
        <v>0</v>
      </c>
      <c r="I1301" s="23" t="n">
        <f aca="false">Test1_Hand!$B$4+H1301*D1301</f>
        <v>16</v>
      </c>
      <c r="J1301" s="24" t="n">
        <f aca="false">Test1_Hand!$B$6*H1301*D1301+Test1_Hand!$B$7*MAX(0,I1301-Test1_Hand!$B$5)+Test1_Hand!$B$14</f>
        <v>6000</v>
      </c>
    </row>
    <row r="1302" customFormat="false" ht="15" hidden="false" customHeight="false" outlineLevel="0" collapsed="false">
      <c r="A1302" s="2" t="n">
        <v>1290</v>
      </c>
      <c r="B1302" s="22" t="n">
        <v>0.366290812564849</v>
      </c>
      <c r="C1302" s="22" t="n">
        <v>0.241035430966478</v>
      </c>
      <c r="D1302" s="23" t="n">
        <f aca="false">BETAINV(C1302,Test1_Hand!$B$21,Test1_Hand!$B$22,Test1_Hand!$B$9,Test1_Hand!$B$11)</f>
        <v>2.47985152288587</v>
      </c>
      <c r="E1302" s="2" t="n">
        <f aca="false">IF(B1302&lt;Test1_Hand!$B$12,1,0)</f>
        <v>1</v>
      </c>
      <c r="F1302" s="23" t="n">
        <f aca="false">Test1_Hand!$B$4+E1302*D1302</f>
        <v>18.4798515228859</v>
      </c>
      <c r="G1302" s="24" t="n">
        <f aca="false">Test1_Hand!$B$6*E1302*D1302+Test1_Hand!$B$7*MAX(0,F1302-Test1_Hand!$B$5)</f>
        <v>19838.812183087</v>
      </c>
      <c r="H1302" s="2" t="n">
        <f aca="false">IF(B1302&lt;Test1_Hand!$B$13,1,0)</f>
        <v>0</v>
      </c>
      <c r="I1302" s="23" t="n">
        <f aca="false">Test1_Hand!$B$4+H1302*D1302</f>
        <v>16</v>
      </c>
      <c r="J1302" s="24" t="n">
        <f aca="false">Test1_Hand!$B$6*H1302*D1302+Test1_Hand!$B$7*MAX(0,I1302-Test1_Hand!$B$5)+Test1_Hand!$B$14</f>
        <v>6000</v>
      </c>
    </row>
    <row r="1303" customFormat="false" ht="15" hidden="false" customHeight="false" outlineLevel="0" collapsed="false">
      <c r="A1303" s="2" t="n">
        <v>1291</v>
      </c>
      <c r="B1303" s="22" t="n">
        <v>0.576024566591733</v>
      </c>
      <c r="C1303" s="22" t="n">
        <v>0.38614996038247</v>
      </c>
      <c r="D1303" s="23" t="n">
        <f aca="false">BETAINV(C1303,Test1_Hand!$B$21,Test1_Hand!$B$22,Test1_Hand!$B$9,Test1_Hand!$B$11)</f>
        <v>2.98818315363474</v>
      </c>
      <c r="E1303" s="2" t="n">
        <f aca="false">IF(B1303&lt;Test1_Hand!$B$12,1,0)</f>
        <v>0</v>
      </c>
      <c r="F1303" s="23" t="n">
        <f aca="false">Test1_Hand!$B$4+E1303*D1303</f>
        <v>16</v>
      </c>
      <c r="G1303" s="24" t="n">
        <f aca="false">Test1_Hand!$B$6*E1303*D1303+Test1_Hand!$B$7*MAX(0,F1303-Test1_Hand!$B$5)</f>
        <v>0</v>
      </c>
      <c r="H1303" s="2" t="n">
        <f aca="false">IF(B1303&lt;Test1_Hand!$B$13,1,0)</f>
        <v>0</v>
      </c>
      <c r="I1303" s="23" t="n">
        <f aca="false">Test1_Hand!$B$4+H1303*D1303</f>
        <v>16</v>
      </c>
      <c r="J1303" s="24" t="n">
        <f aca="false">Test1_Hand!$B$6*H1303*D1303+Test1_Hand!$B$7*MAX(0,I1303-Test1_Hand!$B$5)+Test1_Hand!$B$14</f>
        <v>6000</v>
      </c>
    </row>
    <row r="1304" customFormat="false" ht="15" hidden="false" customHeight="false" outlineLevel="0" collapsed="false">
      <c r="A1304" s="2" t="n">
        <v>1292</v>
      </c>
      <c r="B1304" s="22" t="n">
        <v>0.01501464286739</v>
      </c>
      <c r="C1304" s="22" t="n">
        <v>0.51535004094757</v>
      </c>
      <c r="D1304" s="23" t="n">
        <f aca="false">BETAINV(C1304,Test1_Hand!$B$21,Test1_Hand!$B$22,Test1_Hand!$B$9,Test1_Hand!$B$11)</f>
        <v>3.43696838030012</v>
      </c>
      <c r="E1304" s="2" t="n">
        <f aca="false">IF(B1304&lt;Test1_Hand!$B$12,1,0)</f>
        <v>1</v>
      </c>
      <c r="F1304" s="23" t="n">
        <f aca="false">Test1_Hand!$B$4+E1304*D1304</f>
        <v>19.4369683803001</v>
      </c>
      <c r="G1304" s="24" t="n">
        <f aca="false">Test1_Hand!$B$6*E1304*D1304+Test1_Hand!$B$7*MAX(0,F1304-Test1_Hand!$B$5)</f>
        <v>27495.747042401</v>
      </c>
      <c r="H1304" s="2" t="n">
        <f aca="false">IF(B1304&lt;Test1_Hand!$B$13,1,0)</f>
        <v>1</v>
      </c>
      <c r="I1304" s="23" t="n">
        <f aca="false">Test1_Hand!$B$4+H1304*D1304</f>
        <v>19.4369683803001</v>
      </c>
      <c r="J1304" s="24" t="n">
        <f aca="false">Test1_Hand!$B$6*H1304*D1304+Test1_Hand!$B$7*MAX(0,I1304-Test1_Hand!$B$5)+Test1_Hand!$B$14</f>
        <v>33495.747042401</v>
      </c>
    </row>
    <row r="1305" customFormat="false" ht="15" hidden="false" customHeight="false" outlineLevel="0" collapsed="false">
      <c r="A1305" s="2" t="n">
        <v>1293</v>
      </c>
      <c r="B1305" s="22" t="n">
        <v>0.371205369889545</v>
      </c>
      <c r="C1305" s="22" t="n">
        <v>0.373453434683922</v>
      </c>
      <c r="D1305" s="23" t="n">
        <f aca="false">BETAINV(C1305,Test1_Hand!$B$21,Test1_Hand!$B$22,Test1_Hand!$B$9,Test1_Hand!$B$11)</f>
        <v>2.94458017301614</v>
      </c>
      <c r="E1305" s="2" t="n">
        <f aca="false">IF(B1305&lt;Test1_Hand!$B$12,1,0)</f>
        <v>1</v>
      </c>
      <c r="F1305" s="23" t="n">
        <f aca="false">Test1_Hand!$B$4+E1305*D1305</f>
        <v>18.9445801730161</v>
      </c>
      <c r="G1305" s="24" t="n">
        <f aca="false">Test1_Hand!$B$6*E1305*D1305+Test1_Hand!$B$7*MAX(0,F1305-Test1_Hand!$B$5)</f>
        <v>23556.6413841291</v>
      </c>
      <c r="H1305" s="2" t="n">
        <f aca="false">IF(B1305&lt;Test1_Hand!$B$13,1,0)</f>
        <v>0</v>
      </c>
      <c r="I1305" s="23" t="n">
        <f aca="false">Test1_Hand!$B$4+H1305*D1305</f>
        <v>16</v>
      </c>
      <c r="J1305" s="24" t="n">
        <f aca="false">Test1_Hand!$B$6*H1305*D1305+Test1_Hand!$B$7*MAX(0,I1305-Test1_Hand!$B$5)+Test1_Hand!$B$14</f>
        <v>6000</v>
      </c>
    </row>
    <row r="1306" customFormat="false" ht="15" hidden="false" customHeight="false" outlineLevel="0" collapsed="false">
      <c r="A1306" s="2" t="n">
        <v>1294</v>
      </c>
      <c r="B1306" s="22" t="n">
        <v>0.173370498294425</v>
      </c>
      <c r="C1306" s="22" t="n">
        <v>0.598305665019011</v>
      </c>
      <c r="D1306" s="23" t="n">
        <f aca="false">BETAINV(C1306,Test1_Hand!$B$21,Test1_Hand!$B$22,Test1_Hand!$B$9,Test1_Hand!$B$11)</f>
        <v>3.74064539503156</v>
      </c>
      <c r="E1306" s="2" t="n">
        <f aca="false">IF(B1306&lt;Test1_Hand!$B$12,1,0)</f>
        <v>1</v>
      </c>
      <c r="F1306" s="23" t="n">
        <f aca="false">Test1_Hand!$B$4+E1306*D1306</f>
        <v>19.7406453950316</v>
      </c>
      <c r="G1306" s="24" t="n">
        <f aca="false">Test1_Hand!$B$6*E1306*D1306+Test1_Hand!$B$7*MAX(0,F1306-Test1_Hand!$B$5)</f>
        <v>29925.1631602525</v>
      </c>
      <c r="H1306" s="2" t="n">
        <f aca="false">IF(B1306&lt;Test1_Hand!$B$13,1,0)</f>
        <v>1</v>
      </c>
      <c r="I1306" s="23" t="n">
        <f aca="false">Test1_Hand!$B$4+H1306*D1306</f>
        <v>19.7406453950316</v>
      </c>
      <c r="J1306" s="24" t="n">
        <f aca="false">Test1_Hand!$B$6*H1306*D1306+Test1_Hand!$B$7*MAX(0,I1306-Test1_Hand!$B$5)+Test1_Hand!$B$14</f>
        <v>35925.1631602525</v>
      </c>
    </row>
    <row r="1307" customFormat="false" ht="15" hidden="false" customHeight="false" outlineLevel="0" collapsed="false">
      <c r="A1307" s="2" t="n">
        <v>1295</v>
      </c>
      <c r="B1307" s="22" t="n">
        <v>0.260296094922075</v>
      </c>
      <c r="C1307" s="22" t="n">
        <v>0.994638439270394</v>
      </c>
      <c r="D1307" s="23" t="n">
        <f aca="false">BETAINV(C1307,Test1_Hand!$B$21,Test1_Hand!$B$22,Test1_Hand!$B$9,Test1_Hand!$B$11)</f>
        <v>6.80470795767433</v>
      </c>
      <c r="E1307" s="2" t="n">
        <f aca="false">IF(B1307&lt;Test1_Hand!$B$12,1,0)</f>
        <v>1</v>
      </c>
      <c r="F1307" s="23" t="n">
        <f aca="false">Test1_Hand!$B$4+E1307*D1307</f>
        <v>22.8047079576743</v>
      </c>
      <c r="G1307" s="24" t="n">
        <f aca="false">Test1_Hand!$B$6*E1307*D1307+Test1_Hand!$B$7*MAX(0,F1307-Test1_Hand!$B$5)</f>
        <v>68461.2034497663</v>
      </c>
      <c r="H1307" s="2" t="n">
        <f aca="false">IF(B1307&lt;Test1_Hand!$B$13,1,0)</f>
        <v>0</v>
      </c>
      <c r="I1307" s="23" t="n">
        <f aca="false">Test1_Hand!$B$4+H1307*D1307</f>
        <v>16</v>
      </c>
      <c r="J1307" s="24" t="n">
        <f aca="false">Test1_Hand!$B$6*H1307*D1307+Test1_Hand!$B$7*MAX(0,I1307-Test1_Hand!$B$5)+Test1_Hand!$B$14</f>
        <v>6000</v>
      </c>
    </row>
    <row r="1308" customFormat="false" ht="15" hidden="false" customHeight="false" outlineLevel="0" collapsed="false">
      <c r="A1308" s="2" t="n">
        <v>1296</v>
      </c>
      <c r="B1308" s="22" t="n">
        <v>0.635770637182523</v>
      </c>
      <c r="C1308" s="22" t="n">
        <v>0.788108130375317</v>
      </c>
      <c r="D1308" s="23" t="n">
        <f aca="false">BETAINV(C1308,Test1_Hand!$B$21,Test1_Hand!$B$22,Test1_Hand!$B$9,Test1_Hand!$B$11)</f>
        <v>4.56328305484036</v>
      </c>
      <c r="E1308" s="2" t="n">
        <f aca="false">IF(B1308&lt;Test1_Hand!$B$12,1,0)</f>
        <v>0</v>
      </c>
      <c r="F1308" s="23" t="n">
        <f aca="false">Test1_Hand!$B$4+E1308*D1308</f>
        <v>16</v>
      </c>
      <c r="G1308" s="24" t="n">
        <f aca="false">Test1_Hand!$B$6*E1308*D1308+Test1_Hand!$B$7*MAX(0,F1308-Test1_Hand!$B$5)</f>
        <v>0</v>
      </c>
      <c r="H1308" s="2" t="n">
        <f aca="false">IF(B1308&lt;Test1_Hand!$B$13,1,0)</f>
        <v>0</v>
      </c>
      <c r="I1308" s="23" t="n">
        <f aca="false">Test1_Hand!$B$4+H1308*D1308</f>
        <v>16</v>
      </c>
      <c r="J1308" s="24" t="n">
        <f aca="false">Test1_Hand!$B$6*H1308*D1308+Test1_Hand!$B$7*MAX(0,I1308-Test1_Hand!$B$5)+Test1_Hand!$B$14</f>
        <v>6000</v>
      </c>
    </row>
    <row r="1309" customFormat="false" ht="15" hidden="false" customHeight="false" outlineLevel="0" collapsed="false">
      <c r="A1309" s="2" t="n">
        <v>1297</v>
      </c>
      <c r="B1309" s="22" t="n">
        <v>0.805700559338962</v>
      </c>
      <c r="C1309" s="22" t="n">
        <v>0.198653372915992</v>
      </c>
      <c r="D1309" s="23" t="n">
        <f aca="false">BETAINV(C1309,Test1_Hand!$B$21,Test1_Hand!$B$22,Test1_Hand!$B$9,Test1_Hand!$B$11)</f>
        <v>2.32155250190492</v>
      </c>
      <c r="E1309" s="2" t="n">
        <f aca="false">IF(B1309&lt;Test1_Hand!$B$12,1,0)</f>
        <v>0</v>
      </c>
      <c r="F1309" s="23" t="n">
        <f aca="false">Test1_Hand!$B$4+E1309*D1309</f>
        <v>16</v>
      </c>
      <c r="G1309" s="24" t="n">
        <f aca="false">Test1_Hand!$B$6*E1309*D1309+Test1_Hand!$B$7*MAX(0,F1309-Test1_Hand!$B$5)</f>
        <v>0</v>
      </c>
      <c r="H1309" s="2" t="n">
        <f aca="false">IF(B1309&lt;Test1_Hand!$B$13,1,0)</f>
        <v>0</v>
      </c>
      <c r="I1309" s="23" t="n">
        <f aca="false">Test1_Hand!$B$4+H1309*D1309</f>
        <v>16</v>
      </c>
      <c r="J1309" s="24" t="n">
        <f aca="false">Test1_Hand!$B$6*H1309*D1309+Test1_Hand!$B$7*MAX(0,I1309-Test1_Hand!$B$5)+Test1_Hand!$B$14</f>
        <v>6000</v>
      </c>
    </row>
    <row r="1310" customFormat="false" ht="15" hidden="false" customHeight="false" outlineLevel="0" collapsed="false">
      <c r="A1310" s="2" t="n">
        <v>1298</v>
      </c>
      <c r="B1310" s="22" t="n">
        <v>0.871766278632268</v>
      </c>
      <c r="C1310" s="22" t="n">
        <v>0.809863624481295</v>
      </c>
      <c r="D1310" s="23" t="n">
        <f aca="false">BETAINV(C1310,Test1_Hand!$B$21,Test1_Hand!$B$22,Test1_Hand!$B$9,Test1_Hand!$B$11)</f>
        <v>4.67942510924218</v>
      </c>
      <c r="E1310" s="2" t="n">
        <f aca="false">IF(B1310&lt;Test1_Hand!$B$12,1,0)</f>
        <v>0</v>
      </c>
      <c r="F1310" s="23" t="n">
        <f aca="false">Test1_Hand!$B$4+E1310*D1310</f>
        <v>16</v>
      </c>
      <c r="G1310" s="24" t="n">
        <f aca="false">Test1_Hand!$B$6*E1310*D1310+Test1_Hand!$B$7*MAX(0,F1310-Test1_Hand!$B$5)</f>
        <v>0</v>
      </c>
      <c r="H1310" s="2" t="n">
        <f aca="false">IF(B1310&lt;Test1_Hand!$B$13,1,0)</f>
        <v>0</v>
      </c>
      <c r="I1310" s="23" t="n">
        <f aca="false">Test1_Hand!$B$4+H1310*D1310</f>
        <v>16</v>
      </c>
      <c r="J1310" s="24" t="n">
        <f aca="false">Test1_Hand!$B$6*H1310*D1310+Test1_Hand!$B$7*MAX(0,I1310-Test1_Hand!$B$5)+Test1_Hand!$B$14</f>
        <v>6000</v>
      </c>
    </row>
    <row r="1311" customFormat="false" ht="15" hidden="false" customHeight="false" outlineLevel="0" collapsed="false">
      <c r="A1311" s="2" t="n">
        <v>1299</v>
      </c>
      <c r="B1311" s="22" t="n">
        <v>0.595476066436157</v>
      </c>
      <c r="C1311" s="22" t="n">
        <v>0.855291217625993</v>
      </c>
      <c r="D1311" s="23" t="n">
        <f aca="false">BETAINV(C1311,Test1_Hand!$B$21,Test1_Hand!$B$22,Test1_Hand!$B$9,Test1_Hand!$B$11)</f>
        <v>4.94983147092649</v>
      </c>
      <c r="E1311" s="2" t="n">
        <f aca="false">IF(B1311&lt;Test1_Hand!$B$12,1,0)</f>
        <v>0</v>
      </c>
      <c r="F1311" s="23" t="n">
        <f aca="false">Test1_Hand!$B$4+E1311*D1311</f>
        <v>16</v>
      </c>
      <c r="G1311" s="24" t="n">
        <f aca="false">Test1_Hand!$B$6*E1311*D1311+Test1_Hand!$B$7*MAX(0,F1311-Test1_Hand!$B$5)</f>
        <v>0</v>
      </c>
      <c r="H1311" s="2" t="n">
        <f aca="false">IF(B1311&lt;Test1_Hand!$B$13,1,0)</f>
        <v>0</v>
      </c>
      <c r="I1311" s="23" t="n">
        <f aca="false">Test1_Hand!$B$4+H1311*D1311</f>
        <v>16</v>
      </c>
      <c r="J1311" s="24" t="n">
        <f aca="false">Test1_Hand!$B$6*H1311*D1311+Test1_Hand!$B$7*MAX(0,I1311-Test1_Hand!$B$5)+Test1_Hand!$B$14</f>
        <v>6000</v>
      </c>
    </row>
    <row r="1312" customFormat="false" ht="15" hidden="false" customHeight="false" outlineLevel="0" collapsed="false">
      <c r="A1312" s="2" t="n">
        <v>1300</v>
      </c>
      <c r="B1312" s="22" t="n">
        <v>0.408942002606764</v>
      </c>
      <c r="C1312" s="22" t="n">
        <v>0.246671369175086</v>
      </c>
      <c r="D1312" s="23" t="n">
        <f aca="false">BETAINV(C1312,Test1_Hand!$B$21,Test1_Hand!$B$22,Test1_Hand!$B$9,Test1_Hand!$B$11)</f>
        <v>2.50037565560629</v>
      </c>
      <c r="E1312" s="2" t="n">
        <f aca="false">IF(B1312&lt;Test1_Hand!$B$12,1,0)</f>
        <v>1</v>
      </c>
      <c r="F1312" s="23" t="n">
        <f aca="false">Test1_Hand!$B$4+E1312*D1312</f>
        <v>18.5003756556063</v>
      </c>
      <c r="G1312" s="24" t="n">
        <f aca="false">Test1_Hand!$B$6*E1312*D1312+Test1_Hand!$B$7*MAX(0,F1312-Test1_Hand!$B$5)</f>
        <v>20003.0052448503</v>
      </c>
      <c r="H1312" s="2" t="n">
        <f aca="false">IF(B1312&lt;Test1_Hand!$B$13,1,0)</f>
        <v>0</v>
      </c>
      <c r="I1312" s="23" t="n">
        <f aca="false">Test1_Hand!$B$4+H1312*D1312</f>
        <v>16</v>
      </c>
      <c r="J1312" s="24" t="n">
        <f aca="false">Test1_Hand!$B$6*H1312*D1312+Test1_Hand!$B$7*MAX(0,I1312-Test1_Hand!$B$5)+Test1_Hand!$B$14</f>
        <v>6000</v>
      </c>
    </row>
    <row r="1313" customFormat="false" ht="15" hidden="false" customHeight="false" outlineLevel="0" collapsed="false">
      <c r="A1313" s="2" t="n">
        <v>1301</v>
      </c>
      <c r="B1313" s="22" t="n">
        <v>0.313290563256916</v>
      </c>
      <c r="C1313" s="22" t="n">
        <v>0.78777341159143</v>
      </c>
      <c r="D1313" s="23" t="n">
        <f aca="false">BETAINV(C1313,Test1_Hand!$B$21,Test1_Hand!$B$22,Test1_Hand!$B$9,Test1_Hand!$B$11)</f>
        <v>4.56155015913311</v>
      </c>
      <c r="E1313" s="2" t="n">
        <f aca="false">IF(B1313&lt;Test1_Hand!$B$12,1,0)</f>
        <v>1</v>
      </c>
      <c r="F1313" s="23" t="n">
        <f aca="false">Test1_Hand!$B$4+E1313*D1313</f>
        <v>20.5615501591331</v>
      </c>
      <c r="G1313" s="24" t="n">
        <f aca="false">Test1_Hand!$B$6*E1313*D1313+Test1_Hand!$B$7*MAX(0,F1313-Test1_Hand!$B$5)</f>
        <v>39300.1520687304</v>
      </c>
      <c r="H1313" s="2" t="n">
        <f aca="false">IF(B1313&lt;Test1_Hand!$B$13,1,0)</f>
        <v>0</v>
      </c>
      <c r="I1313" s="23" t="n">
        <f aca="false">Test1_Hand!$B$4+H1313*D1313</f>
        <v>16</v>
      </c>
      <c r="J1313" s="24" t="n">
        <f aca="false">Test1_Hand!$B$6*H1313*D1313+Test1_Hand!$B$7*MAX(0,I1313-Test1_Hand!$B$5)+Test1_Hand!$B$14</f>
        <v>6000</v>
      </c>
    </row>
    <row r="1314" customFormat="false" ht="15" hidden="false" customHeight="false" outlineLevel="0" collapsed="false">
      <c r="A1314" s="2" t="n">
        <v>1302</v>
      </c>
      <c r="B1314" s="22" t="n">
        <v>0.607041599344863</v>
      </c>
      <c r="C1314" s="22" t="n">
        <v>0.516485493230845</v>
      </c>
      <c r="D1314" s="23" t="n">
        <f aca="false">BETAINV(C1314,Test1_Hand!$B$21,Test1_Hand!$B$22,Test1_Hand!$B$9,Test1_Hand!$B$11)</f>
        <v>3.44100875350585</v>
      </c>
      <c r="E1314" s="2" t="n">
        <f aca="false">IF(B1314&lt;Test1_Hand!$B$12,1,0)</f>
        <v>0</v>
      </c>
      <c r="F1314" s="23" t="n">
        <f aca="false">Test1_Hand!$B$4+E1314*D1314</f>
        <v>16</v>
      </c>
      <c r="G1314" s="24" t="n">
        <f aca="false">Test1_Hand!$B$6*E1314*D1314+Test1_Hand!$B$7*MAX(0,F1314-Test1_Hand!$B$5)</f>
        <v>0</v>
      </c>
      <c r="H1314" s="2" t="n">
        <f aca="false">IF(B1314&lt;Test1_Hand!$B$13,1,0)</f>
        <v>0</v>
      </c>
      <c r="I1314" s="23" t="n">
        <f aca="false">Test1_Hand!$B$4+H1314*D1314</f>
        <v>16</v>
      </c>
      <c r="J1314" s="24" t="n">
        <f aca="false">Test1_Hand!$B$6*H1314*D1314+Test1_Hand!$B$7*MAX(0,I1314-Test1_Hand!$B$5)+Test1_Hand!$B$14</f>
        <v>6000</v>
      </c>
    </row>
    <row r="1315" customFormat="false" ht="15" hidden="false" customHeight="false" outlineLevel="0" collapsed="false">
      <c r="A1315" s="2" t="n">
        <v>1303</v>
      </c>
      <c r="B1315" s="22" t="n">
        <v>0.845618796566786</v>
      </c>
      <c r="C1315" s="22" t="n">
        <v>0.100843250368349</v>
      </c>
      <c r="D1315" s="23" t="n">
        <f aca="false">BETAINV(C1315,Test1_Hand!$B$21,Test1_Hand!$B$22,Test1_Hand!$B$9,Test1_Hand!$B$11)</f>
        <v>1.90841837697732</v>
      </c>
      <c r="E1315" s="2" t="n">
        <f aca="false">IF(B1315&lt;Test1_Hand!$B$12,1,0)</f>
        <v>0</v>
      </c>
      <c r="F1315" s="23" t="n">
        <f aca="false">Test1_Hand!$B$4+E1315*D1315</f>
        <v>16</v>
      </c>
      <c r="G1315" s="24" t="n">
        <f aca="false">Test1_Hand!$B$6*E1315*D1315+Test1_Hand!$B$7*MAX(0,F1315-Test1_Hand!$B$5)</f>
        <v>0</v>
      </c>
      <c r="H1315" s="2" t="n">
        <f aca="false">IF(B1315&lt;Test1_Hand!$B$13,1,0)</f>
        <v>0</v>
      </c>
      <c r="I1315" s="23" t="n">
        <f aca="false">Test1_Hand!$B$4+H1315*D1315</f>
        <v>16</v>
      </c>
      <c r="J1315" s="24" t="n">
        <f aca="false">Test1_Hand!$B$6*H1315*D1315+Test1_Hand!$B$7*MAX(0,I1315-Test1_Hand!$B$5)+Test1_Hand!$B$14</f>
        <v>6000</v>
      </c>
    </row>
    <row r="1316" customFormat="false" ht="15" hidden="false" customHeight="false" outlineLevel="0" collapsed="false">
      <c r="A1316" s="2" t="n">
        <v>1304</v>
      </c>
      <c r="B1316" s="22" t="n">
        <v>0.0262667457911512</v>
      </c>
      <c r="C1316" s="22" t="n">
        <v>0.584956723030253</v>
      </c>
      <c r="D1316" s="23" t="n">
        <f aca="false">BETAINV(C1316,Test1_Hand!$B$21,Test1_Hand!$B$22,Test1_Hand!$B$9,Test1_Hand!$B$11)</f>
        <v>3.69040955164842</v>
      </c>
      <c r="E1316" s="2" t="n">
        <f aca="false">IF(B1316&lt;Test1_Hand!$B$12,1,0)</f>
        <v>1</v>
      </c>
      <c r="F1316" s="23" t="n">
        <f aca="false">Test1_Hand!$B$4+E1316*D1316</f>
        <v>19.6904095516484</v>
      </c>
      <c r="G1316" s="24" t="n">
        <f aca="false">Test1_Hand!$B$6*E1316*D1316+Test1_Hand!$B$7*MAX(0,F1316-Test1_Hand!$B$5)</f>
        <v>29523.2764131874</v>
      </c>
      <c r="H1316" s="2" t="n">
        <f aca="false">IF(B1316&lt;Test1_Hand!$B$13,1,0)</f>
        <v>1</v>
      </c>
      <c r="I1316" s="23" t="n">
        <f aca="false">Test1_Hand!$B$4+H1316*D1316</f>
        <v>19.6904095516484</v>
      </c>
      <c r="J1316" s="24" t="n">
        <f aca="false">Test1_Hand!$B$6*H1316*D1316+Test1_Hand!$B$7*MAX(0,I1316-Test1_Hand!$B$5)+Test1_Hand!$B$14</f>
        <v>35523.2764131874</v>
      </c>
    </row>
    <row r="1317" customFormat="false" ht="15" hidden="false" customHeight="false" outlineLevel="0" collapsed="false">
      <c r="A1317" s="2" t="n">
        <v>1305</v>
      </c>
      <c r="B1317" s="22" t="n">
        <v>0.693272239127452</v>
      </c>
      <c r="C1317" s="22" t="n">
        <v>0.850090304461683</v>
      </c>
      <c r="D1317" s="23" t="n">
        <f aca="false">BETAINV(C1317,Test1_Hand!$B$21,Test1_Hand!$B$22,Test1_Hand!$B$9,Test1_Hand!$B$11)</f>
        <v>4.9165163124498</v>
      </c>
      <c r="E1317" s="2" t="n">
        <f aca="false">IF(B1317&lt;Test1_Hand!$B$12,1,0)</f>
        <v>0</v>
      </c>
      <c r="F1317" s="23" t="n">
        <f aca="false">Test1_Hand!$B$4+E1317*D1317</f>
        <v>16</v>
      </c>
      <c r="G1317" s="24" t="n">
        <f aca="false">Test1_Hand!$B$6*E1317*D1317+Test1_Hand!$B$7*MAX(0,F1317-Test1_Hand!$B$5)</f>
        <v>0</v>
      </c>
      <c r="H1317" s="2" t="n">
        <f aca="false">IF(B1317&lt;Test1_Hand!$B$13,1,0)</f>
        <v>0</v>
      </c>
      <c r="I1317" s="23" t="n">
        <f aca="false">Test1_Hand!$B$4+H1317*D1317</f>
        <v>16</v>
      </c>
      <c r="J1317" s="24" t="n">
        <f aca="false">Test1_Hand!$B$6*H1317*D1317+Test1_Hand!$B$7*MAX(0,I1317-Test1_Hand!$B$5)+Test1_Hand!$B$14</f>
        <v>6000</v>
      </c>
    </row>
    <row r="1318" customFormat="false" ht="15" hidden="false" customHeight="false" outlineLevel="0" collapsed="false">
      <c r="A1318" s="2" t="n">
        <v>1306</v>
      </c>
      <c r="B1318" s="22" t="n">
        <v>0.468357154838921</v>
      </c>
      <c r="C1318" s="22" t="n">
        <v>0.656401404432476</v>
      </c>
      <c r="D1318" s="23" t="n">
        <f aca="false">BETAINV(C1318,Test1_Hand!$B$21,Test1_Hand!$B$22,Test1_Hand!$B$9,Test1_Hand!$B$11)</f>
        <v>3.96763495247167</v>
      </c>
      <c r="E1318" s="2" t="n">
        <f aca="false">IF(B1318&lt;Test1_Hand!$B$12,1,0)</f>
        <v>1</v>
      </c>
      <c r="F1318" s="23" t="n">
        <f aca="false">Test1_Hand!$B$4+E1318*D1318</f>
        <v>19.9676349524717</v>
      </c>
      <c r="G1318" s="24" t="n">
        <f aca="false">Test1_Hand!$B$6*E1318*D1318+Test1_Hand!$B$7*MAX(0,F1318-Test1_Hand!$B$5)</f>
        <v>31741.0796197733</v>
      </c>
      <c r="H1318" s="2" t="n">
        <f aca="false">IF(B1318&lt;Test1_Hand!$B$13,1,0)</f>
        <v>0</v>
      </c>
      <c r="I1318" s="23" t="n">
        <f aca="false">Test1_Hand!$B$4+H1318*D1318</f>
        <v>16</v>
      </c>
      <c r="J1318" s="24" t="n">
        <f aca="false">Test1_Hand!$B$6*H1318*D1318+Test1_Hand!$B$7*MAX(0,I1318-Test1_Hand!$B$5)+Test1_Hand!$B$14</f>
        <v>6000</v>
      </c>
    </row>
    <row r="1319" customFormat="false" ht="15" hidden="false" customHeight="false" outlineLevel="0" collapsed="false">
      <c r="A1319" s="2" t="n">
        <v>1307</v>
      </c>
      <c r="B1319" s="22" t="n">
        <v>0.362797839487786</v>
      </c>
      <c r="C1319" s="22" t="n">
        <v>0.140597980038047</v>
      </c>
      <c r="D1319" s="23" t="n">
        <f aca="false">BETAINV(C1319,Test1_Hand!$B$21,Test1_Hand!$B$22,Test1_Hand!$B$9,Test1_Hand!$B$11)</f>
        <v>2.08785211794023</v>
      </c>
      <c r="E1319" s="2" t="n">
        <f aca="false">IF(B1319&lt;Test1_Hand!$B$12,1,0)</f>
        <v>1</v>
      </c>
      <c r="F1319" s="23" t="n">
        <f aca="false">Test1_Hand!$B$4+E1319*D1319</f>
        <v>18.0878521179402</v>
      </c>
      <c r="G1319" s="24" t="n">
        <f aca="false">Test1_Hand!$B$6*E1319*D1319+Test1_Hand!$B$7*MAX(0,F1319-Test1_Hand!$B$5)</f>
        <v>16702.8169435219</v>
      </c>
      <c r="H1319" s="2" t="n">
        <f aca="false">IF(B1319&lt;Test1_Hand!$B$13,1,0)</f>
        <v>0</v>
      </c>
      <c r="I1319" s="23" t="n">
        <f aca="false">Test1_Hand!$B$4+H1319*D1319</f>
        <v>16</v>
      </c>
      <c r="J1319" s="24" t="n">
        <f aca="false">Test1_Hand!$B$6*H1319*D1319+Test1_Hand!$B$7*MAX(0,I1319-Test1_Hand!$B$5)+Test1_Hand!$B$14</f>
        <v>6000</v>
      </c>
    </row>
    <row r="1320" customFormat="false" ht="15" hidden="false" customHeight="false" outlineLevel="0" collapsed="false">
      <c r="A1320" s="2" t="n">
        <v>1308</v>
      </c>
      <c r="B1320" s="22" t="n">
        <v>0.830558888342927</v>
      </c>
      <c r="C1320" s="22" t="n">
        <v>0.938421139740123</v>
      </c>
      <c r="D1320" s="23" t="n">
        <f aca="false">BETAINV(C1320,Test1_Hand!$B$21,Test1_Hand!$B$22,Test1_Hand!$B$9,Test1_Hand!$B$11)</f>
        <v>5.63563191676714</v>
      </c>
      <c r="E1320" s="2" t="n">
        <f aca="false">IF(B1320&lt;Test1_Hand!$B$12,1,0)</f>
        <v>0</v>
      </c>
      <c r="F1320" s="23" t="n">
        <f aca="false">Test1_Hand!$B$4+E1320*D1320</f>
        <v>16</v>
      </c>
      <c r="G1320" s="24" t="n">
        <f aca="false">Test1_Hand!$B$6*E1320*D1320+Test1_Hand!$B$7*MAX(0,F1320-Test1_Hand!$B$5)</f>
        <v>0</v>
      </c>
      <c r="H1320" s="2" t="n">
        <f aca="false">IF(B1320&lt;Test1_Hand!$B$13,1,0)</f>
        <v>0</v>
      </c>
      <c r="I1320" s="23" t="n">
        <f aca="false">Test1_Hand!$B$4+H1320*D1320</f>
        <v>16</v>
      </c>
      <c r="J1320" s="24" t="n">
        <f aca="false">Test1_Hand!$B$6*H1320*D1320+Test1_Hand!$B$7*MAX(0,I1320-Test1_Hand!$B$5)+Test1_Hand!$B$14</f>
        <v>6000</v>
      </c>
    </row>
    <row r="1321" customFormat="false" ht="15" hidden="false" customHeight="false" outlineLevel="0" collapsed="false">
      <c r="A1321" s="2" t="n">
        <v>1309</v>
      </c>
      <c r="B1321" s="22" t="n">
        <v>0.135144678369677</v>
      </c>
      <c r="C1321" s="22" t="n">
        <v>0.618187579465322</v>
      </c>
      <c r="D1321" s="23" t="n">
        <f aca="false">BETAINV(C1321,Test1_Hand!$B$21,Test1_Hand!$B$22,Test1_Hand!$B$9,Test1_Hand!$B$11)</f>
        <v>3.81668716757601</v>
      </c>
      <c r="E1321" s="2" t="n">
        <f aca="false">IF(B1321&lt;Test1_Hand!$B$12,1,0)</f>
        <v>1</v>
      </c>
      <c r="F1321" s="23" t="n">
        <f aca="false">Test1_Hand!$B$4+E1321*D1321</f>
        <v>19.816687167576</v>
      </c>
      <c r="G1321" s="24" t="n">
        <f aca="false">Test1_Hand!$B$6*E1321*D1321+Test1_Hand!$B$7*MAX(0,F1321-Test1_Hand!$B$5)</f>
        <v>30533.497340608</v>
      </c>
      <c r="H1321" s="2" t="n">
        <f aca="false">IF(B1321&lt;Test1_Hand!$B$13,1,0)</f>
        <v>1</v>
      </c>
      <c r="I1321" s="23" t="n">
        <f aca="false">Test1_Hand!$B$4+H1321*D1321</f>
        <v>19.816687167576</v>
      </c>
      <c r="J1321" s="24" t="n">
        <f aca="false">Test1_Hand!$B$6*H1321*D1321+Test1_Hand!$B$7*MAX(0,I1321-Test1_Hand!$B$5)+Test1_Hand!$B$14</f>
        <v>36533.497340608</v>
      </c>
    </row>
    <row r="1322" customFormat="false" ht="15" hidden="false" customHeight="false" outlineLevel="0" collapsed="false">
      <c r="A1322" s="2" t="n">
        <v>1310</v>
      </c>
      <c r="B1322" s="22" t="n">
        <v>0.646280881172086</v>
      </c>
      <c r="C1322" s="22" t="n">
        <v>0.691869011290518</v>
      </c>
      <c r="D1322" s="23" t="n">
        <f aca="false">BETAINV(C1322,Test1_Hand!$B$21,Test1_Hand!$B$22,Test1_Hand!$B$9,Test1_Hand!$B$11)</f>
        <v>4.11463897485085</v>
      </c>
      <c r="E1322" s="2" t="n">
        <f aca="false">IF(B1322&lt;Test1_Hand!$B$12,1,0)</f>
        <v>0</v>
      </c>
      <c r="F1322" s="23" t="n">
        <f aca="false">Test1_Hand!$B$4+E1322*D1322</f>
        <v>16</v>
      </c>
      <c r="G1322" s="24" t="n">
        <f aca="false">Test1_Hand!$B$6*E1322*D1322+Test1_Hand!$B$7*MAX(0,F1322-Test1_Hand!$B$5)</f>
        <v>0</v>
      </c>
      <c r="H1322" s="2" t="n">
        <f aca="false">IF(B1322&lt;Test1_Hand!$B$13,1,0)</f>
        <v>0</v>
      </c>
      <c r="I1322" s="23" t="n">
        <f aca="false">Test1_Hand!$B$4+H1322*D1322</f>
        <v>16</v>
      </c>
      <c r="J1322" s="24" t="n">
        <f aca="false">Test1_Hand!$B$6*H1322*D1322+Test1_Hand!$B$7*MAX(0,I1322-Test1_Hand!$B$5)+Test1_Hand!$B$14</f>
        <v>6000</v>
      </c>
    </row>
    <row r="1323" customFormat="false" ht="15" hidden="false" customHeight="false" outlineLevel="0" collapsed="false">
      <c r="A1323" s="2" t="n">
        <v>1311</v>
      </c>
      <c r="B1323" s="22" t="n">
        <v>0.441859343673994</v>
      </c>
      <c r="C1323" s="22" t="n">
        <v>0.328449111110378</v>
      </c>
      <c r="D1323" s="23" t="n">
        <f aca="false">BETAINV(C1323,Test1_Hand!$B$21,Test1_Hand!$B$22,Test1_Hand!$B$9,Test1_Hand!$B$11)</f>
        <v>2.78943393921655</v>
      </c>
      <c r="E1323" s="2" t="n">
        <f aca="false">IF(B1323&lt;Test1_Hand!$B$12,1,0)</f>
        <v>1</v>
      </c>
      <c r="F1323" s="23" t="n">
        <f aca="false">Test1_Hand!$B$4+E1323*D1323</f>
        <v>18.7894339392166</v>
      </c>
      <c r="G1323" s="24" t="n">
        <f aca="false">Test1_Hand!$B$6*E1323*D1323+Test1_Hand!$B$7*MAX(0,F1323-Test1_Hand!$B$5)</f>
        <v>22315.4715137324</v>
      </c>
      <c r="H1323" s="2" t="n">
        <f aca="false">IF(B1323&lt;Test1_Hand!$B$13,1,0)</f>
        <v>0</v>
      </c>
      <c r="I1323" s="23" t="n">
        <f aca="false">Test1_Hand!$B$4+H1323*D1323</f>
        <v>16</v>
      </c>
      <c r="J1323" s="24" t="n">
        <f aca="false">Test1_Hand!$B$6*H1323*D1323+Test1_Hand!$B$7*MAX(0,I1323-Test1_Hand!$B$5)+Test1_Hand!$B$14</f>
        <v>6000</v>
      </c>
    </row>
    <row r="1324" customFormat="false" ht="15" hidden="false" customHeight="false" outlineLevel="0" collapsed="false">
      <c r="A1324" s="2" t="n">
        <v>1312</v>
      </c>
      <c r="B1324" s="22" t="n">
        <v>0.385002943754235</v>
      </c>
      <c r="C1324" s="22" t="n">
        <v>0.280240705165433</v>
      </c>
      <c r="D1324" s="23" t="n">
        <f aca="false">BETAINV(C1324,Test1_Hand!$B$21,Test1_Hand!$B$22,Test1_Hand!$B$9,Test1_Hand!$B$11)</f>
        <v>2.62071718001544</v>
      </c>
      <c r="E1324" s="2" t="n">
        <f aca="false">IF(B1324&lt;Test1_Hand!$B$12,1,0)</f>
        <v>1</v>
      </c>
      <c r="F1324" s="23" t="n">
        <f aca="false">Test1_Hand!$B$4+E1324*D1324</f>
        <v>18.6207171800154</v>
      </c>
      <c r="G1324" s="24" t="n">
        <f aca="false">Test1_Hand!$B$6*E1324*D1324+Test1_Hand!$B$7*MAX(0,F1324-Test1_Hand!$B$5)</f>
        <v>20965.7374401235</v>
      </c>
      <c r="H1324" s="2" t="n">
        <f aca="false">IF(B1324&lt;Test1_Hand!$B$13,1,0)</f>
        <v>0</v>
      </c>
      <c r="I1324" s="23" t="n">
        <f aca="false">Test1_Hand!$B$4+H1324*D1324</f>
        <v>16</v>
      </c>
      <c r="J1324" s="24" t="n">
        <f aca="false">Test1_Hand!$B$6*H1324*D1324+Test1_Hand!$B$7*MAX(0,I1324-Test1_Hand!$B$5)+Test1_Hand!$B$14</f>
        <v>6000</v>
      </c>
    </row>
    <row r="1325" customFormat="false" ht="15" hidden="false" customHeight="false" outlineLevel="0" collapsed="false">
      <c r="A1325" s="2" t="n">
        <v>1313</v>
      </c>
      <c r="B1325" s="22" t="n">
        <v>0.577469198361221</v>
      </c>
      <c r="C1325" s="22" t="n">
        <v>0.12836289879326</v>
      </c>
      <c r="D1325" s="23" t="n">
        <f aca="false">BETAINV(C1325,Test1_Hand!$B$21,Test1_Hand!$B$22,Test1_Hand!$B$9,Test1_Hand!$B$11)</f>
        <v>2.03484109868076</v>
      </c>
      <c r="E1325" s="2" t="n">
        <f aca="false">IF(B1325&lt;Test1_Hand!$B$12,1,0)</f>
        <v>0</v>
      </c>
      <c r="F1325" s="23" t="n">
        <f aca="false">Test1_Hand!$B$4+E1325*D1325</f>
        <v>16</v>
      </c>
      <c r="G1325" s="24" t="n">
        <f aca="false">Test1_Hand!$B$6*E1325*D1325+Test1_Hand!$B$7*MAX(0,F1325-Test1_Hand!$B$5)</f>
        <v>0</v>
      </c>
      <c r="H1325" s="2" t="n">
        <f aca="false">IF(B1325&lt;Test1_Hand!$B$13,1,0)</f>
        <v>0</v>
      </c>
      <c r="I1325" s="23" t="n">
        <f aca="false">Test1_Hand!$B$4+H1325*D1325</f>
        <v>16</v>
      </c>
      <c r="J1325" s="24" t="n">
        <f aca="false">Test1_Hand!$B$6*H1325*D1325+Test1_Hand!$B$7*MAX(0,I1325-Test1_Hand!$B$5)+Test1_Hand!$B$14</f>
        <v>6000</v>
      </c>
    </row>
    <row r="1326" customFormat="false" ht="15" hidden="false" customHeight="false" outlineLevel="0" collapsed="false">
      <c r="A1326" s="2" t="n">
        <v>1314</v>
      </c>
      <c r="B1326" s="22" t="n">
        <v>0.483837776608169</v>
      </c>
      <c r="C1326" s="22" t="n">
        <v>0.559070282596285</v>
      </c>
      <c r="D1326" s="23" t="n">
        <f aca="false">BETAINV(C1326,Test1_Hand!$B$21,Test1_Hand!$B$22,Test1_Hand!$B$9,Test1_Hand!$B$11)</f>
        <v>3.59463878202472</v>
      </c>
      <c r="E1326" s="2" t="n">
        <f aca="false">IF(B1326&lt;Test1_Hand!$B$12,1,0)</f>
        <v>1</v>
      </c>
      <c r="F1326" s="23" t="n">
        <f aca="false">Test1_Hand!$B$4+E1326*D1326</f>
        <v>19.5946387820247</v>
      </c>
      <c r="G1326" s="24" t="n">
        <f aca="false">Test1_Hand!$B$6*E1326*D1326+Test1_Hand!$B$7*MAX(0,F1326-Test1_Hand!$B$5)</f>
        <v>28757.1102561978</v>
      </c>
      <c r="H1326" s="2" t="n">
        <f aca="false">IF(B1326&lt;Test1_Hand!$B$13,1,0)</f>
        <v>0</v>
      </c>
      <c r="I1326" s="23" t="n">
        <f aca="false">Test1_Hand!$B$4+H1326*D1326</f>
        <v>16</v>
      </c>
      <c r="J1326" s="24" t="n">
        <f aca="false">Test1_Hand!$B$6*H1326*D1326+Test1_Hand!$B$7*MAX(0,I1326-Test1_Hand!$B$5)+Test1_Hand!$B$14</f>
        <v>6000</v>
      </c>
    </row>
    <row r="1327" customFormat="false" ht="15" hidden="false" customHeight="false" outlineLevel="0" collapsed="false">
      <c r="A1327" s="2" t="n">
        <v>1315</v>
      </c>
      <c r="B1327" s="22" t="n">
        <v>0.884916947740892</v>
      </c>
      <c r="C1327" s="22" t="n">
        <v>0.535719194919043</v>
      </c>
      <c r="D1327" s="23" t="n">
        <f aca="false">BETAINV(C1327,Test1_Hand!$B$21,Test1_Hand!$B$22,Test1_Hand!$B$9,Test1_Hand!$B$11)</f>
        <v>3.50986354672745</v>
      </c>
      <c r="E1327" s="2" t="n">
        <f aca="false">IF(B1327&lt;Test1_Hand!$B$12,1,0)</f>
        <v>0</v>
      </c>
      <c r="F1327" s="23" t="n">
        <f aca="false">Test1_Hand!$B$4+E1327*D1327</f>
        <v>16</v>
      </c>
      <c r="G1327" s="24" t="n">
        <f aca="false">Test1_Hand!$B$6*E1327*D1327+Test1_Hand!$B$7*MAX(0,F1327-Test1_Hand!$B$5)</f>
        <v>0</v>
      </c>
      <c r="H1327" s="2" t="n">
        <f aca="false">IF(B1327&lt;Test1_Hand!$B$13,1,0)</f>
        <v>0</v>
      </c>
      <c r="I1327" s="23" t="n">
        <f aca="false">Test1_Hand!$B$4+H1327*D1327</f>
        <v>16</v>
      </c>
      <c r="J1327" s="24" t="n">
        <f aca="false">Test1_Hand!$B$6*H1327*D1327+Test1_Hand!$B$7*MAX(0,I1327-Test1_Hand!$B$5)+Test1_Hand!$B$14</f>
        <v>6000</v>
      </c>
    </row>
    <row r="1328" customFormat="false" ht="15" hidden="false" customHeight="false" outlineLevel="0" collapsed="false">
      <c r="A1328" s="2" t="n">
        <v>1316</v>
      </c>
      <c r="B1328" s="22" t="n">
        <v>0.328985775621845</v>
      </c>
      <c r="C1328" s="22" t="n">
        <v>0.60980353655345</v>
      </c>
      <c r="D1328" s="23" t="n">
        <f aca="false">BETAINV(C1328,Test1_Hand!$B$21,Test1_Hand!$B$22,Test1_Hand!$B$9,Test1_Hand!$B$11)</f>
        <v>3.78443314119868</v>
      </c>
      <c r="E1328" s="2" t="n">
        <f aca="false">IF(B1328&lt;Test1_Hand!$B$12,1,0)</f>
        <v>1</v>
      </c>
      <c r="F1328" s="23" t="n">
        <f aca="false">Test1_Hand!$B$4+E1328*D1328</f>
        <v>19.7844331411987</v>
      </c>
      <c r="G1328" s="24" t="n">
        <f aca="false">Test1_Hand!$B$6*E1328*D1328+Test1_Hand!$B$7*MAX(0,F1328-Test1_Hand!$B$5)</f>
        <v>30275.4651295894</v>
      </c>
      <c r="H1328" s="2" t="n">
        <f aca="false">IF(B1328&lt;Test1_Hand!$B$13,1,0)</f>
        <v>0</v>
      </c>
      <c r="I1328" s="23" t="n">
        <f aca="false">Test1_Hand!$B$4+H1328*D1328</f>
        <v>16</v>
      </c>
      <c r="J1328" s="24" t="n">
        <f aca="false">Test1_Hand!$B$6*H1328*D1328+Test1_Hand!$B$7*MAX(0,I1328-Test1_Hand!$B$5)+Test1_Hand!$B$14</f>
        <v>6000</v>
      </c>
    </row>
    <row r="1329" customFormat="false" ht="15" hidden="false" customHeight="false" outlineLevel="0" collapsed="false">
      <c r="A1329" s="2" t="n">
        <v>1317</v>
      </c>
      <c r="B1329" s="22" t="n">
        <v>0.055576425511379</v>
      </c>
      <c r="C1329" s="22" t="n">
        <v>0.306745336089557</v>
      </c>
      <c r="D1329" s="23" t="n">
        <f aca="false">BETAINV(C1329,Test1_Hand!$B$21,Test1_Hand!$B$22,Test1_Hand!$B$9,Test1_Hand!$B$11)</f>
        <v>2.71393201941275</v>
      </c>
      <c r="E1329" s="2" t="n">
        <f aca="false">IF(B1329&lt;Test1_Hand!$B$12,1,0)</f>
        <v>1</v>
      </c>
      <c r="F1329" s="23" t="n">
        <f aca="false">Test1_Hand!$B$4+E1329*D1329</f>
        <v>18.7139320194128</v>
      </c>
      <c r="G1329" s="24" t="n">
        <f aca="false">Test1_Hand!$B$6*E1329*D1329+Test1_Hand!$B$7*MAX(0,F1329-Test1_Hand!$B$5)</f>
        <v>21711.456155302</v>
      </c>
      <c r="H1329" s="2" t="n">
        <f aca="false">IF(B1329&lt;Test1_Hand!$B$13,1,0)</f>
        <v>1</v>
      </c>
      <c r="I1329" s="23" t="n">
        <f aca="false">Test1_Hand!$B$4+H1329*D1329</f>
        <v>18.7139320194128</v>
      </c>
      <c r="J1329" s="24" t="n">
        <f aca="false">Test1_Hand!$B$6*H1329*D1329+Test1_Hand!$B$7*MAX(0,I1329-Test1_Hand!$B$5)+Test1_Hand!$B$14</f>
        <v>27711.456155302</v>
      </c>
    </row>
    <row r="1330" customFormat="false" ht="15" hidden="false" customHeight="false" outlineLevel="0" collapsed="false">
      <c r="A1330" s="2" t="n">
        <v>1318</v>
      </c>
      <c r="B1330" s="22" t="n">
        <v>0.523169974233388</v>
      </c>
      <c r="C1330" s="22" t="n">
        <v>0.61855951038989</v>
      </c>
      <c r="D1330" s="23" t="n">
        <f aca="false">BETAINV(C1330,Test1_Hand!$B$21,Test1_Hand!$B$22,Test1_Hand!$B$9,Test1_Hand!$B$11)</f>
        <v>3.8181246393066</v>
      </c>
      <c r="E1330" s="2" t="n">
        <f aca="false">IF(B1330&lt;Test1_Hand!$B$12,1,0)</f>
        <v>0</v>
      </c>
      <c r="F1330" s="23" t="n">
        <f aca="false">Test1_Hand!$B$4+E1330*D1330</f>
        <v>16</v>
      </c>
      <c r="G1330" s="24" t="n">
        <f aca="false">Test1_Hand!$B$6*E1330*D1330+Test1_Hand!$B$7*MAX(0,F1330-Test1_Hand!$B$5)</f>
        <v>0</v>
      </c>
      <c r="H1330" s="2" t="n">
        <f aca="false">IF(B1330&lt;Test1_Hand!$B$13,1,0)</f>
        <v>0</v>
      </c>
      <c r="I1330" s="23" t="n">
        <f aca="false">Test1_Hand!$B$4+H1330*D1330</f>
        <v>16</v>
      </c>
      <c r="J1330" s="24" t="n">
        <f aca="false">Test1_Hand!$B$6*H1330*D1330+Test1_Hand!$B$7*MAX(0,I1330-Test1_Hand!$B$5)+Test1_Hand!$B$14</f>
        <v>6000</v>
      </c>
    </row>
    <row r="1331" customFormat="false" ht="15" hidden="false" customHeight="false" outlineLevel="0" collapsed="false">
      <c r="A1331" s="2" t="n">
        <v>1319</v>
      </c>
      <c r="B1331" s="22" t="n">
        <v>0.208896505724321</v>
      </c>
      <c r="C1331" s="22" t="n">
        <v>0.798861800923885</v>
      </c>
      <c r="D1331" s="23" t="n">
        <f aca="false">BETAINV(C1331,Test1_Hand!$B$21,Test1_Hand!$B$22,Test1_Hand!$B$9,Test1_Hand!$B$11)</f>
        <v>4.61979875188648</v>
      </c>
      <c r="E1331" s="2" t="n">
        <f aca="false">IF(B1331&lt;Test1_Hand!$B$12,1,0)</f>
        <v>1</v>
      </c>
      <c r="F1331" s="23" t="n">
        <f aca="false">Test1_Hand!$B$4+E1331*D1331</f>
        <v>20.6197987518865</v>
      </c>
      <c r="G1331" s="24" t="n">
        <f aca="false">Test1_Hand!$B$6*E1331*D1331+Test1_Hand!$B$7*MAX(0,F1331-Test1_Hand!$B$5)</f>
        <v>40057.3837745243</v>
      </c>
      <c r="H1331" s="2" t="n">
        <f aca="false">IF(B1331&lt;Test1_Hand!$B$13,1,0)</f>
        <v>0</v>
      </c>
      <c r="I1331" s="23" t="n">
        <f aca="false">Test1_Hand!$B$4+H1331*D1331</f>
        <v>16</v>
      </c>
      <c r="J1331" s="24" t="n">
        <f aca="false">Test1_Hand!$B$6*H1331*D1331+Test1_Hand!$B$7*MAX(0,I1331-Test1_Hand!$B$5)+Test1_Hand!$B$14</f>
        <v>6000</v>
      </c>
    </row>
    <row r="1332" customFormat="false" ht="15" hidden="false" customHeight="false" outlineLevel="0" collapsed="false">
      <c r="A1332" s="2" t="n">
        <v>1320</v>
      </c>
      <c r="B1332" s="22" t="n">
        <v>0.295383227477919</v>
      </c>
      <c r="C1332" s="22" t="n">
        <v>0.985326300661413</v>
      </c>
      <c r="D1332" s="23" t="n">
        <f aca="false">BETAINV(C1332,Test1_Hand!$B$21,Test1_Hand!$B$22,Test1_Hand!$B$9,Test1_Hand!$B$11)</f>
        <v>6.42452340423571</v>
      </c>
      <c r="E1332" s="2" t="n">
        <f aca="false">IF(B1332&lt;Test1_Hand!$B$12,1,0)</f>
        <v>1</v>
      </c>
      <c r="F1332" s="23" t="n">
        <f aca="false">Test1_Hand!$B$4+E1332*D1332</f>
        <v>22.4245234042357</v>
      </c>
      <c r="G1332" s="24" t="n">
        <f aca="false">Test1_Hand!$B$6*E1332*D1332+Test1_Hand!$B$7*MAX(0,F1332-Test1_Hand!$B$5)</f>
        <v>63518.8042550642</v>
      </c>
      <c r="H1332" s="2" t="n">
        <f aca="false">IF(B1332&lt;Test1_Hand!$B$13,1,0)</f>
        <v>0</v>
      </c>
      <c r="I1332" s="23" t="n">
        <f aca="false">Test1_Hand!$B$4+H1332*D1332</f>
        <v>16</v>
      </c>
      <c r="J1332" s="24" t="n">
        <f aca="false">Test1_Hand!$B$6*H1332*D1332+Test1_Hand!$B$7*MAX(0,I1332-Test1_Hand!$B$5)+Test1_Hand!$B$14</f>
        <v>6000</v>
      </c>
    </row>
    <row r="1333" customFormat="false" ht="15" hidden="false" customHeight="false" outlineLevel="0" collapsed="false">
      <c r="A1333" s="2" t="n">
        <v>1321</v>
      </c>
      <c r="B1333" s="22" t="n">
        <v>0.950518577958327</v>
      </c>
      <c r="C1333" s="22" t="n">
        <v>0.367374768520436</v>
      </c>
      <c r="D1333" s="23" t="n">
        <f aca="false">BETAINV(C1333,Test1_Hand!$B$21,Test1_Hand!$B$22,Test1_Hand!$B$9,Test1_Hand!$B$11)</f>
        <v>2.92369144934643</v>
      </c>
      <c r="E1333" s="2" t="n">
        <f aca="false">IF(B1333&lt;Test1_Hand!$B$12,1,0)</f>
        <v>0</v>
      </c>
      <c r="F1333" s="23" t="n">
        <f aca="false">Test1_Hand!$B$4+E1333*D1333</f>
        <v>16</v>
      </c>
      <c r="G1333" s="24" t="n">
        <f aca="false">Test1_Hand!$B$6*E1333*D1333+Test1_Hand!$B$7*MAX(0,F1333-Test1_Hand!$B$5)</f>
        <v>0</v>
      </c>
      <c r="H1333" s="2" t="n">
        <f aca="false">IF(B1333&lt;Test1_Hand!$B$13,1,0)</f>
        <v>0</v>
      </c>
      <c r="I1333" s="23" t="n">
        <f aca="false">Test1_Hand!$B$4+H1333*D1333</f>
        <v>16</v>
      </c>
      <c r="J1333" s="24" t="n">
        <f aca="false">Test1_Hand!$B$6*H1333*D1333+Test1_Hand!$B$7*MAX(0,I1333-Test1_Hand!$B$5)+Test1_Hand!$B$14</f>
        <v>6000</v>
      </c>
    </row>
    <row r="1334" customFormat="false" ht="15" hidden="false" customHeight="false" outlineLevel="0" collapsed="false">
      <c r="A1334" s="2" t="n">
        <v>1322</v>
      </c>
      <c r="B1334" s="22" t="n">
        <v>0.0309791927213738</v>
      </c>
      <c r="C1334" s="22" t="n">
        <v>0.604017167299948</v>
      </c>
      <c r="D1334" s="23" t="n">
        <f aca="false">BETAINV(C1334,Test1_Hand!$B$21,Test1_Hand!$B$22,Test1_Hand!$B$9,Test1_Hand!$B$11)</f>
        <v>3.76233427086185</v>
      </c>
      <c r="E1334" s="2" t="n">
        <f aca="false">IF(B1334&lt;Test1_Hand!$B$12,1,0)</f>
        <v>1</v>
      </c>
      <c r="F1334" s="23" t="n">
        <f aca="false">Test1_Hand!$B$4+E1334*D1334</f>
        <v>19.7623342708618</v>
      </c>
      <c r="G1334" s="24" t="n">
        <f aca="false">Test1_Hand!$B$6*E1334*D1334+Test1_Hand!$B$7*MAX(0,F1334-Test1_Hand!$B$5)</f>
        <v>30098.6741668948</v>
      </c>
      <c r="H1334" s="2" t="n">
        <f aca="false">IF(B1334&lt;Test1_Hand!$B$13,1,0)</f>
        <v>1</v>
      </c>
      <c r="I1334" s="23" t="n">
        <f aca="false">Test1_Hand!$B$4+H1334*D1334</f>
        <v>19.7623342708618</v>
      </c>
      <c r="J1334" s="24" t="n">
        <f aca="false">Test1_Hand!$B$6*H1334*D1334+Test1_Hand!$B$7*MAX(0,I1334-Test1_Hand!$B$5)+Test1_Hand!$B$14</f>
        <v>36098.6741668948</v>
      </c>
    </row>
    <row r="1335" customFormat="false" ht="15" hidden="false" customHeight="false" outlineLevel="0" collapsed="false">
      <c r="A1335" s="2" t="n">
        <v>1323</v>
      </c>
      <c r="B1335" s="22" t="n">
        <v>0.86559675511832</v>
      </c>
      <c r="C1335" s="22" t="n">
        <v>0.518971947433126</v>
      </c>
      <c r="D1335" s="23" t="n">
        <f aca="false">BETAINV(C1335,Test1_Hand!$B$21,Test1_Hand!$B$22,Test1_Hand!$B$9,Test1_Hand!$B$11)</f>
        <v>3.44986558625631</v>
      </c>
      <c r="E1335" s="2" t="n">
        <f aca="false">IF(B1335&lt;Test1_Hand!$B$12,1,0)</f>
        <v>0</v>
      </c>
      <c r="F1335" s="23" t="n">
        <f aca="false">Test1_Hand!$B$4+E1335*D1335</f>
        <v>16</v>
      </c>
      <c r="G1335" s="24" t="n">
        <f aca="false">Test1_Hand!$B$6*E1335*D1335+Test1_Hand!$B$7*MAX(0,F1335-Test1_Hand!$B$5)</f>
        <v>0</v>
      </c>
      <c r="H1335" s="2" t="n">
        <f aca="false">IF(B1335&lt;Test1_Hand!$B$13,1,0)</f>
        <v>0</v>
      </c>
      <c r="I1335" s="23" t="n">
        <f aca="false">Test1_Hand!$B$4+H1335*D1335</f>
        <v>16</v>
      </c>
      <c r="J1335" s="24" t="n">
        <f aca="false">Test1_Hand!$B$6*H1335*D1335+Test1_Hand!$B$7*MAX(0,I1335-Test1_Hand!$B$5)+Test1_Hand!$B$14</f>
        <v>6000</v>
      </c>
    </row>
    <row r="1336" customFormat="false" ht="15" hidden="false" customHeight="false" outlineLevel="0" collapsed="false">
      <c r="A1336" s="2" t="n">
        <v>1324</v>
      </c>
      <c r="B1336" s="22" t="n">
        <v>0.878027951314749</v>
      </c>
      <c r="C1336" s="22" t="n">
        <v>0.439679634002635</v>
      </c>
      <c r="D1336" s="23" t="n">
        <f aca="false">BETAINV(C1336,Test1_Hand!$B$21,Test1_Hand!$B$22,Test1_Hand!$B$9,Test1_Hand!$B$11)</f>
        <v>3.17230168402124</v>
      </c>
      <c r="E1336" s="2" t="n">
        <f aca="false">IF(B1336&lt;Test1_Hand!$B$12,1,0)</f>
        <v>0</v>
      </c>
      <c r="F1336" s="23" t="n">
        <f aca="false">Test1_Hand!$B$4+E1336*D1336</f>
        <v>16</v>
      </c>
      <c r="G1336" s="24" t="n">
        <f aca="false">Test1_Hand!$B$6*E1336*D1336+Test1_Hand!$B$7*MAX(0,F1336-Test1_Hand!$B$5)</f>
        <v>0</v>
      </c>
      <c r="H1336" s="2" t="n">
        <f aca="false">IF(B1336&lt;Test1_Hand!$B$13,1,0)</f>
        <v>0</v>
      </c>
      <c r="I1336" s="23" t="n">
        <f aca="false">Test1_Hand!$B$4+H1336*D1336</f>
        <v>16</v>
      </c>
      <c r="J1336" s="24" t="n">
        <f aca="false">Test1_Hand!$B$6*H1336*D1336+Test1_Hand!$B$7*MAX(0,I1336-Test1_Hand!$B$5)+Test1_Hand!$B$14</f>
        <v>6000</v>
      </c>
    </row>
    <row r="1337" customFormat="false" ht="15" hidden="false" customHeight="false" outlineLevel="0" collapsed="false">
      <c r="A1337" s="2" t="n">
        <v>1325</v>
      </c>
      <c r="B1337" s="22" t="n">
        <v>0.538307213740685</v>
      </c>
      <c r="C1337" s="22" t="n">
        <v>0.402566347557061</v>
      </c>
      <c r="D1337" s="23" t="n">
        <f aca="false">BETAINV(C1337,Test1_Hand!$B$21,Test1_Hand!$B$22,Test1_Hand!$B$9,Test1_Hand!$B$11)</f>
        <v>3.04455236481374</v>
      </c>
      <c r="E1337" s="2" t="n">
        <f aca="false">IF(B1337&lt;Test1_Hand!$B$12,1,0)</f>
        <v>0</v>
      </c>
      <c r="F1337" s="23" t="n">
        <f aca="false">Test1_Hand!$B$4+E1337*D1337</f>
        <v>16</v>
      </c>
      <c r="G1337" s="24" t="n">
        <f aca="false">Test1_Hand!$B$6*E1337*D1337+Test1_Hand!$B$7*MAX(0,F1337-Test1_Hand!$B$5)</f>
        <v>0</v>
      </c>
      <c r="H1337" s="2" t="n">
        <f aca="false">IF(B1337&lt;Test1_Hand!$B$13,1,0)</f>
        <v>0</v>
      </c>
      <c r="I1337" s="23" t="n">
        <f aca="false">Test1_Hand!$B$4+H1337*D1337</f>
        <v>16</v>
      </c>
      <c r="J1337" s="24" t="n">
        <f aca="false">Test1_Hand!$B$6*H1337*D1337+Test1_Hand!$B$7*MAX(0,I1337-Test1_Hand!$B$5)+Test1_Hand!$B$14</f>
        <v>6000</v>
      </c>
    </row>
    <row r="1338" customFormat="false" ht="15" hidden="false" customHeight="false" outlineLevel="0" collapsed="false">
      <c r="A1338" s="2" t="n">
        <v>1326</v>
      </c>
      <c r="B1338" s="22" t="n">
        <v>0.0824965441633552</v>
      </c>
      <c r="C1338" s="22" t="n">
        <v>0.20561984458405</v>
      </c>
      <c r="D1338" s="23" t="n">
        <f aca="false">BETAINV(C1338,Test1_Hand!$B$21,Test1_Hand!$B$22,Test1_Hand!$B$9,Test1_Hand!$B$11)</f>
        <v>2.34812596223271</v>
      </c>
      <c r="E1338" s="2" t="n">
        <f aca="false">IF(B1338&lt;Test1_Hand!$B$12,1,0)</f>
        <v>1</v>
      </c>
      <c r="F1338" s="23" t="n">
        <f aca="false">Test1_Hand!$B$4+E1338*D1338</f>
        <v>18.3481259622327</v>
      </c>
      <c r="G1338" s="24" t="n">
        <f aca="false">Test1_Hand!$B$6*E1338*D1338+Test1_Hand!$B$7*MAX(0,F1338-Test1_Hand!$B$5)</f>
        <v>18785.0076978617</v>
      </c>
      <c r="H1338" s="2" t="n">
        <f aca="false">IF(B1338&lt;Test1_Hand!$B$13,1,0)</f>
        <v>1</v>
      </c>
      <c r="I1338" s="23" t="n">
        <f aca="false">Test1_Hand!$B$4+H1338*D1338</f>
        <v>18.3481259622327</v>
      </c>
      <c r="J1338" s="24" t="n">
        <f aca="false">Test1_Hand!$B$6*H1338*D1338+Test1_Hand!$B$7*MAX(0,I1338-Test1_Hand!$B$5)+Test1_Hand!$B$14</f>
        <v>24785.0076978617</v>
      </c>
    </row>
    <row r="1339" customFormat="false" ht="15" hidden="false" customHeight="false" outlineLevel="0" collapsed="false">
      <c r="A1339" s="2" t="n">
        <v>1327</v>
      </c>
      <c r="B1339" s="22" t="n">
        <v>0.869536536430818</v>
      </c>
      <c r="C1339" s="22" t="n">
        <v>0.491207016962999</v>
      </c>
      <c r="D1339" s="23" t="n">
        <f aca="false">BETAINV(C1339,Test1_Hand!$B$21,Test1_Hand!$B$22,Test1_Hand!$B$9,Test1_Hand!$B$11)</f>
        <v>3.35162589044393</v>
      </c>
      <c r="E1339" s="2" t="n">
        <f aca="false">IF(B1339&lt;Test1_Hand!$B$12,1,0)</f>
        <v>0</v>
      </c>
      <c r="F1339" s="23" t="n">
        <f aca="false">Test1_Hand!$B$4+E1339*D1339</f>
        <v>16</v>
      </c>
      <c r="G1339" s="24" t="n">
        <f aca="false">Test1_Hand!$B$6*E1339*D1339+Test1_Hand!$B$7*MAX(0,F1339-Test1_Hand!$B$5)</f>
        <v>0</v>
      </c>
      <c r="H1339" s="2" t="n">
        <f aca="false">IF(B1339&lt;Test1_Hand!$B$13,1,0)</f>
        <v>0</v>
      </c>
      <c r="I1339" s="23" t="n">
        <f aca="false">Test1_Hand!$B$4+H1339*D1339</f>
        <v>16</v>
      </c>
      <c r="J1339" s="24" t="n">
        <f aca="false">Test1_Hand!$B$6*H1339*D1339+Test1_Hand!$B$7*MAX(0,I1339-Test1_Hand!$B$5)+Test1_Hand!$B$14</f>
        <v>6000</v>
      </c>
    </row>
    <row r="1340" customFormat="false" ht="15" hidden="false" customHeight="false" outlineLevel="0" collapsed="false">
      <c r="A1340" s="2" t="n">
        <v>1328</v>
      </c>
      <c r="B1340" s="22" t="n">
        <v>0.705856296036043</v>
      </c>
      <c r="C1340" s="22" t="n">
        <v>0.682051073266012</v>
      </c>
      <c r="D1340" s="23" t="n">
        <f aca="false">BETAINV(C1340,Test1_Hand!$B$21,Test1_Hand!$B$22,Test1_Hand!$B$9,Test1_Hand!$B$11)</f>
        <v>4.0731852477869</v>
      </c>
      <c r="E1340" s="2" t="n">
        <f aca="false">IF(B1340&lt;Test1_Hand!$B$12,1,0)</f>
        <v>0</v>
      </c>
      <c r="F1340" s="23" t="n">
        <f aca="false">Test1_Hand!$B$4+E1340*D1340</f>
        <v>16</v>
      </c>
      <c r="G1340" s="24" t="n">
        <f aca="false">Test1_Hand!$B$6*E1340*D1340+Test1_Hand!$B$7*MAX(0,F1340-Test1_Hand!$B$5)</f>
        <v>0</v>
      </c>
      <c r="H1340" s="2" t="n">
        <f aca="false">IF(B1340&lt;Test1_Hand!$B$13,1,0)</f>
        <v>0</v>
      </c>
      <c r="I1340" s="23" t="n">
        <f aca="false">Test1_Hand!$B$4+H1340*D1340</f>
        <v>16</v>
      </c>
      <c r="J1340" s="24" t="n">
        <f aca="false">Test1_Hand!$B$6*H1340*D1340+Test1_Hand!$B$7*MAX(0,I1340-Test1_Hand!$B$5)+Test1_Hand!$B$14</f>
        <v>6000</v>
      </c>
    </row>
    <row r="1341" customFormat="false" ht="15" hidden="false" customHeight="false" outlineLevel="0" collapsed="false">
      <c r="A1341" s="2" t="n">
        <v>1329</v>
      </c>
      <c r="B1341" s="22" t="n">
        <v>0.176457698501735</v>
      </c>
      <c r="C1341" s="22" t="n">
        <v>0.0410279715232074</v>
      </c>
      <c r="D1341" s="23" t="n">
        <f aca="false">BETAINV(C1341,Test1_Hand!$B$21,Test1_Hand!$B$22,Test1_Hand!$B$9,Test1_Hand!$B$11)</f>
        <v>1.5699136467487</v>
      </c>
      <c r="E1341" s="2" t="n">
        <f aca="false">IF(B1341&lt;Test1_Hand!$B$12,1,0)</f>
        <v>1</v>
      </c>
      <c r="F1341" s="23" t="n">
        <f aca="false">Test1_Hand!$B$4+E1341*D1341</f>
        <v>17.5699136467487</v>
      </c>
      <c r="G1341" s="24" t="n">
        <f aca="false">Test1_Hand!$B$6*E1341*D1341+Test1_Hand!$B$7*MAX(0,F1341-Test1_Hand!$B$5)</f>
        <v>12559.3091739896</v>
      </c>
      <c r="H1341" s="2" t="n">
        <f aca="false">IF(B1341&lt;Test1_Hand!$B$13,1,0)</f>
        <v>1</v>
      </c>
      <c r="I1341" s="23" t="n">
        <f aca="false">Test1_Hand!$B$4+H1341*D1341</f>
        <v>17.5699136467487</v>
      </c>
      <c r="J1341" s="24" t="n">
        <f aca="false">Test1_Hand!$B$6*H1341*D1341+Test1_Hand!$B$7*MAX(0,I1341-Test1_Hand!$B$5)+Test1_Hand!$B$14</f>
        <v>18559.3091739896</v>
      </c>
    </row>
    <row r="1342" customFormat="false" ht="15" hidden="false" customHeight="false" outlineLevel="0" collapsed="false">
      <c r="A1342" s="2" t="n">
        <v>1330</v>
      </c>
      <c r="B1342" s="22" t="n">
        <v>0.149022462442952</v>
      </c>
      <c r="C1342" s="22" t="n">
        <v>0.0233721226732104</v>
      </c>
      <c r="D1342" s="23" t="n">
        <f aca="false">BETAINV(C1342,Test1_Hand!$B$21,Test1_Hand!$B$22,Test1_Hand!$B$9,Test1_Hand!$B$11)</f>
        <v>1.43009884770703</v>
      </c>
      <c r="E1342" s="2" t="n">
        <f aca="false">IF(B1342&lt;Test1_Hand!$B$12,1,0)</f>
        <v>1</v>
      </c>
      <c r="F1342" s="23" t="n">
        <f aca="false">Test1_Hand!$B$4+E1342*D1342</f>
        <v>17.430098847707</v>
      </c>
      <c r="G1342" s="24" t="n">
        <f aca="false">Test1_Hand!$B$6*E1342*D1342+Test1_Hand!$B$7*MAX(0,F1342-Test1_Hand!$B$5)</f>
        <v>11440.7907816562</v>
      </c>
      <c r="H1342" s="2" t="n">
        <f aca="false">IF(B1342&lt;Test1_Hand!$B$13,1,0)</f>
        <v>1</v>
      </c>
      <c r="I1342" s="23" t="n">
        <f aca="false">Test1_Hand!$B$4+H1342*D1342</f>
        <v>17.430098847707</v>
      </c>
      <c r="J1342" s="24" t="n">
        <f aca="false">Test1_Hand!$B$6*H1342*D1342+Test1_Hand!$B$7*MAX(0,I1342-Test1_Hand!$B$5)+Test1_Hand!$B$14</f>
        <v>17440.7907816562</v>
      </c>
    </row>
    <row r="1343" customFormat="false" ht="15" hidden="false" customHeight="false" outlineLevel="0" collapsed="false">
      <c r="A1343" s="2" t="n">
        <v>1331</v>
      </c>
      <c r="B1343" s="22" t="n">
        <v>0.231573180872663</v>
      </c>
      <c r="C1343" s="22" t="n">
        <v>0.564059921670829</v>
      </c>
      <c r="D1343" s="23" t="n">
        <f aca="false">BETAINV(C1343,Test1_Hand!$B$21,Test1_Hand!$B$22,Test1_Hand!$B$9,Test1_Hand!$B$11)</f>
        <v>3.61294233890814</v>
      </c>
      <c r="E1343" s="2" t="n">
        <f aca="false">IF(B1343&lt;Test1_Hand!$B$12,1,0)</f>
        <v>1</v>
      </c>
      <c r="F1343" s="23" t="n">
        <f aca="false">Test1_Hand!$B$4+E1343*D1343</f>
        <v>19.6129423389081</v>
      </c>
      <c r="G1343" s="24" t="n">
        <f aca="false">Test1_Hand!$B$6*E1343*D1343+Test1_Hand!$B$7*MAX(0,F1343-Test1_Hand!$B$5)</f>
        <v>28903.5387112651</v>
      </c>
      <c r="H1343" s="2" t="n">
        <f aca="false">IF(B1343&lt;Test1_Hand!$B$13,1,0)</f>
        <v>0</v>
      </c>
      <c r="I1343" s="23" t="n">
        <f aca="false">Test1_Hand!$B$4+H1343*D1343</f>
        <v>16</v>
      </c>
      <c r="J1343" s="24" t="n">
        <f aca="false">Test1_Hand!$B$6*H1343*D1343+Test1_Hand!$B$7*MAX(0,I1343-Test1_Hand!$B$5)+Test1_Hand!$B$14</f>
        <v>6000</v>
      </c>
    </row>
    <row r="1344" customFormat="false" ht="15" hidden="false" customHeight="false" outlineLevel="0" collapsed="false">
      <c r="A1344" s="2" t="n">
        <v>1332</v>
      </c>
      <c r="B1344" s="22" t="n">
        <v>0.387277695791096</v>
      </c>
      <c r="C1344" s="22" t="n">
        <v>0.218222345075461</v>
      </c>
      <c r="D1344" s="23" t="n">
        <f aca="false">BETAINV(C1344,Test1_Hand!$B$21,Test1_Hand!$B$22,Test1_Hand!$B$9,Test1_Hand!$B$11)</f>
        <v>2.39560096830521</v>
      </c>
      <c r="E1344" s="2" t="n">
        <f aca="false">IF(B1344&lt;Test1_Hand!$B$12,1,0)</f>
        <v>1</v>
      </c>
      <c r="F1344" s="23" t="n">
        <f aca="false">Test1_Hand!$B$4+E1344*D1344</f>
        <v>18.3956009683052</v>
      </c>
      <c r="G1344" s="24" t="n">
        <f aca="false">Test1_Hand!$B$6*E1344*D1344+Test1_Hand!$B$7*MAX(0,F1344-Test1_Hand!$B$5)</f>
        <v>19164.8077464417</v>
      </c>
      <c r="H1344" s="2" t="n">
        <f aca="false">IF(B1344&lt;Test1_Hand!$B$13,1,0)</f>
        <v>0</v>
      </c>
      <c r="I1344" s="23" t="n">
        <f aca="false">Test1_Hand!$B$4+H1344*D1344</f>
        <v>16</v>
      </c>
      <c r="J1344" s="24" t="n">
        <f aca="false">Test1_Hand!$B$6*H1344*D1344+Test1_Hand!$B$7*MAX(0,I1344-Test1_Hand!$B$5)+Test1_Hand!$B$14</f>
        <v>6000</v>
      </c>
    </row>
    <row r="1345" customFormat="false" ht="15" hidden="false" customHeight="false" outlineLevel="0" collapsed="false">
      <c r="A1345" s="2" t="n">
        <v>1333</v>
      </c>
      <c r="B1345" s="22" t="n">
        <v>0.789383034683089</v>
      </c>
      <c r="C1345" s="22" t="n">
        <v>0.276418609987089</v>
      </c>
      <c r="D1345" s="23" t="n">
        <f aca="false">BETAINV(C1345,Test1_Hand!$B$21,Test1_Hand!$B$22,Test1_Hand!$B$9,Test1_Hand!$B$11)</f>
        <v>2.60715962708534</v>
      </c>
      <c r="E1345" s="2" t="n">
        <f aca="false">IF(B1345&lt;Test1_Hand!$B$12,1,0)</f>
        <v>0</v>
      </c>
      <c r="F1345" s="23" t="n">
        <f aca="false">Test1_Hand!$B$4+E1345*D1345</f>
        <v>16</v>
      </c>
      <c r="G1345" s="24" t="n">
        <f aca="false">Test1_Hand!$B$6*E1345*D1345+Test1_Hand!$B$7*MAX(0,F1345-Test1_Hand!$B$5)</f>
        <v>0</v>
      </c>
      <c r="H1345" s="2" t="n">
        <f aca="false">IF(B1345&lt;Test1_Hand!$B$13,1,0)</f>
        <v>0</v>
      </c>
      <c r="I1345" s="23" t="n">
        <f aca="false">Test1_Hand!$B$4+H1345*D1345</f>
        <v>16</v>
      </c>
      <c r="J1345" s="24" t="n">
        <f aca="false">Test1_Hand!$B$6*H1345*D1345+Test1_Hand!$B$7*MAX(0,I1345-Test1_Hand!$B$5)+Test1_Hand!$B$14</f>
        <v>6000</v>
      </c>
    </row>
    <row r="1346" customFormat="false" ht="15" hidden="false" customHeight="false" outlineLevel="0" collapsed="false">
      <c r="A1346" s="2" t="n">
        <v>1334</v>
      </c>
      <c r="B1346" s="22" t="n">
        <v>0.906619991172877</v>
      </c>
      <c r="C1346" s="22" t="n">
        <v>0.150715852635252</v>
      </c>
      <c r="D1346" s="23" t="n">
        <f aca="false">BETAINV(C1346,Test1_Hand!$B$21,Test1_Hand!$B$22,Test1_Hand!$B$9,Test1_Hand!$B$11)</f>
        <v>2.13050902601263</v>
      </c>
      <c r="E1346" s="2" t="n">
        <f aca="false">IF(B1346&lt;Test1_Hand!$B$12,1,0)</f>
        <v>0</v>
      </c>
      <c r="F1346" s="23" t="n">
        <f aca="false">Test1_Hand!$B$4+E1346*D1346</f>
        <v>16</v>
      </c>
      <c r="G1346" s="24" t="n">
        <f aca="false">Test1_Hand!$B$6*E1346*D1346+Test1_Hand!$B$7*MAX(0,F1346-Test1_Hand!$B$5)</f>
        <v>0</v>
      </c>
      <c r="H1346" s="2" t="n">
        <f aca="false">IF(B1346&lt;Test1_Hand!$B$13,1,0)</f>
        <v>0</v>
      </c>
      <c r="I1346" s="23" t="n">
        <f aca="false">Test1_Hand!$B$4+H1346*D1346</f>
        <v>16</v>
      </c>
      <c r="J1346" s="24" t="n">
        <f aca="false">Test1_Hand!$B$6*H1346*D1346+Test1_Hand!$B$7*MAX(0,I1346-Test1_Hand!$B$5)+Test1_Hand!$B$14</f>
        <v>6000</v>
      </c>
    </row>
    <row r="1347" customFormat="false" ht="15" hidden="false" customHeight="false" outlineLevel="0" collapsed="false">
      <c r="A1347" s="2" t="n">
        <v>1335</v>
      </c>
      <c r="B1347" s="22" t="n">
        <v>0.208369966865492</v>
      </c>
      <c r="C1347" s="22" t="n">
        <v>0.203874604454851</v>
      </c>
      <c r="D1347" s="23" t="n">
        <f aca="false">BETAINV(C1347,Test1_Hand!$B$21,Test1_Hand!$B$22,Test1_Hand!$B$9,Test1_Hand!$B$11)</f>
        <v>2.34149196240633</v>
      </c>
      <c r="E1347" s="2" t="n">
        <f aca="false">IF(B1347&lt;Test1_Hand!$B$12,1,0)</f>
        <v>1</v>
      </c>
      <c r="F1347" s="23" t="n">
        <f aca="false">Test1_Hand!$B$4+E1347*D1347</f>
        <v>18.3414919624063</v>
      </c>
      <c r="G1347" s="24" t="n">
        <f aca="false">Test1_Hand!$B$6*E1347*D1347+Test1_Hand!$B$7*MAX(0,F1347-Test1_Hand!$B$5)</f>
        <v>18731.9356992506</v>
      </c>
      <c r="H1347" s="2" t="n">
        <f aca="false">IF(B1347&lt;Test1_Hand!$B$13,1,0)</f>
        <v>0</v>
      </c>
      <c r="I1347" s="23" t="n">
        <f aca="false">Test1_Hand!$B$4+H1347*D1347</f>
        <v>16</v>
      </c>
      <c r="J1347" s="24" t="n">
        <f aca="false">Test1_Hand!$B$6*H1347*D1347+Test1_Hand!$B$7*MAX(0,I1347-Test1_Hand!$B$5)+Test1_Hand!$B$14</f>
        <v>6000</v>
      </c>
    </row>
    <row r="1348" customFormat="false" ht="15" hidden="false" customHeight="false" outlineLevel="0" collapsed="false">
      <c r="A1348" s="2" t="n">
        <v>1336</v>
      </c>
      <c r="B1348" s="22" t="n">
        <v>0.185479159535132</v>
      </c>
      <c r="C1348" s="22" t="n">
        <v>0.137147047169969</v>
      </c>
      <c r="D1348" s="23" t="n">
        <f aca="false">BETAINV(C1348,Test1_Hand!$B$21,Test1_Hand!$B$22,Test1_Hand!$B$9,Test1_Hand!$B$11)</f>
        <v>2.07306776617587</v>
      </c>
      <c r="E1348" s="2" t="n">
        <f aca="false">IF(B1348&lt;Test1_Hand!$B$12,1,0)</f>
        <v>1</v>
      </c>
      <c r="F1348" s="23" t="n">
        <f aca="false">Test1_Hand!$B$4+E1348*D1348</f>
        <v>18.0730677661759</v>
      </c>
      <c r="G1348" s="24" t="n">
        <f aca="false">Test1_Hand!$B$6*E1348*D1348+Test1_Hand!$B$7*MAX(0,F1348-Test1_Hand!$B$5)</f>
        <v>16584.5421294069</v>
      </c>
      <c r="H1348" s="2" t="n">
        <f aca="false">IF(B1348&lt;Test1_Hand!$B$13,1,0)</f>
        <v>1</v>
      </c>
      <c r="I1348" s="23" t="n">
        <f aca="false">Test1_Hand!$B$4+H1348*D1348</f>
        <v>18.0730677661759</v>
      </c>
      <c r="J1348" s="24" t="n">
        <f aca="false">Test1_Hand!$B$6*H1348*D1348+Test1_Hand!$B$7*MAX(0,I1348-Test1_Hand!$B$5)+Test1_Hand!$B$14</f>
        <v>22584.5421294069</v>
      </c>
    </row>
    <row r="1349" customFormat="false" ht="15" hidden="false" customHeight="false" outlineLevel="0" collapsed="false">
      <c r="A1349" s="2" t="n">
        <v>1337</v>
      </c>
      <c r="B1349" s="22" t="n">
        <v>0.977986269810958</v>
      </c>
      <c r="C1349" s="22" t="n">
        <v>0.124069110803686</v>
      </c>
      <c r="D1349" s="23" t="n">
        <f aca="false">BETAINV(C1349,Test1_Hand!$B$21,Test1_Hand!$B$22,Test1_Hand!$B$9,Test1_Hand!$B$11)</f>
        <v>2.01582157405575</v>
      </c>
      <c r="E1349" s="2" t="n">
        <f aca="false">IF(B1349&lt;Test1_Hand!$B$12,1,0)</f>
        <v>0</v>
      </c>
      <c r="F1349" s="23" t="n">
        <f aca="false">Test1_Hand!$B$4+E1349*D1349</f>
        <v>16</v>
      </c>
      <c r="G1349" s="24" t="n">
        <f aca="false">Test1_Hand!$B$6*E1349*D1349+Test1_Hand!$B$7*MAX(0,F1349-Test1_Hand!$B$5)</f>
        <v>0</v>
      </c>
      <c r="H1349" s="2" t="n">
        <f aca="false">IF(B1349&lt;Test1_Hand!$B$13,1,0)</f>
        <v>0</v>
      </c>
      <c r="I1349" s="23" t="n">
        <f aca="false">Test1_Hand!$B$4+H1349*D1349</f>
        <v>16</v>
      </c>
      <c r="J1349" s="24" t="n">
        <f aca="false">Test1_Hand!$B$6*H1349*D1349+Test1_Hand!$B$7*MAX(0,I1349-Test1_Hand!$B$5)+Test1_Hand!$B$14</f>
        <v>6000</v>
      </c>
    </row>
    <row r="1350" customFormat="false" ht="15" hidden="false" customHeight="false" outlineLevel="0" collapsed="false">
      <c r="A1350" s="2" t="n">
        <v>1338</v>
      </c>
      <c r="B1350" s="22" t="n">
        <v>0.925864720484468</v>
      </c>
      <c r="C1350" s="22" t="n">
        <v>0.304204325683131</v>
      </c>
      <c r="D1350" s="23" t="n">
        <f aca="false">BETAINV(C1350,Test1_Hand!$B$21,Test1_Hand!$B$22,Test1_Hand!$B$9,Test1_Hand!$B$11)</f>
        <v>2.7050492603557</v>
      </c>
      <c r="E1350" s="2" t="n">
        <f aca="false">IF(B1350&lt;Test1_Hand!$B$12,1,0)</f>
        <v>0</v>
      </c>
      <c r="F1350" s="23" t="n">
        <f aca="false">Test1_Hand!$B$4+E1350*D1350</f>
        <v>16</v>
      </c>
      <c r="G1350" s="24" t="n">
        <f aca="false">Test1_Hand!$B$6*E1350*D1350+Test1_Hand!$B$7*MAX(0,F1350-Test1_Hand!$B$5)</f>
        <v>0</v>
      </c>
      <c r="H1350" s="2" t="n">
        <f aca="false">IF(B1350&lt;Test1_Hand!$B$13,1,0)</f>
        <v>0</v>
      </c>
      <c r="I1350" s="23" t="n">
        <f aca="false">Test1_Hand!$B$4+H1350*D1350</f>
        <v>16</v>
      </c>
      <c r="J1350" s="24" t="n">
        <f aca="false">Test1_Hand!$B$6*H1350*D1350+Test1_Hand!$B$7*MAX(0,I1350-Test1_Hand!$B$5)+Test1_Hand!$B$14</f>
        <v>6000</v>
      </c>
    </row>
    <row r="1351" customFormat="false" ht="15" hidden="false" customHeight="false" outlineLevel="0" collapsed="false">
      <c r="A1351" s="2" t="n">
        <v>1339</v>
      </c>
      <c r="B1351" s="22" t="n">
        <v>0.109399447541602</v>
      </c>
      <c r="C1351" s="22" t="n">
        <v>0.357812579959416</v>
      </c>
      <c r="D1351" s="23" t="n">
        <f aca="false">BETAINV(C1351,Test1_Hand!$B$21,Test1_Hand!$B$22,Test1_Hand!$B$9,Test1_Hand!$B$11)</f>
        <v>2.89080282319658</v>
      </c>
      <c r="E1351" s="2" t="n">
        <f aca="false">IF(B1351&lt;Test1_Hand!$B$12,1,0)</f>
        <v>1</v>
      </c>
      <c r="F1351" s="23" t="n">
        <f aca="false">Test1_Hand!$B$4+E1351*D1351</f>
        <v>18.8908028231966</v>
      </c>
      <c r="G1351" s="24" t="n">
        <f aca="false">Test1_Hand!$B$6*E1351*D1351+Test1_Hand!$B$7*MAX(0,F1351-Test1_Hand!$B$5)</f>
        <v>23126.4225855726</v>
      </c>
      <c r="H1351" s="2" t="n">
        <f aca="false">IF(B1351&lt;Test1_Hand!$B$13,1,0)</f>
        <v>1</v>
      </c>
      <c r="I1351" s="23" t="n">
        <f aca="false">Test1_Hand!$B$4+H1351*D1351</f>
        <v>18.8908028231966</v>
      </c>
      <c r="J1351" s="24" t="n">
        <f aca="false">Test1_Hand!$B$6*H1351*D1351+Test1_Hand!$B$7*MAX(0,I1351-Test1_Hand!$B$5)+Test1_Hand!$B$14</f>
        <v>29126.4225855726</v>
      </c>
    </row>
    <row r="1352" customFormat="false" ht="15" hidden="false" customHeight="false" outlineLevel="0" collapsed="false">
      <c r="A1352" s="2" t="n">
        <v>1340</v>
      </c>
      <c r="B1352" s="22" t="n">
        <v>0.485349939542083</v>
      </c>
      <c r="C1352" s="22" t="n">
        <v>0.651031543914564</v>
      </c>
      <c r="D1352" s="23" t="n">
        <f aca="false">BETAINV(C1352,Test1_Hand!$B$21,Test1_Hand!$B$22,Test1_Hand!$B$9,Test1_Hand!$B$11)</f>
        <v>3.94599810462764</v>
      </c>
      <c r="E1352" s="2" t="n">
        <f aca="false">IF(B1352&lt;Test1_Hand!$B$12,1,0)</f>
        <v>1</v>
      </c>
      <c r="F1352" s="23" t="n">
        <f aca="false">Test1_Hand!$B$4+E1352*D1352</f>
        <v>19.9459981046276</v>
      </c>
      <c r="G1352" s="24" t="n">
        <f aca="false">Test1_Hand!$B$6*E1352*D1352+Test1_Hand!$B$7*MAX(0,F1352-Test1_Hand!$B$5)</f>
        <v>31567.9848370211</v>
      </c>
      <c r="H1352" s="2" t="n">
        <f aca="false">IF(B1352&lt;Test1_Hand!$B$13,1,0)</f>
        <v>0</v>
      </c>
      <c r="I1352" s="23" t="n">
        <f aca="false">Test1_Hand!$B$4+H1352*D1352</f>
        <v>16</v>
      </c>
      <c r="J1352" s="24" t="n">
        <f aca="false">Test1_Hand!$B$6*H1352*D1352+Test1_Hand!$B$7*MAX(0,I1352-Test1_Hand!$B$5)+Test1_Hand!$B$14</f>
        <v>6000</v>
      </c>
    </row>
    <row r="1353" customFormat="false" ht="15" hidden="false" customHeight="false" outlineLevel="0" collapsed="false">
      <c r="A1353" s="2" t="n">
        <v>1341</v>
      </c>
      <c r="B1353" s="22" t="n">
        <v>0.975271720351566</v>
      </c>
      <c r="C1353" s="22" t="n">
        <v>0.532224306917465</v>
      </c>
      <c r="D1353" s="23" t="n">
        <f aca="false">BETAINV(C1353,Test1_Hand!$B$21,Test1_Hand!$B$22,Test1_Hand!$B$9,Test1_Hand!$B$11)</f>
        <v>3.49729135507187</v>
      </c>
      <c r="E1353" s="2" t="n">
        <f aca="false">IF(B1353&lt;Test1_Hand!$B$12,1,0)</f>
        <v>0</v>
      </c>
      <c r="F1353" s="23" t="n">
        <f aca="false">Test1_Hand!$B$4+E1353*D1353</f>
        <v>16</v>
      </c>
      <c r="G1353" s="24" t="n">
        <f aca="false">Test1_Hand!$B$6*E1353*D1353+Test1_Hand!$B$7*MAX(0,F1353-Test1_Hand!$B$5)</f>
        <v>0</v>
      </c>
      <c r="H1353" s="2" t="n">
        <f aca="false">IF(B1353&lt;Test1_Hand!$B$13,1,0)</f>
        <v>0</v>
      </c>
      <c r="I1353" s="23" t="n">
        <f aca="false">Test1_Hand!$B$4+H1353*D1353</f>
        <v>16</v>
      </c>
      <c r="J1353" s="24" t="n">
        <f aca="false">Test1_Hand!$B$6*H1353*D1353+Test1_Hand!$B$7*MAX(0,I1353-Test1_Hand!$B$5)+Test1_Hand!$B$14</f>
        <v>6000</v>
      </c>
    </row>
    <row r="1354" customFormat="false" ht="15" hidden="false" customHeight="false" outlineLevel="0" collapsed="false">
      <c r="A1354" s="2" t="n">
        <v>1342</v>
      </c>
      <c r="B1354" s="22" t="n">
        <v>0.60862317895653</v>
      </c>
      <c r="C1354" s="22" t="n">
        <v>0.686873162236541</v>
      </c>
      <c r="D1354" s="23" t="n">
        <f aca="false">BETAINV(C1354,Test1_Hand!$B$21,Test1_Hand!$B$22,Test1_Hand!$B$9,Test1_Hand!$B$11)</f>
        <v>4.09346755191148</v>
      </c>
      <c r="E1354" s="2" t="n">
        <f aca="false">IF(B1354&lt;Test1_Hand!$B$12,1,0)</f>
        <v>0</v>
      </c>
      <c r="F1354" s="23" t="n">
        <f aca="false">Test1_Hand!$B$4+E1354*D1354</f>
        <v>16</v>
      </c>
      <c r="G1354" s="24" t="n">
        <f aca="false">Test1_Hand!$B$6*E1354*D1354+Test1_Hand!$B$7*MAX(0,F1354-Test1_Hand!$B$5)</f>
        <v>0</v>
      </c>
      <c r="H1354" s="2" t="n">
        <f aca="false">IF(B1354&lt;Test1_Hand!$B$13,1,0)</f>
        <v>0</v>
      </c>
      <c r="I1354" s="23" t="n">
        <f aca="false">Test1_Hand!$B$4+H1354*D1354</f>
        <v>16</v>
      </c>
      <c r="J1354" s="24" t="n">
        <f aca="false">Test1_Hand!$B$6*H1354*D1354+Test1_Hand!$B$7*MAX(0,I1354-Test1_Hand!$B$5)+Test1_Hand!$B$14</f>
        <v>6000</v>
      </c>
    </row>
    <row r="1355" customFormat="false" ht="15" hidden="false" customHeight="false" outlineLevel="0" collapsed="false">
      <c r="A1355" s="2" t="n">
        <v>1343</v>
      </c>
      <c r="B1355" s="22" t="n">
        <v>0.188339946809841</v>
      </c>
      <c r="C1355" s="22" t="n">
        <v>0.435734442710984</v>
      </c>
      <c r="D1355" s="23" t="n">
        <f aca="false">BETAINV(C1355,Test1_Hand!$B$21,Test1_Hand!$B$22,Test1_Hand!$B$9,Test1_Hand!$B$11)</f>
        <v>3.15868430049764</v>
      </c>
      <c r="E1355" s="2" t="n">
        <f aca="false">IF(B1355&lt;Test1_Hand!$B$12,1,0)</f>
        <v>1</v>
      </c>
      <c r="F1355" s="23" t="n">
        <f aca="false">Test1_Hand!$B$4+E1355*D1355</f>
        <v>19.1586843004976</v>
      </c>
      <c r="G1355" s="24" t="n">
        <f aca="false">Test1_Hand!$B$6*E1355*D1355+Test1_Hand!$B$7*MAX(0,F1355-Test1_Hand!$B$5)</f>
        <v>25269.4744039811</v>
      </c>
      <c r="H1355" s="2" t="n">
        <f aca="false">IF(B1355&lt;Test1_Hand!$B$13,1,0)</f>
        <v>1</v>
      </c>
      <c r="I1355" s="23" t="n">
        <f aca="false">Test1_Hand!$B$4+H1355*D1355</f>
        <v>19.1586843004976</v>
      </c>
      <c r="J1355" s="24" t="n">
        <f aca="false">Test1_Hand!$B$6*H1355*D1355+Test1_Hand!$B$7*MAX(0,I1355-Test1_Hand!$B$5)+Test1_Hand!$B$14</f>
        <v>31269.4744039811</v>
      </c>
    </row>
    <row r="1356" customFormat="false" ht="15" hidden="false" customHeight="false" outlineLevel="0" collapsed="false">
      <c r="A1356" s="2" t="n">
        <v>1344</v>
      </c>
      <c r="B1356" s="22" t="n">
        <v>0.765906707370091</v>
      </c>
      <c r="C1356" s="22" t="n">
        <v>0.18229790548816</v>
      </c>
      <c r="D1356" s="23" t="n">
        <f aca="false">BETAINV(C1356,Test1_Hand!$B$21,Test1_Hand!$B$22,Test1_Hand!$B$9,Test1_Hand!$B$11)</f>
        <v>2.25811582076467</v>
      </c>
      <c r="E1356" s="2" t="n">
        <f aca="false">IF(B1356&lt;Test1_Hand!$B$12,1,0)</f>
        <v>0</v>
      </c>
      <c r="F1356" s="23" t="n">
        <f aca="false">Test1_Hand!$B$4+E1356*D1356</f>
        <v>16</v>
      </c>
      <c r="G1356" s="24" t="n">
        <f aca="false">Test1_Hand!$B$6*E1356*D1356+Test1_Hand!$B$7*MAX(0,F1356-Test1_Hand!$B$5)</f>
        <v>0</v>
      </c>
      <c r="H1356" s="2" t="n">
        <f aca="false">IF(B1356&lt;Test1_Hand!$B$13,1,0)</f>
        <v>0</v>
      </c>
      <c r="I1356" s="23" t="n">
        <f aca="false">Test1_Hand!$B$4+H1356*D1356</f>
        <v>16</v>
      </c>
      <c r="J1356" s="24" t="n">
        <f aca="false">Test1_Hand!$B$6*H1356*D1356+Test1_Hand!$B$7*MAX(0,I1356-Test1_Hand!$B$5)+Test1_Hand!$B$14</f>
        <v>6000</v>
      </c>
    </row>
    <row r="1357" customFormat="false" ht="15" hidden="false" customHeight="false" outlineLevel="0" collapsed="false">
      <c r="A1357" s="2" t="n">
        <v>1345</v>
      </c>
      <c r="B1357" s="22" t="n">
        <v>0.168265099652677</v>
      </c>
      <c r="C1357" s="22" t="n">
        <v>0.664507781682825</v>
      </c>
      <c r="D1357" s="23" t="n">
        <f aca="false">BETAINV(C1357,Test1_Hand!$B$21,Test1_Hand!$B$22,Test1_Hand!$B$9,Test1_Hand!$B$11)</f>
        <v>4.00058866819991</v>
      </c>
      <c r="E1357" s="2" t="n">
        <f aca="false">IF(B1357&lt;Test1_Hand!$B$12,1,0)</f>
        <v>1</v>
      </c>
      <c r="F1357" s="23" t="n">
        <f aca="false">Test1_Hand!$B$4+E1357*D1357</f>
        <v>20.0005886681999</v>
      </c>
      <c r="G1357" s="24" t="n">
        <f aca="false">Test1_Hand!$B$6*E1357*D1357+Test1_Hand!$B$7*MAX(0,F1357-Test1_Hand!$B$5)</f>
        <v>32007.6526865989</v>
      </c>
      <c r="H1357" s="2" t="n">
        <f aca="false">IF(B1357&lt;Test1_Hand!$B$13,1,0)</f>
        <v>1</v>
      </c>
      <c r="I1357" s="23" t="n">
        <f aca="false">Test1_Hand!$B$4+H1357*D1357</f>
        <v>20.0005886681999</v>
      </c>
      <c r="J1357" s="24" t="n">
        <f aca="false">Test1_Hand!$B$6*H1357*D1357+Test1_Hand!$B$7*MAX(0,I1357-Test1_Hand!$B$5)+Test1_Hand!$B$14</f>
        <v>38007.6526865989</v>
      </c>
    </row>
    <row r="1358" customFormat="false" ht="15" hidden="false" customHeight="false" outlineLevel="0" collapsed="false">
      <c r="A1358" s="2" t="n">
        <v>1346</v>
      </c>
      <c r="B1358" s="22" t="n">
        <v>0.561465023901699</v>
      </c>
      <c r="C1358" s="22" t="n">
        <v>0.219232201327337</v>
      </c>
      <c r="D1358" s="23" t="n">
        <f aca="false">BETAINV(C1358,Test1_Hand!$B$21,Test1_Hand!$B$22,Test1_Hand!$B$9,Test1_Hand!$B$11)</f>
        <v>2.39937426486113</v>
      </c>
      <c r="E1358" s="2" t="n">
        <f aca="false">IF(B1358&lt;Test1_Hand!$B$12,1,0)</f>
        <v>0</v>
      </c>
      <c r="F1358" s="23" t="n">
        <f aca="false">Test1_Hand!$B$4+E1358*D1358</f>
        <v>16</v>
      </c>
      <c r="G1358" s="24" t="n">
        <f aca="false">Test1_Hand!$B$6*E1358*D1358+Test1_Hand!$B$7*MAX(0,F1358-Test1_Hand!$B$5)</f>
        <v>0</v>
      </c>
      <c r="H1358" s="2" t="n">
        <f aca="false">IF(B1358&lt;Test1_Hand!$B$13,1,0)</f>
        <v>0</v>
      </c>
      <c r="I1358" s="23" t="n">
        <f aca="false">Test1_Hand!$B$4+H1358*D1358</f>
        <v>16</v>
      </c>
      <c r="J1358" s="24" t="n">
        <f aca="false">Test1_Hand!$B$6*H1358*D1358+Test1_Hand!$B$7*MAX(0,I1358-Test1_Hand!$B$5)+Test1_Hand!$B$14</f>
        <v>6000</v>
      </c>
    </row>
    <row r="1359" customFormat="false" ht="15" hidden="false" customHeight="false" outlineLevel="0" collapsed="false">
      <c r="A1359" s="2" t="n">
        <v>1347</v>
      </c>
      <c r="B1359" s="22" t="n">
        <v>0.337045926329784</v>
      </c>
      <c r="C1359" s="22" t="n">
        <v>0.190270623387996</v>
      </c>
      <c r="D1359" s="23" t="n">
        <f aca="false">BETAINV(C1359,Test1_Hand!$B$21,Test1_Hand!$B$22,Test1_Hand!$B$9,Test1_Hand!$B$11)</f>
        <v>2.28923301617463</v>
      </c>
      <c r="E1359" s="2" t="n">
        <f aca="false">IF(B1359&lt;Test1_Hand!$B$12,1,0)</f>
        <v>1</v>
      </c>
      <c r="F1359" s="23" t="n">
        <f aca="false">Test1_Hand!$B$4+E1359*D1359</f>
        <v>18.2892330161746</v>
      </c>
      <c r="G1359" s="24" t="n">
        <f aca="false">Test1_Hand!$B$6*E1359*D1359+Test1_Hand!$B$7*MAX(0,F1359-Test1_Hand!$B$5)</f>
        <v>18313.864129397</v>
      </c>
      <c r="H1359" s="2" t="n">
        <f aca="false">IF(B1359&lt;Test1_Hand!$B$13,1,0)</f>
        <v>0</v>
      </c>
      <c r="I1359" s="23" t="n">
        <f aca="false">Test1_Hand!$B$4+H1359*D1359</f>
        <v>16</v>
      </c>
      <c r="J1359" s="24" t="n">
        <f aca="false">Test1_Hand!$B$6*H1359*D1359+Test1_Hand!$B$7*MAX(0,I1359-Test1_Hand!$B$5)+Test1_Hand!$B$14</f>
        <v>6000</v>
      </c>
    </row>
    <row r="1360" customFormat="false" ht="15" hidden="false" customHeight="false" outlineLevel="0" collapsed="false">
      <c r="A1360" s="2" t="n">
        <v>1348</v>
      </c>
      <c r="B1360" s="22" t="n">
        <v>0.169774646265784</v>
      </c>
      <c r="C1360" s="22" t="n">
        <v>0.613804970150215</v>
      </c>
      <c r="D1360" s="23" t="n">
        <f aca="false">BETAINV(C1360,Test1_Hand!$B$21,Test1_Hand!$B$22,Test1_Hand!$B$9,Test1_Hand!$B$11)</f>
        <v>3.7997916299683</v>
      </c>
      <c r="E1360" s="2" t="n">
        <f aca="false">IF(B1360&lt;Test1_Hand!$B$12,1,0)</f>
        <v>1</v>
      </c>
      <c r="F1360" s="23" t="n">
        <f aca="false">Test1_Hand!$B$4+E1360*D1360</f>
        <v>19.7997916299683</v>
      </c>
      <c r="G1360" s="24" t="n">
        <f aca="false">Test1_Hand!$B$6*E1360*D1360+Test1_Hand!$B$7*MAX(0,F1360-Test1_Hand!$B$5)</f>
        <v>30398.3330397464</v>
      </c>
      <c r="H1360" s="2" t="n">
        <f aca="false">IF(B1360&lt;Test1_Hand!$B$13,1,0)</f>
        <v>1</v>
      </c>
      <c r="I1360" s="23" t="n">
        <f aca="false">Test1_Hand!$B$4+H1360*D1360</f>
        <v>19.7997916299683</v>
      </c>
      <c r="J1360" s="24" t="n">
        <f aca="false">Test1_Hand!$B$6*H1360*D1360+Test1_Hand!$B$7*MAX(0,I1360-Test1_Hand!$B$5)+Test1_Hand!$B$14</f>
        <v>36398.3330397464</v>
      </c>
    </row>
    <row r="1361" customFormat="false" ht="15" hidden="false" customHeight="false" outlineLevel="0" collapsed="false">
      <c r="A1361" s="2" t="n">
        <v>1349</v>
      </c>
      <c r="B1361" s="22" t="n">
        <v>0.0632862822440181</v>
      </c>
      <c r="C1361" s="22" t="n">
        <v>0.319564819798445</v>
      </c>
      <c r="D1361" s="23" t="n">
        <f aca="false">BETAINV(C1361,Test1_Hand!$B$21,Test1_Hand!$B$22,Test1_Hand!$B$9,Test1_Hand!$B$11)</f>
        <v>2.75860143796611</v>
      </c>
      <c r="E1361" s="2" t="n">
        <f aca="false">IF(B1361&lt;Test1_Hand!$B$12,1,0)</f>
        <v>1</v>
      </c>
      <c r="F1361" s="23" t="n">
        <f aca="false">Test1_Hand!$B$4+E1361*D1361</f>
        <v>18.7586014379661</v>
      </c>
      <c r="G1361" s="24" t="n">
        <f aca="false">Test1_Hand!$B$6*E1361*D1361+Test1_Hand!$B$7*MAX(0,F1361-Test1_Hand!$B$5)</f>
        <v>22068.8115037288</v>
      </c>
      <c r="H1361" s="2" t="n">
        <f aca="false">IF(B1361&lt;Test1_Hand!$B$13,1,0)</f>
        <v>1</v>
      </c>
      <c r="I1361" s="23" t="n">
        <f aca="false">Test1_Hand!$B$4+H1361*D1361</f>
        <v>18.7586014379661</v>
      </c>
      <c r="J1361" s="24" t="n">
        <f aca="false">Test1_Hand!$B$6*H1361*D1361+Test1_Hand!$B$7*MAX(0,I1361-Test1_Hand!$B$5)+Test1_Hand!$B$14</f>
        <v>28068.8115037288</v>
      </c>
    </row>
    <row r="1362" customFormat="false" ht="15" hidden="false" customHeight="false" outlineLevel="0" collapsed="false">
      <c r="A1362" s="2" t="n">
        <v>1350</v>
      </c>
      <c r="B1362" s="22" t="n">
        <v>0.83794425851009</v>
      </c>
      <c r="C1362" s="22" t="n">
        <v>0.811787417382255</v>
      </c>
      <c r="D1362" s="23" t="n">
        <f aca="false">BETAINV(C1362,Test1_Hand!$B$21,Test1_Hand!$B$22,Test1_Hand!$B$9,Test1_Hand!$B$11)</f>
        <v>4.69005313967445</v>
      </c>
      <c r="E1362" s="2" t="n">
        <f aca="false">IF(B1362&lt;Test1_Hand!$B$12,1,0)</f>
        <v>0</v>
      </c>
      <c r="F1362" s="23" t="n">
        <f aca="false">Test1_Hand!$B$4+E1362*D1362</f>
        <v>16</v>
      </c>
      <c r="G1362" s="24" t="n">
        <f aca="false">Test1_Hand!$B$6*E1362*D1362+Test1_Hand!$B$7*MAX(0,F1362-Test1_Hand!$B$5)</f>
        <v>0</v>
      </c>
      <c r="H1362" s="2" t="n">
        <f aca="false">IF(B1362&lt;Test1_Hand!$B$13,1,0)</f>
        <v>0</v>
      </c>
      <c r="I1362" s="23" t="n">
        <f aca="false">Test1_Hand!$B$4+H1362*D1362</f>
        <v>16</v>
      </c>
      <c r="J1362" s="24" t="n">
        <f aca="false">Test1_Hand!$B$6*H1362*D1362+Test1_Hand!$B$7*MAX(0,I1362-Test1_Hand!$B$5)+Test1_Hand!$B$14</f>
        <v>6000</v>
      </c>
    </row>
    <row r="1363" customFormat="false" ht="15" hidden="false" customHeight="false" outlineLevel="0" collapsed="false">
      <c r="A1363" s="2" t="n">
        <v>1351</v>
      </c>
      <c r="B1363" s="22" t="n">
        <v>0.214044776071994</v>
      </c>
      <c r="C1363" s="22" t="n">
        <v>0.265729814184225</v>
      </c>
      <c r="D1363" s="23" t="n">
        <f aca="false">BETAINV(C1363,Test1_Hand!$B$21,Test1_Hand!$B$22,Test1_Hand!$B$9,Test1_Hand!$B$11)</f>
        <v>2.5690625660143</v>
      </c>
      <c r="E1363" s="2" t="n">
        <f aca="false">IF(B1363&lt;Test1_Hand!$B$12,1,0)</f>
        <v>1</v>
      </c>
      <c r="F1363" s="23" t="n">
        <f aca="false">Test1_Hand!$B$4+E1363*D1363</f>
        <v>18.5690625660143</v>
      </c>
      <c r="G1363" s="24" t="n">
        <f aca="false">Test1_Hand!$B$6*E1363*D1363+Test1_Hand!$B$7*MAX(0,F1363-Test1_Hand!$B$5)</f>
        <v>20552.5005281144</v>
      </c>
      <c r="H1363" s="2" t="n">
        <f aca="false">IF(B1363&lt;Test1_Hand!$B$13,1,0)</f>
        <v>0</v>
      </c>
      <c r="I1363" s="23" t="n">
        <f aca="false">Test1_Hand!$B$4+H1363*D1363</f>
        <v>16</v>
      </c>
      <c r="J1363" s="24" t="n">
        <f aca="false">Test1_Hand!$B$6*H1363*D1363+Test1_Hand!$B$7*MAX(0,I1363-Test1_Hand!$B$5)+Test1_Hand!$B$14</f>
        <v>6000</v>
      </c>
    </row>
    <row r="1364" customFormat="false" ht="15" hidden="false" customHeight="false" outlineLevel="0" collapsed="false">
      <c r="A1364" s="2" t="n">
        <v>1352</v>
      </c>
      <c r="B1364" s="22" t="n">
        <v>0.273799222324033</v>
      </c>
      <c r="C1364" s="22" t="n">
        <v>0.406788179533527</v>
      </c>
      <c r="D1364" s="23" t="n">
        <f aca="false">BETAINV(C1364,Test1_Hand!$B$21,Test1_Hand!$B$22,Test1_Hand!$B$9,Test1_Hand!$B$11)</f>
        <v>3.05905515496321</v>
      </c>
      <c r="E1364" s="2" t="n">
        <f aca="false">IF(B1364&lt;Test1_Hand!$B$12,1,0)</f>
        <v>1</v>
      </c>
      <c r="F1364" s="23" t="n">
        <f aca="false">Test1_Hand!$B$4+E1364*D1364</f>
        <v>19.0590551549632</v>
      </c>
      <c r="G1364" s="24" t="n">
        <f aca="false">Test1_Hand!$B$6*E1364*D1364+Test1_Hand!$B$7*MAX(0,F1364-Test1_Hand!$B$5)</f>
        <v>24472.4412397057</v>
      </c>
      <c r="H1364" s="2" t="n">
        <f aca="false">IF(B1364&lt;Test1_Hand!$B$13,1,0)</f>
        <v>0</v>
      </c>
      <c r="I1364" s="23" t="n">
        <f aca="false">Test1_Hand!$B$4+H1364*D1364</f>
        <v>16</v>
      </c>
      <c r="J1364" s="24" t="n">
        <f aca="false">Test1_Hand!$B$6*H1364*D1364+Test1_Hand!$B$7*MAX(0,I1364-Test1_Hand!$B$5)+Test1_Hand!$B$14</f>
        <v>6000</v>
      </c>
    </row>
    <row r="1365" customFormat="false" ht="15" hidden="false" customHeight="false" outlineLevel="0" collapsed="false">
      <c r="A1365" s="2" t="n">
        <v>1353</v>
      </c>
      <c r="B1365" s="22" t="n">
        <v>0.206103538099761</v>
      </c>
      <c r="C1365" s="22" t="n">
        <v>0.380648038721817</v>
      </c>
      <c r="D1365" s="23" t="n">
        <f aca="false">BETAINV(C1365,Test1_Hand!$B$21,Test1_Hand!$B$22,Test1_Hand!$B$9,Test1_Hand!$B$11)</f>
        <v>2.96929128753206</v>
      </c>
      <c r="E1365" s="2" t="n">
        <f aca="false">IF(B1365&lt;Test1_Hand!$B$12,1,0)</f>
        <v>1</v>
      </c>
      <c r="F1365" s="23" t="n">
        <f aca="false">Test1_Hand!$B$4+E1365*D1365</f>
        <v>18.9692912875321</v>
      </c>
      <c r="G1365" s="24" t="n">
        <f aca="false">Test1_Hand!$B$6*E1365*D1365+Test1_Hand!$B$7*MAX(0,F1365-Test1_Hand!$B$5)</f>
        <v>23754.3303002565</v>
      </c>
      <c r="H1365" s="2" t="n">
        <f aca="false">IF(B1365&lt;Test1_Hand!$B$13,1,0)</f>
        <v>0</v>
      </c>
      <c r="I1365" s="23" t="n">
        <f aca="false">Test1_Hand!$B$4+H1365*D1365</f>
        <v>16</v>
      </c>
      <c r="J1365" s="24" t="n">
        <f aca="false">Test1_Hand!$B$6*H1365*D1365+Test1_Hand!$B$7*MAX(0,I1365-Test1_Hand!$B$5)+Test1_Hand!$B$14</f>
        <v>6000</v>
      </c>
    </row>
    <row r="1366" customFormat="false" ht="15" hidden="false" customHeight="false" outlineLevel="0" collapsed="false">
      <c r="A1366" s="2" t="n">
        <v>1354</v>
      </c>
      <c r="B1366" s="22" t="n">
        <v>0.213224011161776</v>
      </c>
      <c r="C1366" s="22" t="n">
        <v>0.570187722550734</v>
      </c>
      <c r="D1366" s="23" t="n">
        <f aca="false">BETAINV(C1366,Test1_Hand!$B$21,Test1_Hand!$B$22,Test1_Hand!$B$9,Test1_Hand!$B$11)</f>
        <v>3.63551971636893</v>
      </c>
      <c r="E1366" s="2" t="n">
        <f aca="false">IF(B1366&lt;Test1_Hand!$B$12,1,0)</f>
        <v>1</v>
      </c>
      <c r="F1366" s="23" t="n">
        <f aca="false">Test1_Hand!$B$4+E1366*D1366</f>
        <v>19.6355197163689</v>
      </c>
      <c r="G1366" s="24" t="n">
        <f aca="false">Test1_Hand!$B$6*E1366*D1366+Test1_Hand!$B$7*MAX(0,F1366-Test1_Hand!$B$5)</f>
        <v>29084.1577309515</v>
      </c>
      <c r="H1366" s="2" t="n">
        <f aca="false">IF(B1366&lt;Test1_Hand!$B$13,1,0)</f>
        <v>0</v>
      </c>
      <c r="I1366" s="23" t="n">
        <f aca="false">Test1_Hand!$B$4+H1366*D1366</f>
        <v>16</v>
      </c>
      <c r="J1366" s="24" t="n">
        <f aca="false">Test1_Hand!$B$6*H1366*D1366+Test1_Hand!$B$7*MAX(0,I1366-Test1_Hand!$B$5)+Test1_Hand!$B$14</f>
        <v>6000</v>
      </c>
    </row>
    <row r="1367" customFormat="false" ht="15" hidden="false" customHeight="false" outlineLevel="0" collapsed="false">
      <c r="A1367" s="2" t="n">
        <v>1355</v>
      </c>
      <c r="B1367" s="22" t="n">
        <v>0.400999583813916</v>
      </c>
      <c r="C1367" s="22" t="n">
        <v>0.311605385257231</v>
      </c>
      <c r="D1367" s="23" t="n">
        <f aca="false">BETAINV(C1367,Test1_Hand!$B$21,Test1_Hand!$B$22,Test1_Hand!$B$9,Test1_Hand!$B$11)</f>
        <v>2.73089415840299</v>
      </c>
      <c r="E1367" s="2" t="n">
        <f aca="false">IF(B1367&lt;Test1_Hand!$B$12,1,0)</f>
        <v>1</v>
      </c>
      <c r="F1367" s="23" t="n">
        <f aca="false">Test1_Hand!$B$4+E1367*D1367</f>
        <v>18.730894158403</v>
      </c>
      <c r="G1367" s="24" t="n">
        <f aca="false">Test1_Hand!$B$6*E1367*D1367+Test1_Hand!$B$7*MAX(0,F1367-Test1_Hand!$B$5)</f>
        <v>21847.1532672239</v>
      </c>
      <c r="H1367" s="2" t="n">
        <f aca="false">IF(B1367&lt;Test1_Hand!$B$13,1,0)</f>
        <v>0</v>
      </c>
      <c r="I1367" s="23" t="n">
        <f aca="false">Test1_Hand!$B$4+H1367*D1367</f>
        <v>16</v>
      </c>
      <c r="J1367" s="24" t="n">
        <f aca="false">Test1_Hand!$B$6*H1367*D1367+Test1_Hand!$B$7*MAX(0,I1367-Test1_Hand!$B$5)+Test1_Hand!$B$14</f>
        <v>6000</v>
      </c>
    </row>
    <row r="1368" customFormat="false" ht="15" hidden="false" customHeight="false" outlineLevel="0" collapsed="false">
      <c r="A1368" s="2" t="n">
        <v>1356</v>
      </c>
      <c r="B1368" s="22" t="n">
        <v>0.102862952477311</v>
      </c>
      <c r="C1368" s="22" t="n">
        <v>0.0765872353406996</v>
      </c>
      <c r="D1368" s="23" t="n">
        <f aca="false">BETAINV(C1368,Test1_Hand!$B$21,Test1_Hand!$B$22,Test1_Hand!$B$9,Test1_Hand!$B$11)</f>
        <v>1.78545349256616</v>
      </c>
      <c r="E1368" s="2" t="n">
        <f aca="false">IF(B1368&lt;Test1_Hand!$B$12,1,0)</f>
        <v>1</v>
      </c>
      <c r="F1368" s="23" t="n">
        <f aca="false">Test1_Hand!$B$4+E1368*D1368</f>
        <v>17.7854534925662</v>
      </c>
      <c r="G1368" s="24" t="n">
        <f aca="false">Test1_Hand!$B$6*E1368*D1368+Test1_Hand!$B$7*MAX(0,F1368-Test1_Hand!$B$5)</f>
        <v>14283.6279405292</v>
      </c>
      <c r="H1368" s="2" t="n">
        <f aca="false">IF(B1368&lt;Test1_Hand!$B$13,1,0)</f>
        <v>1</v>
      </c>
      <c r="I1368" s="23" t="n">
        <f aca="false">Test1_Hand!$B$4+H1368*D1368</f>
        <v>17.7854534925662</v>
      </c>
      <c r="J1368" s="24" t="n">
        <f aca="false">Test1_Hand!$B$6*H1368*D1368+Test1_Hand!$B$7*MAX(0,I1368-Test1_Hand!$B$5)+Test1_Hand!$B$14</f>
        <v>20283.6279405292</v>
      </c>
    </row>
    <row r="1369" customFormat="false" ht="15" hidden="false" customHeight="false" outlineLevel="0" collapsed="false">
      <c r="A1369" s="2" t="n">
        <v>1357</v>
      </c>
      <c r="B1369" s="22" t="n">
        <v>0.756159031862363</v>
      </c>
      <c r="C1369" s="22" t="n">
        <v>0.250660676499262</v>
      </c>
      <c r="D1369" s="23" t="n">
        <f aca="false">BETAINV(C1369,Test1_Hand!$B$21,Test1_Hand!$B$22,Test1_Hand!$B$9,Test1_Hand!$B$11)</f>
        <v>2.5148415985102</v>
      </c>
      <c r="E1369" s="2" t="n">
        <f aca="false">IF(B1369&lt;Test1_Hand!$B$12,1,0)</f>
        <v>0</v>
      </c>
      <c r="F1369" s="23" t="n">
        <f aca="false">Test1_Hand!$B$4+E1369*D1369</f>
        <v>16</v>
      </c>
      <c r="G1369" s="24" t="n">
        <f aca="false">Test1_Hand!$B$6*E1369*D1369+Test1_Hand!$B$7*MAX(0,F1369-Test1_Hand!$B$5)</f>
        <v>0</v>
      </c>
      <c r="H1369" s="2" t="n">
        <f aca="false">IF(B1369&lt;Test1_Hand!$B$13,1,0)</f>
        <v>0</v>
      </c>
      <c r="I1369" s="23" t="n">
        <f aca="false">Test1_Hand!$B$4+H1369*D1369</f>
        <v>16</v>
      </c>
      <c r="J1369" s="24" t="n">
        <f aca="false">Test1_Hand!$B$6*H1369*D1369+Test1_Hand!$B$7*MAX(0,I1369-Test1_Hand!$B$5)+Test1_Hand!$B$14</f>
        <v>6000</v>
      </c>
    </row>
    <row r="1370" customFormat="false" ht="15" hidden="false" customHeight="false" outlineLevel="0" collapsed="false">
      <c r="A1370" s="2" t="n">
        <v>1358</v>
      </c>
      <c r="B1370" s="22" t="n">
        <v>0.124701536464266</v>
      </c>
      <c r="C1370" s="22" t="n">
        <v>0.354856727181433</v>
      </c>
      <c r="D1370" s="23" t="n">
        <f aca="false">BETAINV(C1370,Test1_Hand!$B$21,Test1_Hand!$B$22,Test1_Hand!$B$9,Test1_Hand!$B$11)</f>
        <v>2.88062713305451</v>
      </c>
      <c r="E1370" s="2" t="n">
        <f aca="false">IF(B1370&lt;Test1_Hand!$B$12,1,0)</f>
        <v>1</v>
      </c>
      <c r="F1370" s="23" t="n">
        <f aca="false">Test1_Hand!$B$4+E1370*D1370</f>
        <v>18.8806271330545</v>
      </c>
      <c r="G1370" s="24" t="n">
        <f aca="false">Test1_Hand!$B$6*E1370*D1370+Test1_Hand!$B$7*MAX(0,F1370-Test1_Hand!$B$5)</f>
        <v>23045.0170644361</v>
      </c>
      <c r="H1370" s="2" t="n">
        <f aca="false">IF(B1370&lt;Test1_Hand!$B$13,1,0)</f>
        <v>1</v>
      </c>
      <c r="I1370" s="23" t="n">
        <f aca="false">Test1_Hand!$B$4+H1370*D1370</f>
        <v>18.8806271330545</v>
      </c>
      <c r="J1370" s="24" t="n">
        <f aca="false">Test1_Hand!$B$6*H1370*D1370+Test1_Hand!$B$7*MAX(0,I1370-Test1_Hand!$B$5)+Test1_Hand!$B$14</f>
        <v>29045.0170644361</v>
      </c>
    </row>
    <row r="1371" customFormat="false" ht="15" hidden="false" customHeight="false" outlineLevel="0" collapsed="false">
      <c r="A1371" s="2" t="n">
        <v>1359</v>
      </c>
      <c r="B1371" s="22" t="n">
        <v>0.576377509720532</v>
      </c>
      <c r="C1371" s="22" t="n">
        <v>0.975427892526349</v>
      </c>
      <c r="D1371" s="23" t="n">
        <f aca="false">BETAINV(C1371,Test1_Hand!$B$21,Test1_Hand!$B$22,Test1_Hand!$B$9,Test1_Hand!$B$11)</f>
        <v>6.18089479133524</v>
      </c>
      <c r="E1371" s="2" t="n">
        <f aca="false">IF(B1371&lt;Test1_Hand!$B$12,1,0)</f>
        <v>0</v>
      </c>
      <c r="F1371" s="23" t="n">
        <f aca="false">Test1_Hand!$B$4+E1371*D1371</f>
        <v>16</v>
      </c>
      <c r="G1371" s="24" t="n">
        <f aca="false">Test1_Hand!$B$6*E1371*D1371+Test1_Hand!$B$7*MAX(0,F1371-Test1_Hand!$B$5)</f>
        <v>0</v>
      </c>
      <c r="H1371" s="2" t="n">
        <f aca="false">IF(B1371&lt;Test1_Hand!$B$13,1,0)</f>
        <v>0</v>
      </c>
      <c r="I1371" s="23" t="n">
        <f aca="false">Test1_Hand!$B$4+H1371*D1371</f>
        <v>16</v>
      </c>
      <c r="J1371" s="24" t="n">
        <f aca="false">Test1_Hand!$B$6*H1371*D1371+Test1_Hand!$B$7*MAX(0,I1371-Test1_Hand!$B$5)+Test1_Hand!$B$14</f>
        <v>6000</v>
      </c>
    </row>
    <row r="1372" customFormat="false" ht="15" hidden="false" customHeight="false" outlineLevel="0" collapsed="false">
      <c r="A1372" s="2" t="n">
        <v>1360</v>
      </c>
      <c r="B1372" s="22" t="n">
        <v>0.237904640492237</v>
      </c>
      <c r="C1372" s="22" t="n">
        <v>0.981501017578372</v>
      </c>
      <c r="D1372" s="23" t="n">
        <f aca="false">BETAINV(C1372,Test1_Hand!$B$21,Test1_Hand!$B$22,Test1_Hand!$B$9,Test1_Hand!$B$11)</f>
        <v>6.31977330347788</v>
      </c>
      <c r="E1372" s="2" t="n">
        <f aca="false">IF(B1372&lt;Test1_Hand!$B$12,1,0)</f>
        <v>1</v>
      </c>
      <c r="F1372" s="23" t="n">
        <f aca="false">Test1_Hand!$B$4+E1372*D1372</f>
        <v>22.3197733034779</v>
      </c>
      <c r="G1372" s="24" t="n">
        <f aca="false">Test1_Hand!$B$6*E1372*D1372+Test1_Hand!$B$7*MAX(0,F1372-Test1_Hand!$B$5)</f>
        <v>62157.0529452124</v>
      </c>
      <c r="H1372" s="2" t="n">
        <f aca="false">IF(B1372&lt;Test1_Hand!$B$13,1,0)</f>
        <v>0</v>
      </c>
      <c r="I1372" s="23" t="n">
        <f aca="false">Test1_Hand!$B$4+H1372*D1372</f>
        <v>16</v>
      </c>
      <c r="J1372" s="24" t="n">
        <f aca="false">Test1_Hand!$B$6*H1372*D1372+Test1_Hand!$B$7*MAX(0,I1372-Test1_Hand!$B$5)+Test1_Hand!$B$14</f>
        <v>6000</v>
      </c>
    </row>
    <row r="1373" customFormat="false" ht="15" hidden="false" customHeight="false" outlineLevel="0" collapsed="false">
      <c r="A1373" s="2" t="n">
        <v>1361</v>
      </c>
      <c r="B1373" s="22" t="n">
        <v>0.397862903615195</v>
      </c>
      <c r="C1373" s="22" t="n">
        <v>0.0997115253420402</v>
      </c>
      <c r="D1373" s="23" t="n">
        <f aca="false">BETAINV(C1373,Test1_Hand!$B$21,Test1_Hand!$B$22,Test1_Hand!$B$9,Test1_Hand!$B$11)</f>
        <v>1.9029598410528</v>
      </c>
      <c r="E1373" s="2" t="n">
        <f aca="false">IF(B1373&lt;Test1_Hand!$B$12,1,0)</f>
        <v>1</v>
      </c>
      <c r="F1373" s="23" t="n">
        <f aca="false">Test1_Hand!$B$4+E1373*D1373</f>
        <v>17.9029598410528</v>
      </c>
      <c r="G1373" s="24" t="n">
        <f aca="false">Test1_Hand!$B$6*E1373*D1373+Test1_Hand!$B$7*MAX(0,F1373-Test1_Hand!$B$5)</f>
        <v>15223.6787284224</v>
      </c>
      <c r="H1373" s="2" t="n">
        <f aca="false">IF(B1373&lt;Test1_Hand!$B$13,1,0)</f>
        <v>0</v>
      </c>
      <c r="I1373" s="23" t="n">
        <f aca="false">Test1_Hand!$B$4+H1373*D1373</f>
        <v>16</v>
      </c>
      <c r="J1373" s="24" t="n">
        <f aca="false">Test1_Hand!$B$6*H1373*D1373+Test1_Hand!$B$7*MAX(0,I1373-Test1_Hand!$B$5)+Test1_Hand!$B$14</f>
        <v>6000</v>
      </c>
    </row>
    <row r="1374" customFormat="false" ht="15" hidden="false" customHeight="false" outlineLevel="0" collapsed="false">
      <c r="A1374" s="2" t="n">
        <v>1362</v>
      </c>
      <c r="B1374" s="22" t="n">
        <v>0.943325845805273</v>
      </c>
      <c r="C1374" s="22" t="n">
        <v>0.0768277972376651</v>
      </c>
      <c r="D1374" s="23" t="n">
        <f aca="false">BETAINV(C1374,Test1_Hand!$B$21,Test1_Hand!$B$22,Test1_Hand!$B$9,Test1_Hand!$B$11)</f>
        <v>1.78674392770792</v>
      </c>
      <c r="E1374" s="2" t="n">
        <f aca="false">IF(B1374&lt;Test1_Hand!$B$12,1,0)</f>
        <v>0</v>
      </c>
      <c r="F1374" s="23" t="n">
        <f aca="false">Test1_Hand!$B$4+E1374*D1374</f>
        <v>16</v>
      </c>
      <c r="G1374" s="24" t="n">
        <f aca="false">Test1_Hand!$B$6*E1374*D1374+Test1_Hand!$B$7*MAX(0,F1374-Test1_Hand!$B$5)</f>
        <v>0</v>
      </c>
      <c r="H1374" s="2" t="n">
        <f aca="false">IF(B1374&lt;Test1_Hand!$B$13,1,0)</f>
        <v>0</v>
      </c>
      <c r="I1374" s="23" t="n">
        <f aca="false">Test1_Hand!$B$4+H1374*D1374</f>
        <v>16</v>
      </c>
      <c r="J1374" s="24" t="n">
        <f aca="false">Test1_Hand!$B$6*H1374*D1374+Test1_Hand!$B$7*MAX(0,I1374-Test1_Hand!$B$5)+Test1_Hand!$B$14</f>
        <v>6000</v>
      </c>
    </row>
    <row r="1375" customFormat="false" ht="15" hidden="false" customHeight="false" outlineLevel="0" collapsed="false">
      <c r="A1375" s="2" t="n">
        <v>1363</v>
      </c>
      <c r="B1375" s="22" t="n">
        <v>0.0714569693271626</v>
      </c>
      <c r="C1375" s="22" t="n">
        <v>0.162392827144251</v>
      </c>
      <c r="D1375" s="23" t="n">
        <f aca="false">BETAINV(C1375,Test1_Hand!$B$21,Test1_Hand!$B$22,Test1_Hand!$B$9,Test1_Hand!$B$11)</f>
        <v>2.17858547067362</v>
      </c>
      <c r="E1375" s="2" t="n">
        <f aca="false">IF(B1375&lt;Test1_Hand!$B$12,1,0)</f>
        <v>1</v>
      </c>
      <c r="F1375" s="23" t="n">
        <f aca="false">Test1_Hand!$B$4+E1375*D1375</f>
        <v>18.1785854706736</v>
      </c>
      <c r="G1375" s="24" t="n">
        <f aca="false">Test1_Hand!$B$6*E1375*D1375+Test1_Hand!$B$7*MAX(0,F1375-Test1_Hand!$B$5)</f>
        <v>17428.6837653889</v>
      </c>
      <c r="H1375" s="2" t="n">
        <f aca="false">IF(B1375&lt;Test1_Hand!$B$13,1,0)</f>
        <v>1</v>
      </c>
      <c r="I1375" s="23" t="n">
        <f aca="false">Test1_Hand!$B$4+H1375*D1375</f>
        <v>18.1785854706736</v>
      </c>
      <c r="J1375" s="24" t="n">
        <f aca="false">Test1_Hand!$B$6*H1375*D1375+Test1_Hand!$B$7*MAX(0,I1375-Test1_Hand!$B$5)+Test1_Hand!$B$14</f>
        <v>23428.6837653889</v>
      </c>
    </row>
    <row r="1376" customFormat="false" ht="15" hidden="false" customHeight="false" outlineLevel="0" collapsed="false">
      <c r="A1376" s="2" t="n">
        <v>1364</v>
      </c>
      <c r="B1376" s="22" t="n">
        <v>0.958712174257483</v>
      </c>
      <c r="C1376" s="22" t="n">
        <v>0.0831860643872701</v>
      </c>
      <c r="D1376" s="23" t="n">
        <f aca="false">BETAINV(C1376,Test1_Hand!$B$21,Test1_Hand!$B$22,Test1_Hand!$B$9,Test1_Hand!$B$11)</f>
        <v>1.82027712227511</v>
      </c>
      <c r="E1376" s="2" t="n">
        <f aca="false">IF(B1376&lt;Test1_Hand!$B$12,1,0)</f>
        <v>0</v>
      </c>
      <c r="F1376" s="23" t="n">
        <f aca="false">Test1_Hand!$B$4+E1376*D1376</f>
        <v>16</v>
      </c>
      <c r="G1376" s="24" t="n">
        <f aca="false">Test1_Hand!$B$6*E1376*D1376+Test1_Hand!$B$7*MAX(0,F1376-Test1_Hand!$B$5)</f>
        <v>0</v>
      </c>
      <c r="H1376" s="2" t="n">
        <f aca="false">IF(B1376&lt;Test1_Hand!$B$13,1,0)</f>
        <v>0</v>
      </c>
      <c r="I1376" s="23" t="n">
        <f aca="false">Test1_Hand!$B$4+H1376*D1376</f>
        <v>16</v>
      </c>
      <c r="J1376" s="24" t="n">
        <f aca="false">Test1_Hand!$B$6*H1376*D1376+Test1_Hand!$B$7*MAX(0,I1376-Test1_Hand!$B$5)+Test1_Hand!$B$14</f>
        <v>6000</v>
      </c>
    </row>
    <row r="1377" customFormat="false" ht="15" hidden="false" customHeight="false" outlineLevel="0" collapsed="false">
      <c r="A1377" s="2" t="n">
        <v>1365</v>
      </c>
      <c r="B1377" s="22" t="n">
        <v>0.184417963665195</v>
      </c>
      <c r="C1377" s="22" t="n">
        <v>0.370891158844355</v>
      </c>
      <c r="D1377" s="23" t="n">
        <f aca="false">BETAINV(C1377,Test1_Hand!$B$21,Test1_Hand!$B$22,Test1_Hand!$B$9,Test1_Hand!$B$11)</f>
        <v>2.93577658871432</v>
      </c>
      <c r="E1377" s="2" t="n">
        <f aca="false">IF(B1377&lt;Test1_Hand!$B$12,1,0)</f>
        <v>1</v>
      </c>
      <c r="F1377" s="23" t="n">
        <f aca="false">Test1_Hand!$B$4+E1377*D1377</f>
        <v>18.9357765887143</v>
      </c>
      <c r="G1377" s="24" t="n">
        <f aca="false">Test1_Hand!$B$6*E1377*D1377+Test1_Hand!$B$7*MAX(0,F1377-Test1_Hand!$B$5)</f>
        <v>23486.2127097146</v>
      </c>
      <c r="H1377" s="2" t="n">
        <f aca="false">IF(B1377&lt;Test1_Hand!$B$13,1,0)</f>
        <v>1</v>
      </c>
      <c r="I1377" s="23" t="n">
        <f aca="false">Test1_Hand!$B$4+H1377*D1377</f>
        <v>18.9357765887143</v>
      </c>
      <c r="J1377" s="24" t="n">
        <f aca="false">Test1_Hand!$B$6*H1377*D1377+Test1_Hand!$B$7*MAX(0,I1377-Test1_Hand!$B$5)+Test1_Hand!$B$14</f>
        <v>29486.2127097146</v>
      </c>
    </row>
    <row r="1378" customFormat="false" ht="15" hidden="false" customHeight="false" outlineLevel="0" collapsed="false">
      <c r="A1378" s="2" t="n">
        <v>1366</v>
      </c>
      <c r="B1378" s="22" t="n">
        <v>0.914207902571967</v>
      </c>
      <c r="C1378" s="22" t="n">
        <v>0.936204099396761</v>
      </c>
      <c r="D1378" s="23" t="n">
        <f aca="false">BETAINV(C1378,Test1_Hand!$B$21,Test1_Hand!$B$22,Test1_Hand!$B$9,Test1_Hand!$B$11)</f>
        <v>5.61117148654037</v>
      </c>
      <c r="E1378" s="2" t="n">
        <f aca="false">IF(B1378&lt;Test1_Hand!$B$12,1,0)</f>
        <v>0</v>
      </c>
      <c r="F1378" s="23" t="n">
        <f aca="false">Test1_Hand!$B$4+E1378*D1378</f>
        <v>16</v>
      </c>
      <c r="G1378" s="24" t="n">
        <f aca="false">Test1_Hand!$B$6*E1378*D1378+Test1_Hand!$B$7*MAX(0,F1378-Test1_Hand!$B$5)</f>
        <v>0</v>
      </c>
      <c r="H1378" s="2" t="n">
        <f aca="false">IF(B1378&lt;Test1_Hand!$B$13,1,0)</f>
        <v>0</v>
      </c>
      <c r="I1378" s="23" t="n">
        <f aca="false">Test1_Hand!$B$4+H1378*D1378</f>
        <v>16</v>
      </c>
      <c r="J1378" s="24" t="n">
        <f aca="false">Test1_Hand!$B$6*H1378*D1378+Test1_Hand!$B$7*MAX(0,I1378-Test1_Hand!$B$5)+Test1_Hand!$B$14</f>
        <v>6000</v>
      </c>
    </row>
    <row r="1379" customFormat="false" ht="15" hidden="false" customHeight="false" outlineLevel="0" collapsed="false">
      <c r="A1379" s="2" t="n">
        <v>1367</v>
      </c>
      <c r="B1379" s="22" t="n">
        <v>0.76964457067155</v>
      </c>
      <c r="C1379" s="22" t="n">
        <v>0.391542956823398</v>
      </c>
      <c r="D1379" s="23" t="n">
        <f aca="false">BETAINV(C1379,Test1_Hand!$B$21,Test1_Hand!$B$22,Test1_Hand!$B$9,Test1_Hand!$B$11)</f>
        <v>3.00669934198787</v>
      </c>
      <c r="E1379" s="2" t="n">
        <f aca="false">IF(B1379&lt;Test1_Hand!$B$12,1,0)</f>
        <v>0</v>
      </c>
      <c r="F1379" s="23" t="n">
        <f aca="false">Test1_Hand!$B$4+E1379*D1379</f>
        <v>16</v>
      </c>
      <c r="G1379" s="24" t="n">
        <f aca="false">Test1_Hand!$B$6*E1379*D1379+Test1_Hand!$B$7*MAX(0,F1379-Test1_Hand!$B$5)</f>
        <v>0</v>
      </c>
      <c r="H1379" s="2" t="n">
        <f aca="false">IF(B1379&lt;Test1_Hand!$B$13,1,0)</f>
        <v>0</v>
      </c>
      <c r="I1379" s="23" t="n">
        <f aca="false">Test1_Hand!$B$4+H1379*D1379</f>
        <v>16</v>
      </c>
      <c r="J1379" s="24" t="n">
        <f aca="false">Test1_Hand!$B$6*H1379*D1379+Test1_Hand!$B$7*MAX(0,I1379-Test1_Hand!$B$5)+Test1_Hand!$B$14</f>
        <v>6000</v>
      </c>
    </row>
    <row r="1380" customFormat="false" ht="15" hidden="false" customHeight="false" outlineLevel="0" collapsed="false">
      <c r="A1380" s="2" t="n">
        <v>1368</v>
      </c>
      <c r="B1380" s="22" t="n">
        <v>0.744274431634572</v>
      </c>
      <c r="C1380" s="22" t="n">
        <v>0.910113173286577</v>
      </c>
      <c r="D1380" s="23" t="n">
        <f aca="false">BETAINV(C1380,Test1_Hand!$B$21,Test1_Hand!$B$22,Test1_Hand!$B$9,Test1_Hand!$B$11)</f>
        <v>5.35792133466975</v>
      </c>
      <c r="E1380" s="2" t="n">
        <f aca="false">IF(B1380&lt;Test1_Hand!$B$12,1,0)</f>
        <v>0</v>
      </c>
      <c r="F1380" s="23" t="n">
        <f aca="false">Test1_Hand!$B$4+E1380*D1380</f>
        <v>16</v>
      </c>
      <c r="G1380" s="24" t="n">
        <f aca="false">Test1_Hand!$B$6*E1380*D1380+Test1_Hand!$B$7*MAX(0,F1380-Test1_Hand!$B$5)</f>
        <v>0</v>
      </c>
      <c r="H1380" s="2" t="n">
        <f aca="false">IF(B1380&lt;Test1_Hand!$B$13,1,0)</f>
        <v>0</v>
      </c>
      <c r="I1380" s="23" t="n">
        <f aca="false">Test1_Hand!$B$4+H1380*D1380</f>
        <v>16</v>
      </c>
      <c r="J1380" s="24" t="n">
        <f aca="false">Test1_Hand!$B$6*H1380*D1380+Test1_Hand!$B$7*MAX(0,I1380-Test1_Hand!$B$5)+Test1_Hand!$B$14</f>
        <v>6000</v>
      </c>
    </row>
    <row r="1381" customFormat="false" ht="15" hidden="false" customHeight="false" outlineLevel="0" collapsed="false">
      <c r="A1381" s="2" t="n">
        <v>1369</v>
      </c>
      <c r="B1381" s="22" t="n">
        <v>0.6583158142984</v>
      </c>
      <c r="C1381" s="22" t="n">
        <v>0.810008178629878</v>
      </c>
      <c r="D1381" s="23" t="n">
        <f aca="false">BETAINV(C1381,Test1_Hand!$B$21,Test1_Hand!$B$22,Test1_Hand!$B$9,Test1_Hand!$B$11)</f>
        <v>4.68022154183231</v>
      </c>
      <c r="E1381" s="2" t="n">
        <f aca="false">IF(B1381&lt;Test1_Hand!$B$12,1,0)</f>
        <v>0</v>
      </c>
      <c r="F1381" s="23" t="n">
        <f aca="false">Test1_Hand!$B$4+E1381*D1381</f>
        <v>16</v>
      </c>
      <c r="G1381" s="24" t="n">
        <f aca="false">Test1_Hand!$B$6*E1381*D1381+Test1_Hand!$B$7*MAX(0,F1381-Test1_Hand!$B$5)</f>
        <v>0</v>
      </c>
      <c r="H1381" s="2" t="n">
        <f aca="false">IF(B1381&lt;Test1_Hand!$B$13,1,0)</f>
        <v>0</v>
      </c>
      <c r="I1381" s="23" t="n">
        <f aca="false">Test1_Hand!$B$4+H1381*D1381</f>
        <v>16</v>
      </c>
      <c r="J1381" s="24" t="n">
        <f aca="false">Test1_Hand!$B$6*H1381*D1381+Test1_Hand!$B$7*MAX(0,I1381-Test1_Hand!$B$5)+Test1_Hand!$B$14</f>
        <v>6000</v>
      </c>
    </row>
    <row r="1382" customFormat="false" ht="15" hidden="false" customHeight="false" outlineLevel="0" collapsed="false">
      <c r="A1382" s="2" t="n">
        <v>1370</v>
      </c>
      <c r="B1382" s="22" t="n">
        <v>0.333584366812622</v>
      </c>
      <c r="C1382" s="22" t="n">
        <v>0.0455894806649688</v>
      </c>
      <c r="D1382" s="23" t="n">
        <f aca="false">BETAINV(C1382,Test1_Hand!$B$21,Test1_Hand!$B$22,Test1_Hand!$B$9,Test1_Hand!$B$11)</f>
        <v>1.60120355008525</v>
      </c>
      <c r="E1382" s="2" t="n">
        <f aca="false">IF(B1382&lt;Test1_Hand!$B$12,1,0)</f>
        <v>1</v>
      </c>
      <c r="F1382" s="23" t="n">
        <f aca="false">Test1_Hand!$B$4+E1382*D1382</f>
        <v>17.6012035500853</v>
      </c>
      <c r="G1382" s="24" t="n">
        <f aca="false">Test1_Hand!$B$6*E1382*D1382+Test1_Hand!$B$7*MAX(0,F1382-Test1_Hand!$B$5)</f>
        <v>12809.628400682</v>
      </c>
      <c r="H1382" s="2" t="n">
        <f aca="false">IF(B1382&lt;Test1_Hand!$B$13,1,0)</f>
        <v>0</v>
      </c>
      <c r="I1382" s="23" t="n">
        <f aca="false">Test1_Hand!$B$4+H1382*D1382</f>
        <v>16</v>
      </c>
      <c r="J1382" s="24" t="n">
        <f aca="false">Test1_Hand!$B$6*H1382*D1382+Test1_Hand!$B$7*MAX(0,I1382-Test1_Hand!$B$5)+Test1_Hand!$B$14</f>
        <v>6000</v>
      </c>
    </row>
    <row r="1383" customFormat="false" ht="15" hidden="false" customHeight="false" outlineLevel="0" collapsed="false">
      <c r="A1383" s="2" t="n">
        <v>1371</v>
      </c>
      <c r="B1383" s="22" t="n">
        <v>0.449147200026471</v>
      </c>
      <c r="C1383" s="22" t="n">
        <v>0.860657142598241</v>
      </c>
      <c r="D1383" s="23" t="n">
        <f aca="false">BETAINV(C1383,Test1_Hand!$B$21,Test1_Hand!$B$22,Test1_Hand!$B$9,Test1_Hand!$B$11)</f>
        <v>4.98497397536911</v>
      </c>
      <c r="E1383" s="2" t="n">
        <f aca="false">IF(B1383&lt;Test1_Hand!$B$12,1,0)</f>
        <v>1</v>
      </c>
      <c r="F1383" s="23" t="n">
        <f aca="false">Test1_Hand!$B$4+E1383*D1383</f>
        <v>20.9849739753691</v>
      </c>
      <c r="G1383" s="24" t="n">
        <f aca="false">Test1_Hand!$B$6*E1383*D1383+Test1_Hand!$B$7*MAX(0,F1383-Test1_Hand!$B$5)</f>
        <v>44804.6616797985</v>
      </c>
      <c r="H1383" s="2" t="n">
        <f aca="false">IF(B1383&lt;Test1_Hand!$B$13,1,0)</f>
        <v>0</v>
      </c>
      <c r="I1383" s="23" t="n">
        <f aca="false">Test1_Hand!$B$4+H1383*D1383</f>
        <v>16</v>
      </c>
      <c r="J1383" s="24" t="n">
        <f aca="false">Test1_Hand!$B$6*H1383*D1383+Test1_Hand!$B$7*MAX(0,I1383-Test1_Hand!$B$5)+Test1_Hand!$B$14</f>
        <v>6000</v>
      </c>
    </row>
    <row r="1384" customFormat="false" ht="15" hidden="false" customHeight="false" outlineLevel="0" collapsed="false">
      <c r="A1384" s="2" t="n">
        <v>1372</v>
      </c>
      <c r="B1384" s="22" t="n">
        <v>0.179488795499054</v>
      </c>
      <c r="C1384" s="22" t="n">
        <v>0.129259099903358</v>
      </c>
      <c r="D1384" s="23" t="n">
        <f aca="false">BETAINV(C1384,Test1_Hand!$B$21,Test1_Hand!$B$22,Test1_Hand!$B$9,Test1_Hand!$B$11)</f>
        <v>2.03878222072711</v>
      </c>
      <c r="E1384" s="2" t="n">
        <f aca="false">IF(B1384&lt;Test1_Hand!$B$12,1,0)</f>
        <v>1</v>
      </c>
      <c r="F1384" s="23" t="n">
        <f aca="false">Test1_Hand!$B$4+E1384*D1384</f>
        <v>18.0387822207271</v>
      </c>
      <c r="G1384" s="24" t="n">
        <f aca="false">Test1_Hand!$B$6*E1384*D1384+Test1_Hand!$B$7*MAX(0,F1384-Test1_Hand!$B$5)</f>
        <v>16310.2577658169</v>
      </c>
      <c r="H1384" s="2" t="n">
        <f aca="false">IF(B1384&lt;Test1_Hand!$B$13,1,0)</f>
        <v>1</v>
      </c>
      <c r="I1384" s="23" t="n">
        <f aca="false">Test1_Hand!$B$4+H1384*D1384</f>
        <v>18.0387822207271</v>
      </c>
      <c r="J1384" s="24" t="n">
        <f aca="false">Test1_Hand!$B$6*H1384*D1384+Test1_Hand!$B$7*MAX(0,I1384-Test1_Hand!$B$5)+Test1_Hand!$B$14</f>
        <v>22310.2577658169</v>
      </c>
    </row>
    <row r="1385" customFormat="false" ht="15" hidden="false" customHeight="false" outlineLevel="0" collapsed="false">
      <c r="A1385" s="2" t="n">
        <v>1373</v>
      </c>
      <c r="B1385" s="22" t="n">
        <v>0.44854470006008</v>
      </c>
      <c r="C1385" s="22" t="n">
        <v>0.30325905100981</v>
      </c>
      <c r="D1385" s="23" t="n">
        <f aca="false">BETAINV(C1385,Test1_Hand!$B$21,Test1_Hand!$B$22,Test1_Hand!$B$9,Test1_Hand!$B$11)</f>
        <v>2.70174219360881</v>
      </c>
      <c r="E1385" s="2" t="n">
        <f aca="false">IF(B1385&lt;Test1_Hand!$B$12,1,0)</f>
        <v>1</v>
      </c>
      <c r="F1385" s="23" t="n">
        <f aca="false">Test1_Hand!$B$4+E1385*D1385</f>
        <v>18.7017421936088</v>
      </c>
      <c r="G1385" s="24" t="n">
        <f aca="false">Test1_Hand!$B$6*E1385*D1385+Test1_Hand!$B$7*MAX(0,F1385-Test1_Hand!$B$5)</f>
        <v>21613.9375488705</v>
      </c>
      <c r="H1385" s="2" t="n">
        <f aca="false">IF(B1385&lt;Test1_Hand!$B$13,1,0)</f>
        <v>0</v>
      </c>
      <c r="I1385" s="23" t="n">
        <f aca="false">Test1_Hand!$B$4+H1385*D1385</f>
        <v>16</v>
      </c>
      <c r="J1385" s="24" t="n">
        <f aca="false">Test1_Hand!$B$6*H1385*D1385+Test1_Hand!$B$7*MAX(0,I1385-Test1_Hand!$B$5)+Test1_Hand!$B$14</f>
        <v>6000</v>
      </c>
    </row>
    <row r="1386" customFormat="false" ht="15" hidden="false" customHeight="false" outlineLevel="0" collapsed="false">
      <c r="A1386" s="2" t="n">
        <v>1374</v>
      </c>
      <c r="B1386" s="22" t="n">
        <v>0.00517048944496845</v>
      </c>
      <c r="C1386" s="22" t="n">
        <v>0.797424829759962</v>
      </c>
      <c r="D1386" s="23" t="n">
        <f aca="false">BETAINV(C1386,Test1_Hand!$B$21,Test1_Hand!$B$22,Test1_Hand!$B$9,Test1_Hand!$B$11)</f>
        <v>4.61214950774328</v>
      </c>
      <c r="E1386" s="2" t="n">
        <f aca="false">IF(B1386&lt;Test1_Hand!$B$12,1,0)</f>
        <v>1</v>
      </c>
      <c r="F1386" s="23" t="n">
        <f aca="false">Test1_Hand!$B$4+E1386*D1386</f>
        <v>20.6121495077433</v>
      </c>
      <c r="G1386" s="24" t="n">
        <f aca="false">Test1_Hand!$B$6*E1386*D1386+Test1_Hand!$B$7*MAX(0,F1386-Test1_Hand!$B$5)</f>
        <v>39957.9436006626</v>
      </c>
      <c r="H1386" s="2" t="n">
        <f aca="false">IF(B1386&lt;Test1_Hand!$B$13,1,0)</f>
        <v>1</v>
      </c>
      <c r="I1386" s="23" t="n">
        <f aca="false">Test1_Hand!$B$4+H1386*D1386</f>
        <v>20.6121495077433</v>
      </c>
      <c r="J1386" s="24" t="n">
        <f aca="false">Test1_Hand!$B$6*H1386*D1386+Test1_Hand!$B$7*MAX(0,I1386-Test1_Hand!$B$5)+Test1_Hand!$B$14</f>
        <v>45957.9436006626</v>
      </c>
    </row>
    <row r="1387" customFormat="false" ht="15" hidden="false" customHeight="false" outlineLevel="0" collapsed="false">
      <c r="A1387" s="2" t="n">
        <v>1375</v>
      </c>
      <c r="B1387" s="22" t="n">
        <v>0.722037386815549</v>
      </c>
      <c r="C1387" s="22" t="n">
        <v>0.967159940377799</v>
      </c>
      <c r="D1387" s="23" t="n">
        <f aca="false">BETAINV(C1387,Test1_Hand!$B$21,Test1_Hand!$B$22,Test1_Hand!$B$9,Test1_Hand!$B$11)</f>
        <v>6.02578975821332</v>
      </c>
      <c r="E1387" s="2" t="n">
        <f aca="false">IF(B1387&lt;Test1_Hand!$B$12,1,0)</f>
        <v>0</v>
      </c>
      <c r="F1387" s="23" t="n">
        <f aca="false">Test1_Hand!$B$4+E1387*D1387</f>
        <v>16</v>
      </c>
      <c r="G1387" s="24" t="n">
        <f aca="false">Test1_Hand!$B$6*E1387*D1387+Test1_Hand!$B$7*MAX(0,F1387-Test1_Hand!$B$5)</f>
        <v>0</v>
      </c>
      <c r="H1387" s="2" t="n">
        <f aca="false">IF(B1387&lt;Test1_Hand!$B$13,1,0)</f>
        <v>0</v>
      </c>
      <c r="I1387" s="23" t="n">
        <f aca="false">Test1_Hand!$B$4+H1387*D1387</f>
        <v>16</v>
      </c>
      <c r="J1387" s="24" t="n">
        <f aca="false">Test1_Hand!$B$6*H1387*D1387+Test1_Hand!$B$7*MAX(0,I1387-Test1_Hand!$B$5)+Test1_Hand!$B$14</f>
        <v>6000</v>
      </c>
    </row>
    <row r="1388" customFormat="false" ht="15" hidden="false" customHeight="false" outlineLevel="0" collapsed="false">
      <c r="A1388" s="2" t="n">
        <v>1376</v>
      </c>
      <c r="B1388" s="22" t="n">
        <v>0.02206413161051</v>
      </c>
      <c r="C1388" s="22" t="n">
        <v>0.121072494545713</v>
      </c>
      <c r="D1388" s="23" t="n">
        <f aca="false">BETAINV(C1388,Test1_Hand!$B$21,Test1_Hand!$B$22,Test1_Hand!$B$9,Test1_Hand!$B$11)</f>
        <v>2.00240822924948</v>
      </c>
      <c r="E1388" s="2" t="n">
        <f aca="false">IF(B1388&lt;Test1_Hand!$B$12,1,0)</f>
        <v>1</v>
      </c>
      <c r="F1388" s="23" t="n">
        <f aca="false">Test1_Hand!$B$4+E1388*D1388</f>
        <v>18.0024082292495</v>
      </c>
      <c r="G1388" s="24" t="n">
        <f aca="false">Test1_Hand!$B$6*E1388*D1388+Test1_Hand!$B$7*MAX(0,F1388-Test1_Hand!$B$5)</f>
        <v>16019.2658339958</v>
      </c>
      <c r="H1388" s="2" t="n">
        <f aca="false">IF(B1388&lt;Test1_Hand!$B$13,1,0)</f>
        <v>1</v>
      </c>
      <c r="I1388" s="23" t="n">
        <f aca="false">Test1_Hand!$B$4+H1388*D1388</f>
        <v>18.0024082292495</v>
      </c>
      <c r="J1388" s="24" t="n">
        <f aca="false">Test1_Hand!$B$6*H1388*D1388+Test1_Hand!$B$7*MAX(0,I1388-Test1_Hand!$B$5)+Test1_Hand!$B$14</f>
        <v>22019.2658339958</v>
      </c>
    </row>
    <row r="1389" customFormat="false" ht="15" hidden="false" customHeight="false" outlineLevel="0" collapsed="false">
      <c r="A1389" s="2" t="n">
        <v>1377</v>
      </c>
      <c r="B1389" s="22" t="n">
        <v>0.425005395499283</v>
      </c>
      <c r="C1389" s="22" t="n">
        <v>0.73319503578846</v>
      </c>
      <c r="D1389" s="23" t="n">
        <f aca="false">BETAINV(C1389,Test1_Hand!$B$21,Test1_Hand!$B$22,Test1_Hand!$B$9,Test1_Hand!$B$11)</f>
        <v>4.2967188082226</v>
      </c>
      <c r="E1389" s="2" t="n">
        <f aca="false">IF(B1389&lt;Test1_Hand!$B$12,1,0)</f>
        <v>1</v>
      </c>
      <c r="F1389" s="23" t="n">
        <f aca="false">Test1_Hand!$B$4+E1389*D1389</f>
        <v>20.2967188082226</v>
      </c>
      <c r="G1389" s="24" t="n">
        <f aca="false">Test1_Hand!$B$6*E1389*D1389+Test1_Hand!$B$7*MAX(0,F1389-Test1_Hand!$B$5)</f>
        <v>35857.3445068937</v>
      </c>
      <c r="H1389" s="2" t="n">
        <f aca="false">IF(B1389&lt;Test1_Hand!$B$13,1,0)</f>
        <v>0</v>
      </c>
      <c r="I1389" s="23" t="n">
        <f aca="false">Test1_Hand!$B$4+H1389*D1389</f>
        <v>16</v>
      </c>
      <c r="J1389" s="24" t="n">
        <f aca="false">Test1_Hand!$B$6*H1389*D1389+Test1_Hand!$B$7*MAX(0,I1389-Test1_Hand!$B$5)+Test1_Hand!$B$14</f>
        <v>6000</v>
      </c>
    </row>
    <row r="1390" customFormat="false" ht="15" hidden="false" customHeight="false" outlineLevel="0" collapsed="false">
      <c r="A1390" s="2" t="n">
        <v>1378</v>
      </c>
      <c r="B1390" s="22" t="n">
        <v>0.267392558436075</v>
      </c>
      <c r="C1390" s="22" t="n">
        <v>0.115151172886052</v>
      </c>
      <c r="D1390" s="23" t="n">
        <f aca="false">BETAINV(C1390,Test1_Hand!$B$21,Test1_Hand!$B$22,Test1_Hand!$B$9,Test1_Hand!$B$11)</f>
        <v>1.97554404468169</v>
      </c>
      <c r="E1390" s="2" t="n">
        <f aca="false">IF(B1390&lt;Test1_Hand!$B$12,1,0)</f>
        <v>1</v>
      </c>
      <c r="F1390" s="23" t="n">
        <f aca="false">Test1_Hand!$B$4+E1390*D1390</f>
        <v>17.9755440446817</v>
      </c>
      <c r="G1390" s="24" t="n">
        <f aca="false">Test1_Hand!$B$6*E1390*D1390+Test1_Hand!$B$7*MAX(0,F1390-Test1_Hand!$B$5)</f>
        <v>15804.3523574535</v>
      </c>
      <c r="H1390" s="2" t="n">
        <f aca="false">IF(B1390&lt;Test1_Hand!$B$13,1,0)</f>
        <v>0</v>
      </c>
      <c r="I1390" s="23" t="n">
        <f aca="false">Test1_Hand!$B$4+H1390*D1390</f>
        <v>16</v>
      </c>
      <c r="J1390" s="24" t="n">
        <f aca="false">Test1_Hand!$B$6*H1390*D1390+Test1_Hand!$B$7*MAX(0,I1390-Test1_Hand!$B$5)+Test1_Hand!$B$14</f>
        <v>6000</v>
      </c>
    </row>
    <row r="1391" customFormat="false" ht="15" hidden="false" customHeight="false" outlineLevel="0" collapsed="false">
      <c r="A1391" s="2" t="n">
        <v>1379</v>
      </c>
      <c r="B1391" s="22" t="n">
        <v>0.12214879399184</v>
      </c>
      <c r="C1391" s="22" t="n">
        <v>0.380921832243699</v>
      </c>
      <c r="D1391" s="23" t="n">
        <f aca="false">BETAINV(C1391,Test1_Hand!$B$21,Test1_Hand!$B$22,Test1_Hand!$B$9,Test1_Hand!$B$11)</f>
        <v>2.97023149021333</v>
      </c>
      <c r="E1391" s="2" t="n">
        <f aca="false">IF(B1391&lt;Test1_Hand!$B$12,1,0)</f>
        <v>1</v>
      </c>
      <c r="F1391" s="23" t="n">
        <f aca="false">Test1_Hand!$B$4+E1391*D1391</f>
        <v>18.9702314902133</v>
      </c>
      <c r="G1391" s="24" t="n">
        <f aca="false">Test1_Hand!$B$6*E1391*D1391+Test1_Hand!$B$7*MAX(0,F1391-Test1_Hand!$B$5)</f>
        <v>23761.8519217066</v>
      </c>
      <c r="H1391" s="2" t="n">
        <f aca="false">IF(B1391&lt;Test1_Hand!$B$13,1,0)</f>
        <v>1</v>
      </c>
      <c r="I1391" s="23" t="n">
        <f aca="false">Test1_Hand!$B$4+H1391*D1391</f>
        <v>18.9702314902133</v>
      </c>
      <c r="J1391" s="24" t="n">
        <f aca="false">Test1_Hand!$B$6*H1391*D1391+Test1_Hand!$B$7*MAX(0,I1391-Test1_Hand!$B$5)+Test1_Hand!$B$14</f>
        <v>29761.8519217066</v>
      </c>
    </row>
    <row r="1392" customFormat="false" ht="15" hidden="false" customHeight="false" outlineLevel="0" collapsed="false">
      <c r="A1392" s="2" t="n">
        <v>1380</v>
      </c>
      <c r="B1392" s="22" t="n">
        <v>0.351973425315071</v>
      </c>
      <c r="C1392" s="22" t="n">
        <v>0.915096085294387</v>
      </c>
      <c r="D1392" s="23" t="n">
        <f aca="false">BETAINV(C1392,Test1_Hand!$B$21,Test1_Hand!$B$22,Test1_Hand!$B$9,Test1_Hand!$B$11)</f>
        <v>5.4021847394641</v>
      </c>
      <c r="E1392" s="2" t="n">
        <f aca="false">IF(B1392&lt;Test1_Hand!$B$12,1,0)</f>
        <v>1</v>
      </c>
      <c r="F1392" s="23" t="n">
        <f aca="false">Test1_Hand!$B$4+E1392*D1392</f>
        <v>21.4021847394641</v>
      </c>
      <c r="G1392" s="24" t="n">
        <f aca="false">Test1_Hand!$B$6*E1392*D1392+Test1_Hand!$B$7*MAX(0,F1392-Test1_Hand!$B$5)</f>
        <v>50228.4016130333</v>
      </c>
      <c r="H1392" s="2" t="n">
        <f aca="false">IF(B1392&lt;Test1_Hand!$B$13,1,0)</f>
        <v>0</v>
      </c>
      <c r="I1392" s="23" t="n">
        <f aca="false">Test1_Hand!$B$4+H1392*D1392</f>
        <v>16</v>
      </c>
      <c r="J1392" s="24" t="n">
        <f aca="false">Test1_Hand!$B$6*H1392*D1392+Test1_Hand!$B$7*MAX(0,I1392-Test1_Hand!$B$5)+Test1_Hand!$B$14</f>
        <v>6000</v>
      </c>
    </row>
    <row r="1393" customFormat="false" ht="15" hidden="false" customHeight="false" outlineLevel="0" collapsed="false">
      <c r="A1393" s="2" t="n">
        <v>1381</v>
      </c>
      <c r="B1393" s="22" t="n">
        <v>0.450161499375005</v>
      </c>
      <c r="C1393" s="22" t="n">
        <v>0.457139339768727</v>
      </c>
      <c r="D1393" s="23" t="n">
        <f aca="false">BETAINV(C1393,Test1_Hand!$B$21,Test1_Hand!$B$22,Test1_Hand!$B$9,Test1_Hand!$B$11)</f>
        <v>3.23272570082353</v>
      </c>
      <c r="E1393" s="2" t="n">
        <f aca="false">IF(B1393&lt;Test1_Hand!$B$12,1,0)</f>
        <v>1</v>
      </c>
      <c r="F1393" s="23" t="n">
        <f aca="false">Test1_Hand!$B$4+E1393*D1393</f>
        <v>19.2327257008235</v>
      </c>
      <c r="G1393" s="24" t="n">
        <f aca="false">Test1_Hand!$B$6*E1393*D1393+Test1_Hand!$B$7*MAX(0,F1393-Test1_Hand!$B$5)</f>
        <v>25861.8056065882</v>
      </c>
      <c r="H1393" s="2" t="n">
        <f aca="false">IF(B1393&lt;Test1_Hand!$B$13,1,0)</f>
        <v>0</v>
      </c>
      <c r="I1393" s="23" t="n">
        <f aca="false">Test1_Hand!$B$4+H1393*D1393</f>
        <v>16</v>
      </c>
      <c r="J1393" s="24" t="n">
        <f aca="false">Test1_Hand!$B$6*H1393*D1393+Test1_Hand!$B$7*MAX(0,I1393-Test1_Hand!$B$5)+Test1_Hand!$B$14</f>
        <v>6000</v>
      </c>
    </row>
    <row r="1394" customFormat="false" ht="15" hidden="false" customHeight="false" outlineLevel="0" collapsed="false">
      <c r="A1394" s="2" t="n">
        <v>1382</v>
      </c>
      <c r="B1394" s="22" t="n">
        <v>0.945304282122161</v>
      </c>
      <c r="C1394" s="22" t="n">
        <v>0.537836463176052</v>
      </c>
      <c r="D1394" s="23" t="n">
        <f aca="false">BETAINV(C1394,Test1_Hand!$B$21,Test1_Hand!$B$22,Test1_Hand!$B$9,Test1_Hand!$B$11)</f>
        <v>3.51749391031982</v>
      </c>
      <c r="E1394" s="2" t="n">
        <f aca="false">IF(B1394&lt;Test1_Hand!$B$12,1,0)</f>
        <v>0</v>
      </c>
      <c r="F1394" s="23" t="n">
        <f aca="false">Test1_Hand!$B$4+E1394*D1394</f>
        <v>16</v>
      </c>
      <c r="G1394" s="24" t="n">
        <f aca="false">Test1_Hand!$B$6*E1394*D1394+Test1_Hand!$B$7*MAX(0,F1394-Test1_Hand!$B$5)</f>
        <v>0</v>
      </c>
      <c r="H1394" s="2" t="n">
        <f aca="false">IF(B1394&lt;Test1_Hand!$B$13,1,0)</f>
        <v>0</v>
      </c>
      <c r="I1394" s="23" t="n">
        <f aca="false">Test1_Hand!$B$4+H1394*D1394</f>
        <v>16</v>
      </c>
      <c r="J1394" s="24" t="n">
        <f aca="false">Test1_Hand!$B$6*H1394*D1394+Test1_Hand!$B$7*MAX(0,I1394-Test1_Hand!$B$5)+Test1_Hand!$B$14</f>
        <v>6000</v>
      </c>
    </row>
    <row r="1395" customFormat="false" ht="15" hidden="false" customHeight="false" outlineLevel="0" collapsed="false">
      <c r="A1395" s="2" t="n">
        <v>1383</v>
      </c>
      <c r="B1395" s="22" t="n">
        <v>0.0625406414757037</v>
      </c>
      <c r="C1395" s="22" t="n">
        <v>0.0301054999604397</v>
      </c>
      <c r="D1395" s="23" t="n">
        <f aca="false">BETAINV(C1395,Test1_Hand!$B$21,Test1_Hand!$B$22,Test1_Hand!$B$9,Test1_Hand!$B$11)</f>
        <v>1.48780855930053</v>
      </c>
      <c r="E1395" s="2" t="n">
        <f aca="false">IF(B1395&lt;Test1_Hand!$B$12,1,0)</f>
        <v>1</v>
      </c>
      <c r="F1395" s="23" t="n">
        <f aca="false">Test1_Hand!$B$4+E1395*D1395</f>
        <v>17.4878085593005</v>
      </c>
      <c r="G1395" s="24" t="n">
        <f aca="false">Test1_Hand!$B$6*E1395*D1395+Test1_Hand!$B$7*MAX(0,F1395-Test1_Hand!$B$5)</f>
        <v>11902.4684744042</v>
      </c>
      <c r="H1395" s="2" t="n">
        <f aca="false">IF(B1395&lt;Test1_Hand!$B$13,1,0)</f>
        <v>1</v>
      </c>
      <c r="I1395" s="23" t="n">
        <f aca="false">Test1_Hand!$B$4+H1395*D1395</f>
        <v>17.4878085593005</v>
      </c>
      <c r="J1395" s="24" t="n">
        <f aca="false">Test1_Hand!$B$6*H1395*D1395+Test1_Hand!$B$7*MAX(0,I1395-Test1_Hand!$B$5)+Test1_Hand!$B$14</f>
        <v>17902.4684744042</v>
      </c>
    </row>
    <row r="1396" customFormat="false" ht="15" hidden="false" customHeight="false" outlineLevel="0" collapsed="false">
      <c r="A1396" s="2" t="n">
        <v>1384</v>
      </c>
      <c r="B1396" s="22" t="n">
        <v>0.434653846401837</v>
      </c>
      <c r="C1396" s="22" t="n">
        <v>0.234975101046373</v>
      </c>
      <c r="D1396" s="23" t="n">
        <f aca="false">BETAINV(C1396,Test1_Hand!$B$21,Test1_Hand!$B$22,Test1_Hand!$B$9,Test1_Hand!$B$11)</f>
        <v>2.45766136009317</v>
      </c>
      <c r="E1396" s="2" t="n">
        <f aca="false">IF(B1396&lt;Test1_Hand!$B$12,1,0)</f>
        <v>1</v>
      </c>
      <c r="F1396" s="23" t="n">
        <f aca="false">Test1_Hand!$B$4+E1396*D1396</f>
        <v>18.4576613600932</v>
      </c>
      <c r="G1396" s="24" t="n">
        <f aca="false">Test1_Hand!$B$6*E1396*D1396+Test1_Hand!$B$7*MAX(0,F1396-Test1_Hand!$B$5)</f>
        <v>19661.2908807454</v>
      </c>
      <c r="H1396" s="2" t="n">
        <f aca="false">IF(B1396&lt;Test1_Hand!$B$13,1,0)</f>
        <v>0</v>
      </c>
      <c r="I1396" s="23" t="n">
        <f aca="false">Test1_Hand!$B$4+H1396*D1396</f>
        <v>16</v>
      </c>
      <c r="J1396" s="24" t="n">
        <f aca="false">Test1_Hand!$B$6*H1396*D1396+Test1_Hand!$B$7*MAX(0,I1396-Test1_Hand!$B$5)+Test1_Hand!$B$14</f>
        <v>6000</v>
      </c>
    </row>
    <row r="1397" customFormat="false" ht="15" hidden="false" customHeight="false" outlineLevel="0" collapsed="false">
      <c r="A1397" s="2" t="n">
        <v>1385</v>
      </c>
      <c r="B1397" s="22" t="n">
        <v>0.644504280333686</v>
      </c>
      <c r="C1397" s="22" t="n">
        <v>0.549818861066332</v>
      </c>
      <c r="D1397" s="23" t="n">
        <f aca="false">BETAINV(C1397,Test1_Hand!$B$21,Test1_Hand!$B$22,Test1_Hand!$B$9,Test1_Hand!$B$11)</f>
        <v>3.56088360364851</v>
      </c>
      <c r="E1397" s="2" t="n">
        <f aca="false">IF(B1397&lt;Test1_Hand!$B$12,1,0)</f>
        <v>0</v>
      </c>
      <c r="F1397" s="23" t="n">
        <f aca="false">Test1_Hand!$B$4+E1397*D1397</f>
        <v>16</v>
      </c>
      <c r="G1397" s="24" t="n">
        <f aca="false">Test1_Hand!$B$6*E1397*D1397+Test1_Hand!$B$7*MAX(0,F1397-Test1_Hand!$B$5)</f>
        <v>0</v>
      </c>
      <c r="H1397" s="2" t="n">
        <f aca="false">IF(B1397&lt;Test1_Hand!$B$13,1,0)</f>
        <v>0</v>
      </c>
      <c r="I1397" s="23" t="n">
        <f aca="false">Test1_Hand!$B$4+H1397*D1397</f>
        <v>16</v>
      </c>
      <c r="J1397" s="24" t="n">
        <f aca="false">Test1_Hand!$B$6*H1397*D1397+Test1_Hand!$B$7*MAX(0,I1397-Test1_Hand!$B$5)+Test1_Hand!$B$14</f>
        <v>6000</v>
      </c>
    </row>
    <row r="1398" customFormat="false" ht="15" hidden="false" customHeight="false" outlineLevel="0" collapsed="false">
      <c r="A1398" s="2" t="n">
        <v>1386</v>
      </c>
      <c r="B1398" s="22" t="n">
        <v>0.280839573275213</v>
      </c>
      <c r="C1398" s="22" t="n">
        <v>0.0326691360058492</v>
      </c>
      <c r="D1398" s="23" t="n">
        <f aca="false">BETAINV(C1398,Test1_Hand!$B$21,Test1_Hand!$B$22,Test1_Hand!$B$9,Test1_Hand!$B$11)</f>
        <v>1.50816576100421</v>
      </c>
      <c r="E1398" s="2" t="n">
        <f aca="false">IF(B1398&lt;Test1_Hand!$B$12,1,0)</f>
        <v>1</v>
      </c>
      <c r="F1398" s="23" t="n">
        <f aca="false">Test1_Hand!$B$4+E1398*D1398</f>
        <v>17.5081657610042</v>
      </c>
      <c r="G1398" s="24" t="n">
        <f aca="false">Test1_Hand!$B$6*E1398*D1398+Test1_Hand!$B$7*MAX(0,F1398-Test1_Hand!$B$5)</f>
        <v>12065.3260880337</v>
      </c>
      <c r="H1398" s="2" t="n">
        <f aca="false">IF(B1398&lt;Test1_Hand!$B$13,1,0)</f>
        <v>0</v>
      </c>
      <c r="I1398" s="23" t="n">
        <f aca="false">Test1_Hand!$B$4+H1398*D1398</f>
        <v>16</v>
      </c>
      <c r="J1398" s="24" t="n">
        <f aca="false">Test1_Hand!$B$6*H1398*D1398+Test1_Hand!$B$7*MAX(0,I1398-Test1_Hand!$B$5)+Test1_Hand!$B$14</f>
        <v>6000</v>
      </c>
    </row>
    <row r="1399" customFormat="false" ht="15" hidden="false" customHeight="false" outlineLevel="0" collapsed="false">
      <c r="A1399" s="2" t="n">
        <v>1387</v>
      </c>
      <c r="B1399" s="22" t="n">
        <v>0.300599613084112</v>
      </c>
      <c r="C1399" s="22" t="n">
        <v>0.697784636637263</v>
      </c>
      <c r="D1399" s="23" t="n">
        <f aca="false">BETAINV(C1399,Test1_Hand!$B$21,Test1_Hand!$B$22,Test1_Hand!$B$9,Test1_Hand!$B$11)</f>
        <v>4.13992390812272</v>
      </c>
      <c r="E1399" s="2" t="n">
        <f aca="false">IF(B1399&lt;Test1_Hand!$B$12,1,0)</f>
        <v>1</v>
      </c>
      <c r="F1399" s="23" t="n">
        <f aca="false">Test1_Hand!$B$4+E1399*D1399</f>
        <v>20.1399239081227</v>
      </c>
      <c r="G1399" s="24" t="n">
        <f aca="false">Test1_Hand!$B$6*E1399*D1399+Test1_Hand!$B$7*MAX(0,F1399-Test1_Hand!$B$5)</f>
        <v>33819.0108055953</v>
      </c>
      <c r="H1399" s="2" t="n">
        <f aca="false">IF(B1399&lt;Test1_Hand!$B$13,1,0)</f>
        <v>0</v>
      </c>
      <c r="I1399" s="23" t="n">
        <f aca="false">Test1_Hand!$B$4+H1399*D1399</f>
        <v>16</v>
      </c>
      <c r="J1399" s="24" t="n">
        <f aca="false">Test1_Hand!$B$6*H1399*D1399+Test1_Hand!$B$7*MAX(0,I1399-Test1_Hand!$B$5)+Test1_Hand!$B$14</f>
        <v>6000</v>
      </c>
    </row>
    <row r="1400" customFormat="false" ht="15" hidden="false" customHeight="false" outlineLevel="0" collapsed="false">
      <c r="A1400" s="2" t="n">
        <v>1388</v>
      </c>
      <c r="B1400" s="22" t="n">
        <v>0.561492337413173</v>
      </c>
      <c r="C1400" s="22" t="n">
        <v>0.129887808144096</v>
      </c>
      <c r="D1400" s="23" t="n">
        <f aca="false">BETAINV(C1400,Test1_Hand!$B$21,Test1_Hand!$B$22,Test1_Hand!$B$9,Test1_Hand!$B$11)</f>
        <v>2.0415412708857</v>
      </c>
      <c r="E1400" s="2" t="n">
        <f aca="false">IF(B1400&lt;Test1_Hand!$B$12,1,0)</f>
        <v>0</v>
      </c>
      <c r="F1400" s="23" t="n">
        <f aca="false">Test1_Hand!$B$4+E1400*D1400</f>
        <v>16</v>
      </c>
      <c r="G1400" s="24" t="n">
        <f aca="false">Test1_Hand!$B$6*E1400*D1400+Test1_Hand!$B$7*MAX(0,F1400-Test1_Hand!$B$5)</f>
        <v>0</v>
      </c>
      <c r="H1400" s="2" t="n">
        <f aca="false">IF(B1400&lt;Test1_Hand!$B$13,1,0)</f>
        <v>0</v>
      </c>
      <c r="I1400" s="23" t="n">
        <f aca="false">Test1_Hand!$B$4+H1400*D1400</f>
        <v>16</v>
      </c>
      <c r="J1400" s="24" t="n">
        <f aca="false">Test1_Hand!$B$6*H1400*D1400+Test1_Hand!$B$7*MAX(0,I1400-Test1_Hand!$B$5)+Test1_Hand!$B$14</f>
        <v>6000</v>
      </c>
    </row>
    <row r="1401" customFormat="false" ht="15" hidden="false" customHeight="false" outlineLevel="0" collapsed="false">
      <c r="A1401" s="2" t="n">
        <v>1389</v>
      </c>
      <c r="B1401" s="22" t="n">
        <v>0.0669363100347733</v>
      </c>
      <c r="C1401" s="22" t="n">
        <v>0.634061493810872</v>
      </c>
      <c r="D1401" s="23" t="n">
        <f aca="false">BETAINV(C1401,Test1_Hand!$B$21,Test1_Hand!$B$22,Test1_Hand!$B$9,Test1_Hand!$B$11)</f>
        <v>3.87856556506469</v>
      </c>
      <c r="E1401" s="2" t="n">
        <f aca="false">IF(B1401&lt;Test1_Hand!$B$12,1,0)</f>
        <v>1</v>
      </c>
      <c r="F1401" s="23" t="n">
        <f aca="false">Test1_Hand!$B$4+E1401*D1401</f>
        <v>19.8785655650647</v>
      </c>
      <c r="G1401" s="24" t="n">
        <f aca="false">Test1_Hand!$B$6*E1401*D1401+Test1_Hand!$B$7*MAX(0,F1401-Test1_Hand!$B$5)</f>
        <v>31028.5245205175</v>
      </c>
      <c r="H1401" s="2" t="n">
        <f aca="false">IF(B1401&lt;Test1_Hand!$B$13,1,0)</f>
        <v>1</v>
      </c>
      <c r="I1401" s="23" t="n">
        <f aca="false">Test1_Hand!$B$4+H1401*D1401</f>
        <v>19.8785655650647</v>
      </c>
      <c r="J1401" s="24" t="n">
        <f aca="false">Test1_Hand!$B$6*H1401*D1401+Test1_Hand!$B$7*MAX(0,I1401-Test1_Hand!$B$5)+Test1_Hand!$B$14</f>
        <v>37028.5245205175</v>
      </c>
    </row>
    <row r="1402" customFormat="false" ht="15" hidden="false" customHeight="false" outlineLevel="0" collapsed="false">
      <c r="A1402" s="2" t="n">
        <v>1390</v>
      </c>
      <c r="B1402" s="22" t="n">
        <v>0.987348336627241</v>
      </c>
      <c r="C1402" s="22" t="n">
        <v>0.902311727039388</v>
      </c>
      <c r="D1402" s="23" t="n">
        <f aca="false">BETAINV(C1402,Test1_Hand!$B$21,Test1_Hand!$B$22,Test1_Hand!$B$9,Test1_Hand!$B$11)</f>
        <v>5.29167923012472</v>
      </c>
      <c r="E1402" s="2" t="n">
        <f aca="false">IF(B1402&lt;Test1_Hand!$B$12,1,0)</f>
        <v>0</v>
      </c>
      <c r="F1402" s="23" t="n">
        <f aca="false">Test1_Hand!$B$4+E1402*D1402</f>
        <v>16</v>
      </c>
      <c r="G1402" s="24" t="n">
        <f aca="false">Test1_Hand!$B$6*E1402*D1402+Test1_Hand!$B$7*MAX(0,F1402-Test1_Hand!$B$5)</f>
        <v>0</v>
      </c>
      <c r="H1402" s="2" t="n">
        <f aca="false">IF(B1402&lt;Test1_Hand!$B$13,1,0)</f>
        <v>0</v>
      </c>
      <c r="I1402" s="23" t="n">
        <f aca="false">Test1_Hand!$B$4+H1402*D1402</f>
        <v>16</v>
      </c>
      <c r="J1402" s="24" t="n">
        <f aca="false">Test1_Hand!$B$6*H1402*D1402+Test1_Hand!$B$7*MAX(0,I1402-Test1_Hand!$B$5)+Test1_Hand!$B$14</f>
        <v>6000</v>
      </c>
    </row>
    <row r="1403" customFormat="false" ht="15" hidden="false" customHeight="false" outlineLevel="0" collapsed="false">
      <c r="A1403" s="2" t="n">
        <v>1391</v>
      </c>
      <c r="B1403" s="22" t="n">
        <v>0.774343472766742</v>
      </c>
      <c r="C1403" s="22" t="n">
        <v>0.0336105616500956</v>
      </c>
      <c r="D1403" s="23" t="n">
        <f aca="false">BETAINV(C1403,Test1_Hand!$B$21,Test1_Hand!$B$22,Test1_Hand!$B$9,Test1_Hand!$B$11)</f>
        <v>1.51545514412917</v>
      </c>
      <c r="E1403" s="2" t="n">
        <f aca="false">IF(B1403&lt;Test1_Hand!$B$12,1,0)</f>
        <v>0</v>
      </c>
      <c r="F1403" s="23" t="n">
        <f aca="false">Test1_Hand!$B$4+E1403*D1403</f>
        <v>16</v>
      </c>
      <c r="G1403" s="24" t="n">
        <f aca="false">Test1_Hand!$B$6*E1403*D1403+Test1_Hand!$B$7*MAX(0,F1403-Test1_Hand!$B$5)</f>
        <v>0</v>
      </c>
      <c r="H1403" s="2" t="n">
        <f aca="false">IF(B1403&lt;Test1_Hand!$B$13,1,0)</f>
        <v>0</v>
      </c>
      <c r="I1403" s="23" t="n">
        <f aca="false">Test1_Hand!$B$4+H1403*D1403</f>
        <v>16</v>
      </c>
      <c r="J1403" s="24" t="n">
        <f aca="false">Test1_Hand!$B$6*H1403*D1403+Test1_Hand!$B$7*MAX(0,I1403-Test1_Hand!$B$5)+Test1_Hand!$B$14</f>
        <v>6000</v>
      </c>
    </row>
    <row r="1404" customFormat="false" ht="15" hidden="false" customHeight="false" outlineLevel="0" collapsed="false">
      <c r="A1404" s="2" t="n">
        <v>1392</v>
      </c>
      <c r="B1404" s="22" t="n">
        <v>0.730887863091504</v>
      </c>
      <c r="C1404" s="22" t="n">
        <v>0.271132714673597</v>
      </c>
      <c r="D1404" s="23" t="n">
        <f aca="false">BETAINV(C1404,Test1_Hand!$B$21,Test1_Hand!$B$22,Test1_Hand!$B$9,Test1_Hand!$B$11)</f>
        <v>2.58835437875188</v>
      </c>
      <c r="E1404" s="2" t="n">
        <f aca="false">IF(B1404&lt;Test1_Hand!$B$12,1,0)</f>
        <v>0</v>
      </c>
      <c r="F1404" s="23" t="n">
        <f aca="false">Test1_Hand!$B$4+E1404*D1404</f>
        <v>16</v>
      </c>
      <c r="G1404" s="24" t="n">
        <f aca="false">Test1_Hand!$B$6*E1404*D1404+Test1_Hand!$B$7*MAX(0,F1404-Test1_Hand!$B$5)</f>
        <v>0</v>
      </c>
      <c r="H1404" s="2" t="n">
        <f aca="false">IF(B1404&lt;Test1_Hand!$B$13,1,0)</f>
        <v>0</v>
      </c>
      <c r="I1404" s="23" t="n">
        <f aca="false">Test1_Hand!$B$4+H1404*D1404</f>
        <v>16</v>
      </c>
      <c r="J1404" s="24" t="n">
        <f aca="false">Test1_Hand!$B$6*H1404*D1404+Test1_Hand!$B$7*MAX(0,I1404-Test1_Hand!$B$5)+Test1_Hand!$B$14</f>
        <v>6000</v>
      </c>
    </row>
    <row r="1405" customFormat="false" ht="15" hidden="false" customHeight="false" outlineLevel="0" collapsed="false">
      <c r="A1405" s="2" t="n">
        <v>1393</v>
      </c>
      <c r="B1405" s="22" t="n">
        <v>0.905674106257883</v>
      </c>
      <c r="C1405" s="22" t="n">
        <v>0.332519604290637</v>
      </c>
      <c r="D1405" s="23" t="n">
        <f aca="false">BETAINV(C1405,Test1_Hand!$B$21,Test1_Hand!$B$22,Test1_Hand!$B$9,Test1_Hand!$B$11)</f>
        <v>2.80353093117487</v>
      </c>
      <c r="E1405" s="2" t="n">
        <f aca="false">IF(B1405&lt;Test1_Hand!$B$12,1,0)</f>
        <v>0</v>
      </c>
      <c r="F1405" s="23" t="n">
        <f aca="false">Test1_Hand!$B$4+E1405*D1405</f>
        <v>16</v>
      </c>
      <c r="G1405" s="24" t="n">
        <f aca="false">Test1_Hand!$B$6*E1405*D1405+Test1_Hand!$B$7*MAX(0,F1405-Test1_Hand!$B$5)</f>
        <v>0</v>
      </c>
      <c r="H1405" s="2" t="n">
        <f aca="false">IF(B1405&lt;Test1_Hand!$B$13,1,0)</f>
        <v>0</v>
      </c>
      <c r="I1405" s="23" t="n">
        <f aca="false">Test1_Hand!$B$4+H1405*D1405</f>
        <v>16</v>
      </c>
      <c r="J1405" s="24" t="n">
        <f aca="false">Test1_Hand!$B$6*H1405*D1405+Test1_Hand!$B$7*MAX(0,I1405-Test1_Hand!$B$5)+Test1_Hand!$B$14</f>
        <v>6000</v>
      </c>
    </row>
    <row r="1406" customFormat="false" ht="15" hidden="false" customHeight="false" outlineLevel="0" collapsed="false">
      <c r="A1406" s="2" t="n">
        <v>1394</v>
      </c>
      <c r="B1406" s="22" t="n">
        <v>0.37452305778592</v>
      </c>
      <c r="C1406" s="22" t="n">
        <v>0.699180214577223</v>
      </c>
      <c r="D1406" s="23" t="n">
        <f aca="false">BETAINV(C1406,Test1_Hand!$B$21,Test1_Hand!$B$22,Test1_Hand!$B$9,Test1_Hand!$B$11)</f>
        <v>4.1459240157539</v>
      </c>
      <c r="E1406" s="2" t="n">
        <f aca="false">IF(B1406&lt;Test1_Hand!$B$12,1,0)</f>
        <v>1</v>
      </c>
      <c r="F1406" s="23" t="n">
        <f aca="false">Test1_Hand!$B$4+E1406*D1406</f>
        <v>20.1459240157539</v>
      </c>
      <c r="G1406" s="24" t="n">
        <f aca="false">Test1_Hand!$B$6*E1406*D1406+Test1_Hand!$B$7*MAX(0,F1406-Test1_Hand!$B$5)</f>
        <v>33897.0122048007</v>
      </c>
      <c r="H1406" s="2" t="n">
        <f aca="false">IF(B1406&lt;Test1_Hand!$B$13,1,0)</f>
        <v>0</v>
      </c>
      <c r="I1406" s="23" t="n">
        <f aca="false">Test1_Hand!$B$4+H1406*D1406</f>
        <v>16</v>
      </c>
      <c r="J1406" s="24" t="n">
        <f aca="false">Test1_Hand!$B$6*H1406*D1406+Test1_Hand!$B$7*MAX(0,I1406-Test1_Hand!$B$5)+Test1_Hand!$B$14</f>
        <v>6000</v>
      </c>
    </row>
    <row r="1407" customFormat="false" ht="15" hidden="false" customHeight="false" outlineLevel="0" collapsed="false">
      <c r="A1407" s="2" t="n">
        <v>1395</v>
      </c>
      <c r="B1407" s="22" t="n">
        <v>0.0653728878593511</v>
      </c>
      <c r="C1407" s="22" t="n">
        <v>0.414380124762278</v>
      </c>
      <c r="D1407" s="23" t="n">
        <f aca="false">BETAINV(C1407,Test1_Hand!$B$21,Test1_Hand!$B$22,Test1_Hand!$B$9,Test1_Hand!$B$11)</f>
        <v>3.08514800035157</v>
      </c>
      <c r="E1407" s="2" t="n">
        <f aca="false">IF(B1407&lt;Test1_Hand!$B$12,1,0)</f>
        <v>1</v>
      </c>
      <c r="F1407" s="23" t="n">
        <f aca="false">Test1_Hand!$B$4+E1407*D1407</f>
        <v>19.0851480003516</v>
      </c>
      <c r="G1407" s="24" t="n">
        <f aca="false">Test1_Hand!$B$6*E1407*D1407+Test1_Hand!$B$7*MAX(0,F1407-Test1_Hand!$B$5)</f>
        <v>24681.1840028126</v>
      </c>
      <c r="H1407" s="2" t="n">
        <f aca="false">IF(B1407&lt;Test1_Hand!$B$13,1,0)</f>
        <v>1</v>
      </c>
      <c r="I1407" s="23" t="n">
        <f aca="false">Test1_Hand!$B$4+H1407*D1407</f>
        <v>19.0851480003516</v>
      </c>
      <c r="J1407" s="24" t="n">
        <f aca="false">Test1_Hand!$B$6*H1407*D1407+Test1_Hand!$B$7*MAX(0,I1407-Test1_Hand!$B$5)+Test1_Hand!$B$14</f>
        <v>30681.1840028126</v>
      </c>
    </row>
    <row r="1408" customFormat="false" ht="15" hidden="false" customHeight="false" outlineLevel="0" collapsed="false">
      <c r="A1408" s="2" t="n">
        <v>1396</v>
      </c>
      <c r="B1408" s="22" t="n">
        <v>0.161910549764604</v>
      </c>
      <c r="C1408" s="22" t="n">
        <v>0.640102519432626</v>
      </c>
      <c r="D1408" s="23" t="n">
        <f aca="false">BETAINV(C1408,Test1_Hand!$B$21,Test1_Hand!$B$22,Test1_Hand!$B$9,Test1_Hand!$B$11)</f>
        <v>3.9024113799405</v>
      </c>
      <c r="E1408" s="2" t="n">
        <f aca="false">IF(B1408&lt;Test1_Hand!$B$12,1,0)</f>
        <v>1</v>
      </c>
      <c r="F1408" s="23" t="n">
        <f aca="false">Test1_Hand!$B$4+E1408*D1408</f>
        <v>19.9024113799405</v>
      </c>
      <c r="G1408" s="24" t="n">
        <f aca="false">Test1_Hand!$B$6*E1408*D1408+Test1_Hand!$B$7*MAX(0,F1408-Test1_Hand!$B$5)</f>
        <v>31219.291039524</v>
      </c>
      <c r="H1408" s="2" t="n">
        <f aca="false">IF(B1408&lt;Test1_Hand!$B$13,1,0)</f>
        <v>1</v>
      </c>
      <c r="I1408" s="23" t="n">
        <f aca="false">Test1_Hand!$B$4+H1408*D1408</f>
        <v>19.9024113799405</v>
      </c>
      <c r="J1408" s="24" t="n">
        <f aca="false">Test1_Hand!$B$6*H1408*D1408+Test1_Hand!$B$7*MAX(0,I1408-Test1_Hand!$B$5)+Test1_Hand!$B$14</f>
        <v>37219.291039524</v>
      </c>
    </row>
    <row r="1409" customFormat="false" ht="15" hidden="false" customHeight="false" outlineLevel="0" collapsed="false">
      <c r="A1409" s="2" t="n">
        <v>1397</v>
      </c>
      <c r="B1409" s="22" t="n">
        <v>0.261711460704398</v>
      </c>
      <c r="C1409" s="22" t="n">
        <v>0.391670574758664</v>
      </c>
      <c r="D1409" s="23" t="n">
        <f aca="false">BETAINV(C1409,Test1_Hand!$B$21,Test1_Hand!$B$22,Test1_Hand!$B$9,Test1_Hand!$B$11)</f>
        <v>3.0071375035425</v>
      </c>
      <c r="E1409" s="2" t="n">
        <f aca="false">IF(B1409&lt;Test1_Hand!$B$12,1,0)</f>
        <v>1</v>
      </c>
      <c r="F1409" s="23" t="n">
        <f aca="false">Test1_Hand!$B$4+E1409*D1409</f>
        <v>19.0071375035425</v>
      </c>
      <c r="G1409" s="24" t="n">
        <f aca="false">Test1_Hand!$B$6*E1409*D1409+Test1_Hand!$B$7*MAX(0,F1409-Test1_Hand!$B$5)</f>
        <v>24057.10002834</v>
      </c>
      <c r="H1409" s="2" t="n">
        <f aca="false">IF(B1409&lt;Test1_Hand!$B$13,1,0)</f>
        <v>0</v>
      </c>
      <c r="I1409" s="23" t="n">
        <f aca="false">Test1_Hand!$B$4+H1409*D1409</f>
        <v>16</v>
      </c>
      <c r="J1409" s="24" t="n">
        <f aca="false">Test1_Hand!$B$6*H1409*D1409+Test1_Hand!$B$7*MAX(0,I1409-Test1_Hand!$B$5)+Test1_Hand!$B$14</f>
        <v>6000</v>
      </c>
    </row>
    <row r="1410" customFormat="false" ht="15" hidden="false" customHeight="false" outlineLevel="0" collapsed="false">
      <c r="A1410" s="2" t="n">
        <v>1398</v>
      </c>
      <c r="B1410" s="22" t="n">
        <v>0.861445276547892</v>
      </c>
      <c r="C1410" s="22" t="n">
        <v>0.534887131543732</v>
      </c>
      <c r="D1410" s="23" t="n">
        <f aca="false">BETAINV(C1410,Test1_Hand!$B$21,Test1_Hand!$B$22,Test1_Hand!$B$9,Test1_Hand!$B$11)</f>
        <v>3.50686778645535</v>
      </c>
      <c r="E1410" s="2" t="n">
        <f aca="false">IF(B1410&lt;Test1_Hand!$B$12,1,0)</f>
        <v>0</v>
      </c>
      <c r="F1410" s="23" t="n">
        <f aca="false">Test1_Hand!$B$4+E1410*D1410</f>
        <v>16</v>
      </c>
      <c r="G1410" s="24" t="n">
        <f aca="false">Test1_Hand!$B$6*E1410*D1410+Test1_Hand!$B$7*MAX(0,F1410-Test1_Hand!$B$5)</f>
        <v>0</v>
      </c>
      <c r="H1410" s="2" t="n">
        <f aca="false">IF(B1410&lt;Test1_Hand!$B$13,1,0)</f>
        <v>0</v>
      </c>
      <c r="I1410" s="23" t="n">
        <f aca="false">Test1_Hand!$B$4+H1410*D1410</f>
        <v>16</v>
      </c>
      <c r="J1410" s="24" t="n">
        <f aca="false">Test1_Hand!$B$6*H1410*D1410+Test1_Hand!$B$7*MAX(0,I1410-Test1_Hand!$B$5)+Test1_Hand!$B$14</f>
        <v>6000</v>
      </c>
    </row>
    <row r="1411" customFormat="false" ht="15" hidden="false" customHeight="false" outlineLevel="0" collapsed="false">
      <c r="A1411" s="2" t="n">
        <v>1399</v>
      </c>
      <c r="B1411" s="22" t="n">
        <v>0.81838471960393</v>
      </c>
      <c r="C1411" s="22" t="n">
        <v>0.765615087332201</v>
      </c>
      <c r="D1411" s="23" t="n">
        <f aca="false">BETAINV(C1411,Test1_Hand!$B$21,Test1_Hand!$B$22,Test1_Hand!$B$9,Test1_Hand!$B$11)</f>
        <v>4.4500363988862</v>
      </c>
      <c r="E1411" s="2" t="n">
        <f aca="false">IF(B1411&lt;Test1_Hand!$B$12,1,0)</f>
        <v>0</v>
      </c>
      <c r="F1411" s="23" t="n">
        <f aca="false">Test1_Hand!$B$4+E1411*D1411</f>
        <v>16</v>
      </c>
      <c r="G1411" s="24" t="n">
        <f aca="false">Test1_Hand!$B$6*E1411*D1411+Test1_Hand!$B$7*MAX(0,F1411-Test1_Hand!$B$5)</f>
        <v>0</v>
      </c>
      <c r="H1411" s="2" t="n">
        <f aca="false">IF(B1411&lt;Test1_Hand!$B$13,1,0)</f>
        <v>0</v>
      </c>
      <c r="I1411" s="23" t="n">
        <f aca="false">Test1_Hand!$B$4+H1411*D1411</f>
        <v>16</v>
      </c>
      <c r="J1411" s="24" t="n">
        <f aca="false">Test1_Hand!$B$6*H1411*D1411+Test1_Hand!$B$7*MAX(0,I1411-Test1_Hand!$B$5)+Test1_Hand!$B$14</f>
        <v>6000</v>
      </c>
    </row>
    <row r="1412" customFormat="false" ht="15" hidden="false" customHeight="false" outlineLevel="0" collapsed="false">
      <c r="A1412" s="2" t="n">
        <v>1400</v>
      </c>
      <c r="B1412" s="22" t="n">
        <v>0.247264245132769</v>
      </c>
      <c r="C1412" s="22" t="n">
        <v>0.745421921772748</v>
      </c>
      <c r="D1412" s="23" t="n">
        <f aca="false">BETAINV(C1412,Test1_Hand!$B$21,Test1_Hand!$B$22,Test1_Hand!$B$9,Test1_Hand!$B$11)</f>
        <v>4.35331430459795</v>
      </c>
      <c r="E1412" s="2" t="n">
        <f aca="false">IF(B1412&lt;Test1_Hand!$B$12,1,0)</f>
        <v>1</v>
      </c>
      <c r="F1412" s="23" t="n">
        <f aca="false">Test1_Hand!$B$4+E1412*D1412</f>
        <v>20.3533143045979</v>
      </c>
      <c r="G1412" s="24" t="n">
        <f aca="false">Test1_Hand!$B$6*E1412*D1412+Test1_Hand!$B$7*MAX(0,F1412-Test1_Hand!$B$5)</f>
        <v>36593.0859597733</v>
      </c>
      <c r="H1412" s="2" t="n">
        <f aca="false">IF(B1412&lt;Test1_Hand!$B$13,1,0)</f>
        <v>0</v>
      </c>
      <c r="I1412" s="23" t="n">
        <f aca="false">Test1_Hand!$B$4+H1412*D1412</f>
        <v>16</v>
      </c>
      <c r="J1412" s="24" t="n">
        <f aca="false">Test1_Hand!$B$6*H1412*D1412+Test1_Hand!$B$7*MAX(0,I1412-Test1_Hand!$B$5)+Test1_Hand!$B$14</f>
        <v>6000</v>
      </c>
    </row>
    <row r="1413" customFormat="false" ht="15" hidden="false" customHeight="false" outlineLevel="0" collapsed="false">
      <c r="A1413" s="2" t="n">
        <v>1401</v>
      </c>
      <c r="B1413" s="22" t="n">
        <v>0.930536419407632</v>
      </c>
      <c r="C1413" s="22" t="n">
        <v>0.766681052969919</v>
      </c>
      <c r="D1413" s="23" t="n">
        <f aca="false">BETAINV(C1413,Test1_Hand!$B$21,Test1_Hand!$B$22,Test1_Hand!$B$9,Test1_Hand!$B$11)</f>
        <v>4.45526478099495</v>
      </c>
      <c r="E1413" s="2" t="n">
        <f aca="false">IF(B1413&lt;Test1_Hand!$B$12,1,0)</f>
        <v>0</v>
      </c>
      <c r="F1413" s="23" t="n">
        <f aca="false">Test1_Hand!$B$4+E1413*D1413</f>
        <v>16</v>
      </c>
      <c r="G1413" s="24" t="n">
        <f aca="false">Test1_Hand!$B$6*E1413*D1413+Test1_Hand!$B$7*MAX(0,F1413-Test1_Hand!$B$5)</f>
        <v>0</v>
      </c>
      <c r="H1413" s="2" t="n">
        <f aca="false">IF(B1413&lt;Test1_Hand!$B$13,1,0)</f>
        <v>0</v>
      </c>
      <c r="I1413" s="23" t="n">
        <f aca="false">Test1_Hand!$B$4+H1413*D1413</f>
        <v>16</v>
      </c>
      <c r="J1413" s="24" t="n">
        <f aca="false">Test1_Hand!$B$6*H1413*D1413+Test1_Hand!$B$7*MAX(0,I1413-Test1_Hand!$B$5)+Test1_Hand!$B$14</f>
        <v>6000</v>
      </c>
    </row>
    <row r="1414" customFormat="false" ht="15" hidden="false" customHeight="false" outlineLevel="0" collapsed="false">
      <c r="A1414" s="2" t="n">
        <v>1402</v>
      </c>
      <c r="B1414" s="22" t="n">
        <v>0.725437786317658</v>
      </c>
      <c r="C1414" s="22" t="n">
        <v>0.168224467826035</v>
      </c>
      <c r="D1414" s="23" t="n">
        <f aca="false">BETAINV(C1414,Test1_Hand!$B$21,Test1_Hand!$B$22,Test1_Hand!$B$9,Test1_Hand!$B$11)</f>
        <v>2.2021809950993</v>
      </c>
      <c r="E1414" s="2" t="n">
        <f aca="false">IF(B1414&lt;Test1_Hand!$B$12,1,0)</f>
        <v>0</v>
      </c>
      <c r="F1414" s="23" t="n">
        <f aca="false">Test1_Hand!$B$4+E1414*D1414</f>
        <v>16</v>
      </c>
      <c r="G1414" s="24" t="n">
        <f aca="false">Test1_Hand!$B$6*E1414*D1414+Test1_Hand!$B$7*MAX(0,F1414-Test1_Hand!$B$5)</f>
        <v>0</v>
      </c>
      <c r="H1414" s="2" t="n">
        <f aca="false">IF(B1414&lt;Test1_Hand!$B$13,1,0)</f>
        <v>0</v>
      </c>
      <c r="I1414" s="23" t="n">
        <f aca="false">Test1_Hand!$B$4+H1414*D1414</f>
        <v>16</v>
      </c>
      <c r="J1414" s="24" t="n">
        <f aca="false">Test1_Hand!$B$6*H1414*D1414+Test1_Hand!$B$7*MAX(0,I1414-Test1_Hand!$B$5)+Test1_Hand!$B$14</f>
        <v>6000</v>
      </c>
    </row>
    <row r="1415" customFormat="false" ht="15" hidden="false" customHeight="false" outlineLevel="0" collapsed="false">
      <c r="A1415" s="2" t="n">
        <v>1403</v>
      </c>
      <c r="B1415" s="22" t="n">
        <v>0.513767194805733</v>
      </c>
      <c r="C1415" s="22" t="n">
        <v>0.0774421751554296</v>
      </c>
      <c r="D1415" s="23" t="n">
        <f aca="false">BETAINV(C1415,Test1_Hand!$B$21,Test1_Hand!$B$22,Test1_Hand!$B$9,Test1_Hand!$B$11)</f>
        <v>1.79003213334561</v>
      </c>
      <c r="E1415" s="2" t="n">
        <f aca="false">IF(B1415&lt;Test1_Hand!$B$12,1,0)</f>
        <v>0</v>
      </c>
      <c r="F1415" s="23" t="n">
        <f aca="false">Test1_Hand!$B$4+E1415*D1415</f>
        <v>16</v>
      </c>
      <c r="G1415" s="24" t="n">
        <f aca="false">Test1_Hand!$B$6*E1415*D1415+Test1_Hand!$B$7*MAX(0,F1415-Test1_Hand!$B$5)</f>
        <v>0</v>
      </c>
      <c r="H1415" s="2" t="n">
        <f aca="false">IF(B1415&lt;Test1_Hand!$B$13,1,0)</f>
        <v>0</v>
      </c>
      <c r="I1415" s="23" t="n">
        <f aca="false">Test1_Hand!$B$4+H1415*D1415</f>
        <v>16</v>
      </c>
      <c r="J1415" s="24" t="n">
        <f aca="false">Test1_Hand!$B$6*H1415*D1415+Test1_Hand!$B$7*MAX(0,I1415-Test1_Hand!$B$5)+Test1_Hand!$B$14</f>
        <v>6000</v>
      </c>
    </row>
    <row r="1416" customFormat="false" ht="15" hidden="false" customHeight="false" outlineLevel="0" collapsed="false">
      <c r="A1416" s="2" t="n">
        <v>1404</v>
      </c>
      <c r="B1416" s="22" t="n">
        <v>0.505992967199744</v>
      </c>
      <c r="C1416" s="22" t="n">
        <v>0.0900647797012864</v>
      </c>
      <c r="D1416" s="23" t="n">
        <f aca="false">BETAINV(C1416,Test1_Hand!$B$21,Test1_Hand!$B$22,Test1_Hand!$B$9,Test1_Hand!$B$11)</f>
        <v>1.85541461761789</v>
      </c>
      <c r="E1416" s="2" t="n">
        <f aca="false">IF(B1416&lt;Test1_Hand!$B$12,1,0)</f>
        <v>0</v>
      </c>
      <c r="F1416" s="23" t="n">
        <f aca="false">Test1_Hand!$B$4+E1416*D1416</f>
        <v>16</v>
      </c>
      <c r="G1416" s="24" t="n">
        <f aca="false">Test1_Hand!$B$6*E1416*D1416+Test1_Hand!$B$7*MAX(0,F1416-Test1_Hand!$B$5)</f>
        <v>0</v>
      </c>
      <c r="H1416" s="2" t="n">
        <f aca="false">IF(B1416&lt;Test1_Hand!$B$13,1,0)</f>
        <v>0</v>
      </c>
      <c r="I1416" s="23" t="n">
        <f aca="false">Test1_Hand!$B$4+H1416*D1416</f>
        <v>16</v>
      </c>
      <c r="J1416" s="24" t="n">
        <f aca="false">Test1_Hand!$B$6*H1416*D1416+Test1_Hand!$B$7*MAX(0,I1416-Test1_Hand!$B$5)+Test1_Hand!$B$14</f>
        <v>6000</v>
      </c>
    </row>
    <row r="1417" customFormat="false" ht="15" hidden="false" customHeight="false" outlineLevel="0" collapsed="false">
      <c r="A1417" s="2" t="n">
        <v>1405</v>
      </c>
      <c r="B1417" s="22" t="n">
        <v>0.847530761783402</v>
      </c>
      <c r="C1417" s="22" t="n">
        <v>0.464609757030948</v>
      </c>
      <c r="D1417" s="23" t="n">
        <f aca="false">BETAINV(C1417,Test1_Hand!$B$21,Test1_Hand!$B$22,Test1_Hand!$B$9,Test1_Hand!$B$11)</f>
        <v>3.25867232840717</v>
      </c>
      <c r="E1417" s="2" t="n">
        <f aca="false">IF(B1417&lt;Test1_Hand!$B$12,1,0)</f>
        <v>0</v>
      </c>
      <c r="F1417" s="23" t="n">
        <f aca="false">Test1_Hand!$B$4+E1417*D1417</f>
        <v>16</v>
      </c>
      <c r="G1417" s="24" t="n">
        <f aca="false">Test1_Hand!$B$6*E1417*D1417+Test1_Hand!$B$7*MAX(0,F1417-Test1_Hand!$B$5)</f>
        <v>0</v>
      </c>
      <c r="H1417" s="2" t="n">
        <f aca="false">IF(B1417&lt;Test1_Hand!$B$13,1,0)</f>
        <v>0</v>
      </c>
      <c r="I1417" s="23" t="n">
        <f aca="false">Test1_Hand!$B$4+H1417*D1417</f>
        <v>16</v>
      </c>
      <c r="J1417" s="24" t="n">
        <f aca="false">Test1_Hand!$B$6*H1417*D1417+Test1_Hand!$B$7*MAX(0,I1417-Test1_Hand!$B$5)+Test1_Hand!$B$14</f>
        <v>6000</v>
      </c>
    </row>
    <row r="1418" customFormat="false" ht="15" hidden="false" customHeight="false" outlineLevel="0" collapsed="false">
      <c r="A1418" s="2" t="n">
        <v>1406</v>
      </c>
      <c r="B1418" s="22" t="n">
        <v>0.40740183290044</v>
      </c>
      <c r="C1418" s="22" t="n">
        <v>0.739325690582624</v>
      </c>
      <c r="D1418" s="23" t="n">
        <f aca="false">BETAINV(C1418,Test1_Hand!$B$21,Test1_Hand!$B$22,Test1_Hand!$B$9,Test1_Hand!$B$11)</f>
        <v>4.32492257145597</v>
      </c>
      <c r="E1418" s="2" t="n">
        <f aca="false">IF(B1418&lt;Test1_Hand!$B$12,1,0)</f>
        <v>1</v>
      </c>
      <c r="F1418" s="23" t="n">
        <f aca="false">Test1_Hand!$B$4+E1418*D1418</f>
        <v>20.324922571456</v>
      </c>
      <c r="G1418" s="24" t="n">
        <f aca="false">Test1_Hand!$B$6*E1418*D1418+Test1_Hand!$B$7*MAX(0,F1418-Test1_Hand!$B$5)</f>
        <v>36223.9934289276</v>
      </c>
      <c r="H1418" s="2" t="n">
        <f aca="false">IF(B1418&lt;Test1_Hand!$B$13,1,0)</f>
        <v>0</v>
      </c>
      <c r="I1418" s="23" t="n">
        <f aca="false">Test1_Hand!$B$4+H1418*D1418</f>
        <v>16</v>
      </c>
      <c r="J1418" s="24" t="n">
        <f aca="false">Test1_Hand!$B$6*H1418*D1418+Test1_Hand!$B$7*MAX(0,I1418-Test1_Hand!$B$5)+Test1_Hand!$B$14</f>
        <v>6000</v>
      </c>
    </row>
    <row r="1419" customFormat="false" ht="15" hidden="false" customHeight="false" outlineLevel="0" collapsed="false">
      <c r="A1419" s="2" t="n">
        <v>1407</v>
      </c>
      <c r="B1419" s="22" t="n">
        <v>0.569166736763207</v>
      </c>
      <c r="C1419" s="22" t="n">
        <v>0.272541728914062</v>
      </c>
      <c r="D1419" s="23" t="n">
        <f aca="false">BETAINV(C1419,Test1_Hand!$B$21,Test1_Hand!$B$22,Test1_Hand!$B$9,Test1_Hand!$B$11)</f>
        <v>2.59337360223512</v>
      </c>
      <c r="E1419" s="2" t="n">
        <f aca="false">IF(B1419&lt;Test1_Hand!$B$12,1,0)</f>
        <v>0</v>
      </c>
      <c r="F1419" s="23" t="n">
        <f aca="false">Test1_Hand!$B$4+E1419*D1419</f>
        <v>16</v>
      </c>
      <c r="G1419" s="24" t="n">
        <f aca="false">Test1_Hand!$B$6*E1419*D1419+Test1_Hand!$B$7*MAX(0,F1419-Test1_Hand!$B$5)</f>
        <v>0</v>
      </c>
      <c r="H1419" s="2" t="n">
        <f aca="false">IF(B1419&lt;Test1_Hand!$B$13,1,0)</f>
        <v>0</v>
      </c>
      <c r="I1419" s="23" t="n">
        <f aca="false">Test1_Hand!$B$4+H1419*D1419</f>
        <v>16</v>
      </c>
      <c r="J1419" s="24" t="n">
        <f aca="false">Test1_Hand!$B$6*H1419*D1419+Test1_Hand!$B$7*MAX(0,I1419-Test1_Hand!$B$5)+Test1_Hand!$B$14</f>
        <v>6000</v>
      </c>
    </row>
    <row r="1420" customFormat="false" ht="15" hidden="false" customHeight="false" outlineLevel="0" collapsed="false">
      <c r="A1420" s="2" t="n">
        <v>1408</v>
      </c>
      <c r="B1420" s="22" t="n">
        <v>0.645800782795276</v>
      </c>
      <c r="C1420" s="22" t="n">
        <v>0.501067542048356</v>
      </c>
      <c r="D1420" s="23" t="n">
        <f aca="false">BETAINV(C1420,Test1_Hand!$B$21,Test1_Hand!$B$22,Test1_Hand!$B$9,Test1_Hand!$B$11)</f>
        <v>3.38635662961781</v>
      </c>
      <c r="E1420" s="2" t="n">
        <f aca="false">IF(B1420&lt;Test1_Hand!$B$12,1,0)</f>
        <v>0</v>
      </c>
      <c r="F1420" s="23" t="n">
        <f aca="false">Test1_Hand!$B$4+E1420*D1420</f>
        <v>16</v>
      </c>
      <c r="G1420" s="24" t="n">
        <f aca="false">Test1_Hand!$B$6*E1420*D1420+Test1_Hand!$B$7*MAX(0,F1420-Test1_Hand!$B$5)</f>
        <v>0</v>
      </c>
      <c r="H1420" s="2" t="n">
        <f aca="false">IF(B1420&lt;Test1_Hand!$B$13,1,0)</f>
        <v>0</v>
      </c>
      <c r="I1420" s="23" t="n">
        <f aca="false">Test1_Hand!$B$4+H1420*D1420</f>
        <v>16</v>
      </c>
      <c r="J1420" s="24" t="n">
        <f aca="false">Test1_Hand!$B$6*H1420*D1420+Test1_Hand!$B$7*MAX(0,I1420-Test1_Hand!$B$5)+Test1_Hand!$B$14</f>
        <v>6000</v>
      </c>
    </row>
    <row r="1421" customFormat="false" ht="15" hidden="false" customHeight="false" outlineLevel="0" collapsed="false">
      <c r="A1421" s="2" t="n">
        <v>1409</v>
      </c>
      <c r="B1421" s="22" t="n">
        <v>0.3816400045422</v>
      </c>
      <c r="C1421" s="22" t="n">
        <v>0.815258476382086</v>
      </c>
      <c r="D1421" s="23" t="n">
        <f aca="false">BETAINV(C1421,Test1_Hand!$B$21,Test1_Hand!$B$22,Test1_Hand!$B$9,Test1_Hand!$B$11)</f>
        <v>4.70938896948741</v>
      </c>
      <c r="E1421" s="2" t="n">
        <f aca="false">IF(B1421&lt;Test1_Hand!$B$12,1,0)</f>
        <v>1</v>
      </c>
      <c r="F1421" s="23" t="n">
        <f aca="false">Test1_Hand!$B$4+E1421*D1421</f>
        <v>20.7093889694874</v>
      </c>
      <c r="G1421" s="24" t="n">
        <f aca="false">Test1_Hand!$B$6*E1421*D1421+Test1_Hand!$B$7*MAX(0,F1421-Test1_Hand!$B$5)</f>
        <v>41222.0566033363</v>
      </c>
      <c r="H1421" s="2" t="n">
        <f aca="false">IF(B1421&lt;Test1_Hand!$B$13,1,0)</f>
        <v>0</v>
      </c>
      <c r="I1421" s="23" t="n">
        <f aca="false">Test1_Hand!$B$4+H1421*D1421</f>
        <v>16</v>
      </c>
      <c r="J1421" s="24" t="n">
        <f aca="false">Test1_Hand!$B$6*H1421*D1421+Test1_Hand!$B$7*MAX(0,I1421-Test1_Hand!$B$5)+Test1_Hand!$B$14</f>
        <v>6000</v>
      </c>
    </row>
    <row r="1422" customFormat="false" ht="15" hidden="false" customHeight="false" outlineLevel="0" collapsed="false">
      <c r="A1422" s="2" t="n">
        <v>1410</v>
      </c>
      <c r="B1422" s="22" t="n">
        <v>0.642872965202013</v>
      </c>
      <c r="C1422" s="22" t="n">
        <v>0.477460275660843</v>
      </c>
      <c r="D1422" s="23" t="n">
        <f aca="false">BETAINV(C1422,Test1_Hand!$B$21,Test1_Hand!$B$22,Test1_Hand!$B$9,Test1_Hand!$B$11)</f>
        <v>3.30346160787745</v>
      </c>
      <c r="E1422" s="2" t="n">
        <f aca="false">IF(B1422&lt;Test1_Hand!$B$12,1,0)</f>
        <v>0</v>
      </c>
      <c r="F1422" s="23" t="n">
        <f aca="false">Test1_Hand!$B$4+E1422*D1422</f>
        <v>16</v>
      </c>
      <c r="G1422" s="24" t="n">
        <f aca="false">Test1_Hand!$B$6*E1422*D1422+Test1_Hand!$B$7*MAX(0,F1422-Test1_Hand!$B$5)</f>
        <v>0</v>
      </c>
      <c r="H1422" s="2" t="n">
        <f aca="false">IF(B1422&lt;Test1_Hand!$B$13,1,0)</f>
        <v>0</v>
      </c>
      <c r="I1422" s="23" t="n">
        <f aca="false">Test1_Hand!$B$4+H1422*D1422</f>
        <v>16</v>
      </c>
      <c r="J1422" s="24" t="n">
        <f aca="false">Test1_Hand!$B$6*H1422*D1422+Test1_Hand!$B$7*MAX(0,I1422-Test1_Hand!$B$5)+Test1_Hand!$B$14</f>
        <v>6000</v>
      </c>
    </row>
    <row r="1423" customFormat="false" ht="15" hidden="false" customHeight="false" outlineLevel="0" collapsed="false">
      <c r="A1423" s="2" t="n">
        <v>1411</v>
      </c>
      <c r="B1423" s="22" t="n">
        <v>0.988514309688906</v>
      </c>
      <c r="C1423" s="22" t="n">
        <v>0.614658064079777</v>
      </c>
      <c r="D1423" s="23" t="n">
        <f aca="false">BETAINV(C1423,Test1_Hand!$B$21,Test1_Hand!$B$22,Test1_Hand!$B$9,Test1_Hand!$B$11)</f>
        <v>3.80307429224568</v>
      </c>
      <c r="E1423" s="2" t="n">
        <f aca="false">IF(B1423&lt;Test1_Hand!$B$12,1,0)</f>
        <v>0</v>
      </c>
      <c r="F1423" s="23" t="n">
        <f aca="false">Test1_Hand!$B$4+E1423*D1423</f>
        <v>16</v>
      </c>
      <c r="G1423" s="24" t="n">
        <f aca="false">Test1_Hand!$B$6*E1423*D1423+Test1_Hand!$B$7*MAX(0,F1423-Test1_Hand!$B$5)</f>
        <v>0</v>
      </c>
      <c r="H1423" s="2" t="n">
        <f aca="false">IF(B1423&lt;Test1_Hand!$B$13,1,0)</f>
        <v>0</v>
      </c>
      <c r="I1423" s="23" t="n">
        <f aca="false">Test1_Hand!$B$4+H1423*D1423</f>
        <v>16</v>
      </c>
      <c r="J1423" s="24" t="n">
        <f aca="false">Test1_Hand!$B$6*H1423*D1423+Test1_Hand!$B$7*MAX(0,I1423-Test1_Hand!$B$5)+Test1_Hand!$B$14</f>
        <v>6000</v>
      </c>
    </row>
    <row r="1424" customFormat="false" ht="15" hidden="false" customHeight="false" outlineLevel="0" collapsed="false">
      <c r="A1424" s="2" t="n">
        <v>1412</v>
      </c>
      <c r="B1424" s="22" t="n">
        <v>0.621998334883133</v>
      </c>
      <c r="C1424" s="22" t="n">
        <v>0.453704957504116</v>
      </c>
      <c r="D1424" s="23" t="n">
        <f aca="false">BETAINV(C1424,Test1_Hand!$B$21,Test1_Hand!$B$22,Test1_Hand!$B$9,Test1_Hand!$B$11)</f>
        <v>3.22081733244575</v>
      </c>
      <c r="E1424" s="2" t="n">
        <f aca="false">IF(B1424&lt;Test1_Hand!$B$12,1,0)</f>
        <v>0</v>
      </c>
      <c r="F1424" s="23" t="n">
        <f aca="false">Test1_Hand!$B$4+E1424*D1424</f>
        <v>16</v>
      </c>
      <c r="G1424" s="24" t="n">
        <f aca="false">Test1_Hand!$B$6*E1424*D1424+Test1_Hand!$B$7*MAX(0,F1424-Test1_Hand!$B$5)</f>
        <v>0</v>
      </c>
      <c r="H1424" s="2" t="n">
        <f aca="false">IF(B1424&lt;Test1_Hand!$B$13,1,0)</f>
        <v>0</v>
      </c>
      <c r="I1424" s="23" t="n">
        <f aca="false">Test1_Hand!$B$4+H1424*D1424</f>
        <v>16</v>
      </c>
      <c r="J1424" s="24" t="n">
        <f aca="false">Test1_Hand!$B$6*H1424*D1424+Test1_Hand!$B$7*MAX(0,I1424-Test1_Hand!$B$5)+Test1_Hand!$B$14</f>
        <v>6000</v>
      </c>
    </row>
    <row r="1425" customFormat="false" ht="15" hidden="false" customHeight="false" outlineLevel="0" collapsed="false">
      <c r="A1425" s="2" t="n">
        <v>1413</v>
      </c>
      <c r="B1425" s="22" t="n">
        <v>0.379920777655137</v>
      </c>
      <c r="C1425" s="22" t="n">
        <v>0.435843782169525</v>
      </c>
      <c r="D1425" s="23" t="n">
        <f aca="false">BETAINV(C1425,Test1_Hand!$B$21,Test1_Hand!$B$22,Test1_Hand!$B$9,Test1_Hand!$B$11)</f>
        <v>3.15906154507157</v>
      </c>
      <c r="E1425" s="2" t="n">
        <f aca="false">IF(B1425&lt;Test1_Hand!$B$12,1,0)</f>
        <v>1</v>
      </c>
      <c r="F1425" s="23" t="n">
        <f aca="false">Test1_Hand!$B$4+E1425*D1425</f>
        <v>19.1590615450716</v>
      </c>
      <c r="G1425" s="24" t="n">
        <f aca="false">Test1_Hand!$B$6*E1425*D1425+Test1_Hand!$B$7*MAX(0,F1425-Test1_Hand!$B$5)</f>
        <v>25272.4923605726</v>
      </c>
      <c r="H1425" s="2" t="n">
        <f aca="false">IF(B1425&lt;Test1_Hand!$B$13,1,0)</f>
        <v>0</v>
      </c>
      <c r="I1425" s="23" t="n">
        <f aca="false">Test1_Hand!$B$4+H1425*D1425</f>
        <v>16</v>
      </c>
      <c r="J1425" s="24" t="n">
        <f aca="false">Test1_Hand!$B$6*H1425*D1425+Test1_Hand!$B$7*MAX(0,I1425-Test1_Hand!$B$5)+Test1_Hand!$B$14</f>
        <v>6000</v>
      </c>
    </row>
    <row r="1426" customFormat="false" ht="15" hidden="false" customHeight="false" outlineLevel="0" collapsed="false">
      <c r="A1426" s="2" t="n">
        <v>1414</v>
      </c>
      <c r="B1426" s="22" t="n">
        <v>0.274672937467297</v>
      </c>
      <c r="C1426" s="22" t="n">
        <v>0.892284997479437</v>
      </c>
      <c r="D1426" s="23" t="n">
        <f aca="false">BETAINV(C1426,Test1_Hand!$B$21,Test1_Hand!$B$22,Test1_Hand!$B$9,Test1_Hand!$B$11)</f>
        <v>5.21131600983333</v>
      </c>
      <c r="E1426" s="2" t="n">
        <f aca="false">IF(B1426&lt;Test1_Hand!$B$12,1,0)</f>
        <v>1</v>
      </c>
      <c r="F1426" s="23" t="n">
        <f aca="false">Test1_Hand!$B$4+E1426*D1426</f>
        <v>21.2113160098333</v>
      </c>
      <c r="G1426" s="24" t="n">
        <f aca="false">Test1_Hand!$B$6*E1426*D1426+Test1_Hand!$B$7*MAX(0,F1426-Test1_Hand!$B$5)</f>
        <v>47747.1081278333</v>
      </c>
      <c r="H1426" s="2" t="n">
        <f aca="false">IF(B1426&lt;Test1_Hand!$B$13,1,0)</f>
        <v>0</v>
      </c>
      <c r="I1426" s="23" t="n">
        <f aca="false">Test1_Hand!$B$4+H1426*D1426</f>
        <v>16</v>
      </c>
      <c r="J1426" s="24" t="n">
        <f aca="false">Test1_Hand!$B$6*H1426*D1426+Test1_Hand!$B$7*MAX(0,I1426-Test1_Hand!$B$5)+Test1_Hand!$B$14</f>
        <v>6000</v>
      </c>
    </row>
    <row r="1427" customFormat="false" ht="15" hidden="false" customHeight="false" outlineLevel="0" collapsed="false">
      <c r="A1427" s="2" t="n">
        <v>1415</v>
      </c>
      <c r="B1427" s="22" t="n">
        <v>0.0965830849980239</v>
      </c>
      <c r="C1427" s="22" t="n">
        <v>0.950209414132033</v>
      </c>
      <c r="D1427" s="23" t="n">
        <f aca="false">BETAINV(C1427,Test1_Hand!$B$21,Test1_Hand!$B$22,Test1_Hand!$B$9,Test1_Hand!$B$11)</f>
        <v>5.77661052212149</v>
      </c>
      <c r="E1427" s="2" t="n">
        <f aca="false">IF(B1427&lt;Test1_Hand!$B$12,1,0)</f>
        <v>1</v>
      </c>
      <c r="F1427" s="23" t="n">
        <f aca="false">Test1_Hand!$B$4+E1427*D1427</f>
        <v>21.7766105221215</v>
      </c>
      <c r="G1427" s="24" t="n">
        <f aca="false">Test1_Hand!$B$6*E1427*D1427+Test1_Hand!$B$7*MAX(0,F1427-Test1_Hand!$B$5)</f>
        <v>55095.9367875793</v>
      </c>
      <c r="H1427" s="2" t="n">
        <f aca="false">IF(B1427&lt;Test1_Hand!$B$13,1,0)</f>
        <v>1</v>
      </c>
      <c r="I1427" s="23" t="n">
        <f aca="false">Test1_Hand!$B$4+H1427*D1427</f>
        <v>21.7766105221215</v>
      </c>
      <c r="J1427" s="24" t="n">
        <f aca="false">Test1_Hand!$B$6*H1427*D1427+Test1_Hand!$B$7*MAX(0,I1427-Test1_Hand!$B$5)+Test1_Hand!$B$14</f>
        <v>61095.9367875793</v>
      </c>
    </row>
    <row r="1428" customFormat="false" ht="15" hidden="false" customHeight="false" outlineLevel="0" collapsed="false">
      <c r="A1428" s="2" t="n">
        <v>1416</v>
      </c>
      <c r="B1428" s="22" t="n">
        <v>0.697554988270549</v>
      </c>
      <c r="C1428" s="22" t="n">
        <v>0.192523795343862</v>
      </c>
      <c r="D1428" s="23" t="n">
        <f aca="false">BETAINV(C1428,Test1_Hand!$B$21,Test1_Hand!$B$22,Test1_Hand!$B$9,Test1_Hand!$B$11)</f>
        <v>2.29795869851833</v>
      </c>
      <c r="E1428" s="2" t="n">
        <f aca="false">IF(B1428&lt;Test1_Hand!$B$12,1,0)</f>
        <v>0</v>
      </c>
      <c r="F1428" s="23" t="n">
        <f aca="false">Test1_Hand!$B$4+E1428*D1428</f>
        <v>16</v>
      </c>
      <c r="G1428" s="24" t="n">
        <f aca="false">Test1_Hand!$B$6*E1428*D1428+Test1_Hand!$B$7*MAX(0,F1428-Test1_Hand!$B$5)</f>
        <v>0</v>
      </c>
      <c r="H1428" s="2" t="n">
        <f aca="false">IF(B1428&lt;Test1_Hand!$B$13,1,0)</f>
        <v>0</v>
      </c>
      <c r="I1428" s="23" t="n">
        <f aca="false">Test1_Hand!$B$4+H1428*D1428</f>
        <v>16</v>
      </c>
      <c r="J1428" s="24" t="n">
        <f aca="false">Test1_Hand!$B$6*H1428*D1428+Test1_Hand!$B$7*MAX(0,I1428-Test1_Hand!$B$5)+Test1_Hand!$B$14</f>
        <v>6000</v>
      </c>
    </row>
    <row r="1429" customFormat="false" ht="15" hidden="false" customHeight="false" outlineLevel="0" collapsed="false">
      <c r="A1429" s="2" t="n">
        <v>1417</v>
      </c>
      <c r="B1429" s="22" t="n">
        <v>0.122025012658038</v>
      </c>
      <c r="C1429" s="22" t="n">
        <v>0.325048425374416</v>
      </c>
      <c r="D1429" s="23" t="n">
        <f aca="false">BETAINV(C1429,Test1_Hand!$B$21,Test1_Hand!$B$22,Test1_Hand!$B$9,Test1_Hand!$B$11)</f>
        <v>2.77764290859292</v>
      </c>
      <c r="E1429" s="2" t="n">
        <f aca="false">IF(B1429&lt;Test1_Hand!$B$12,1,0)</f>
        <v>1</v>
      </c>
      <c r="F1429" s="23" t="n">
        <f aca="false">Test1_Hand!$B$4+E1429*D1429</f>
        <v>18.7776429085929</v>
      </c>
      <c r="G1429" s="24" t="n">
        <f aca="false">Test1_Hand!$B$6*E1429*D1429+Test1_Hand!$B$7*MAX(0,F1429-Test1_Hand!$B$5)</f>
        <v>22221.1432687433</v>
      </c>
      <c r="H1429" s="2" t="n">
        <f aca="false">IF(B1429&lt;Test1_Hand!$B$13,1,0)</f>
        <v>1</v>
      </c>
      <c r="I1429" s="23" t="n">
        <f aca="false">Test1_Hand!$B$4+H1429*D1429</f>
        <v>18.7776429085929</v>
      </c>
      <c r="J1429" s="24" t="n">
        <f aca="false">Test1_Hand!$B$6*H1429*D1429+Test1_Hand!$B$7*MAX(0,I1429-Test1_Hand!$B$5)+Test1_Hand!$B$14</f>
        <v>28221.1432687433</v>
      </c>
    </row>
    <row r="1430" customFormat="false" ht="15" hidden="false" customHeight="false" outlineLevel="0" collapsed="false">
      <c r="A1430" s="2" t="n">
        <v>1418</v>
      </c>
      <c r="B1430" s="22" t="n">
        <v>0.404103504750314</v>
      </c>
      <c r="C1430" s="22" t="n">
        <v>0.939998770839516</v>
      </c>
      <c r="D1430" s="23" t="n">
        <f aca="false">BETAINV(C1430,Test1_Hand!$B$21,Test1_Hand!$B$22,Test1_Hand!$B$9,Test1_Hand!$B$11)</f>
        <v>5.65339458512799</v>
      </c>
      <c r="E1430" s="2" t="n">
        <f aca="false">IF(B1430&lt;Test1_Hand!$B$12,1,0)</f>
        <v>1</v>
      </c>
      <c r="F1430" s="23" t="n">
        <f aca="false">Test1_Hand!$B$4+E1430*D1430</f>
        <v>21.653394585128</v>
      </c>
      <c r="G1430" s="24" t="n">
        <f aca="false">Test1_Hand!$B$6*E1430*D1430+Test1_Hand!$B$7*MAX(0,F1430-Test1_Hand!$B$5)</f>
        <v>53494.1296066639</v>
      </c>
      <c r="H1430" s="2" t="n">
        <f aca="false">IF(B1430&lt;Test1_Hand!$B$13,1,0)</f>
        <v>0</v>
      </c>
      <c r="I1430" s="23" t="n">
        <f aca="false">Test1_Hand!$B$4+H1430*D1430</f>
        <v>16</v>
      </c>
      <c r="J1430" s="24" t="n">
        <f aca="false">Test1_Hand!$B$6*H1430*D1430+Test1_Hand!$B$7*MAX(0,I1430-Test1_Hand!$B$5)+Test1_Hand!$B$14</f>
        <v>6000</v>
      </c>
    </row>
    <row r="1431" customFormat="false" ht="15" hidden="false" customHeight="false" outlineLevel="0" collapsed="false">
      <c r="A1431" s="2" t="n">
        <v>1419</v>
      </c>
      <c r="B1431" s="22" t="n">
        <v>0.539340460621742</v>
      </c>
      <c r="C1431" s="22" t="n">
        <v>0.523791265500939</v>
      </c>
      <c r="D1431" s="23" t="n">
        <f aca="false">BETAINV(C1431,Test1_Hand!$B$21,Test1_Hand!$B$22,Test1_Hand!$B$9,Test1_Hand!$B$11)</f>
        <v>3.46706850370743</v>
      </c>
      <c r="E1431" s="2" t="n">
        <f aca="false">IF(B1431&lt;Test1_Hand!$B$12,1,0)</f>
        <v>0</v>
      </c>
      <c r="F1431" s="23" t="n">
        <f aca="false">Test1_Hand!$B$4+E1431*D1431</f>
        <v>16</v>
      </c>
      <c r="G1431" s="24" t="n">
        <f aca="false">Test1_Hand!$B$6*E1431*D1431+Test1_Hand!$B$7*MAX(0,F1431-Test1_Hand!$B$5)</f>
        <v>0</v>
      </c>
      <c r="H1431" s="2" t="n">
        <f aca="false">IF(B1431&lt;Test1_Hand!$B$13,1,0)</f>
        <v>0</v>
      </c>
      <c r="I1431" s="23" t="n">
        <f aca="false">Test1_Hand!$B$4+H1431*D1431</f>
        <v>16</v>
      </c>
      <c r="J1431" s="24" t="n">
        <f aca="false">Test1_Hand!$B$6*H1431*D1431+Test1_Hand!$B$7*MAX(0,I1431-Test1_Hand!$B$5)+Test1_Hand!$B$14</f>
        <v>6000</v>
      </c>
    </row>
    <row r="1432" customFormat="false" ht="15" hidden="false" customHeight="false" outlineLevel="0" collapsed="false">
      <c r="A1432" s="2" t="n">
        <v>1420</v>
      </c>
      <c r="B1432" s="22" t="n">
        <v>0.956184846961439</v>
      </c>
      <c r="C1432" s="22" t="n">
        <v>0.684139041794181</v>
      </c>
      <c r="D1432" s="23" t="n">
        <f aca="false">BETAINV(C1432,Test1_Hand!$B$21,Test1_Hand!$B$22,Test1_Hand!$B$9,Test1_Hand!$B$11)</f>
        <v>4.08194939538191</v>
      </c>
      <c r="E1432" s="2" t="n">
        <f aca="false">IF(B1432&lt;Test1_Hand!$B$12,1,0)</f>
        <v>0</v>
      </c>
      <c r="F1432" s="23" t="n">
        <f aca="false">Test1_Hand!$B$4+E1432*D1432</f>
        <v>16</v>
      </c>
      <c r="G1432" s="24" t="n">
        <f aca="false">Test1_Hand!$B$6*E1432*D1432+Test1_Hand!$B$7*MAX(0,F1432-Test1_Hand!$B$5)</f>
        <v>0</v>
      </c>
      <c r="H1432" s="2" t="n">
        <f aca="false">IF(B1432&lt;Test1_Hand!$B$13,1,0)</f>
        <v>0</v>
      </c>
      <c r="I1432" s="23" t="n">
        <f aca="false">Test1_Hand!$B$4+H1432*D1432</f>
        <v>16</v>
      </c>
      <c r="J1432" s="24" t="n">
        <f aca="false">Test1_Hand!$B$6*H1432*D1432+Test1_Hand!$B$7*MAX(0,I1432-Test1_Hand!$B$5)+Test1_Hand!$B$14</f>
        <v>6000</v>
      </c>
    </row>
    <row r="1433" customFormat="false" ht="15" hidden="false" customHeight="false" outlineLevel="0" collapsed="false">
      <c r="A1433" s="2" t="n">
        <v>1421</v>
      </c>
      <c r="B1433" s="22" t="n">
        <v>0.764215688080072</v>
      </c>
      <c r="C1433" s="22" t="n">
        <v>0.249074837394497</v>
      </c>
      <c r="D1433" s="23" t="n">
        <f aca="false">BETAINV(C1433,Test1_Hand!$B$21,Test1_Hand!$B$22,Test1_Hand!$B$9,Test1_Hand!$B$11)</f>
        <v>2.50909701364539</v>
      </c>
      <c r="E1433" s="2" t="n">
        <f aca="false">IF(B1433&lt;Test1_Hand!$B$12,1,0)</f>
        <v>0</v>
      </c>
      <c r="F1433" s="23" t="n">
        <f aca="false">Test1_Hand!$B$4+E1433*D1433</f>
        <v>16</v>
      </c>
      <c r="G1433" s="24" t="n">
        <f aca="false">Test1_Hand!$B$6*E1433*D1433+Test1_Hand!$B$7*MAX(0,F1433-Test1_Hand!$B$5)</f>
        <v>0</v>
      </c>
      <c r="H1433" s="2" t="n">
        <f aca="false">IF(B1433&lt;Test1_Hand!$B$13,1,0)</f>
        <v>0</v>
      </c>
      <c r="I1433" s="23" t="n">
        <f aca="false">Test1_Hand!$B$4+H1433*D1433</f>
        <v>16</v>
      </c>
      <c r="J1433" s="24" t="n">
        <f aca="false">Test1_Hand!$B$6*H1433*D1433+Test1_Hand!$B$7*MAX(0,I1433-Test1_Hand!$B$5)+Test1_Hand!$B$14</f>
        <v>6000</v>
      </c>
    </row>
    <row r="1434" customFormat="false" ht="15" hidden="false" customHeight="false" outlineLevel="0" collapsed="false">
      <c r="A1434" s="2" t="n">
        <v>1422</v>
      </c>
      <c r="B1434" s="22" t="n">
        <v>0.553366959688931</v>
      </c>
      <c r="C1434" s="22" t="n">
        <v>0.140896305969519</v>
      </c>
      <c r="D1434" s="23" t="n">
        <f aca="false">BETAINV(C1434,Test1_Hand!$B$21,Test1_Hand!$B$22,Test1_Hand!$B$9,Test1_Hand!$B$11)</f>
        <v>2.08912434189475</v>
      </c>
      <c r="E1434" s="2" t="n">
        <f aca="false">IF(B1434&lt;Test1_Hand!$B$12,1,0)</f>
        <v>0</v>
      </c>
      <c r="F1434" s="23" t="n">
        <f aca="false">Test1_Hand!$B$4+E1434*D1434</f>
        <v>16</v>
      </c>
      <c r="G1434" s="24" t="n">
        <f aca="false">Test1_Hand!$B$6*E1434*D1434+Test1_Hand!$B$7*MAX(0,F1434-Test1_Hand!$B$5)</f>
        <v>0</v>
      </c>
      <c r="H1434" s="2" t="n">
        <f aca="false">IF(B1434&lt;Test1_Hand!$B$13,1,0)</f>
        <v>0</v>
      </c>
      <c r="I1434" s="23" t="n">
        <f aca="false">Test1_Hand!$B$4+H1434*D1434</f>
        <v>16</v>
      </c>
      <c r="J1434" s="24" t="n">
        <f aca="false">Test1_Hand!$B$6*H1434*D1434+Test1_Hand!$B$7*MAX(0,I1434-Test1_Hand!$B$5)+Test1_Hand!$B$14</f>
        <v>6000</v>
      </c>
    </row>
    <row r="1435" customFormat="false" ht="15" hidden="false" customHeight="false" outlineLevel="0" collapsed="false">
      <c r="A1435" s="2" t="n">
        <v>1423</v>
      </c>
      <c r="B1435" s="22" t="n">
        <v>0.203287386334938</v>
      </c>
      <c r="C1435" s="22" t="n">
        <v>0.637410864837551</v>
      </c>
      <c r="D1435" s="23" t="n">
        <f aca="false">BETAINV(C1435,Test1_Hand!$B$21,Test1_Hand!$B$22,Test1_Hand!$B$9,Test1_Hand!$B$11)</f>
        <v>3.891765502936</v>
      </c>
      <c r="E1435" s="2" t="n">
        <f aca="false">IF(B1435&lt;Test1_Hand!$B$12,1,0)</f>
        <v>1</v>
      </c>
      <c r="F1435" s="23" t="n">
        <f aca="false">Test1_Hand!$B$4+E1435*D1435</f>
        <v>19.891765502936</v>
      </c>
      <c r="G1435" s="24" t="n">
        <f aca="false">Test1_Hand!$B$6*E1435*D1435+Test1_Hand!$B$7*MAX(0,F1435-Test1_Hand!$B$5)</f>
        <v>31134.124023488</v>
      </c>
      <c r="H1435" s="2" t="n">
        <f aca="false">IF(B1435&lt;Test1_Hand!$B$13,1,0)</f>
        <v>0</v>
      </c>
      <c r="I1435" s="23" t="n">
        <f aca="false">Test1_Hand!$B$4+H1435*D1435</f>
        <v>16</v>
      </c>
      <c r="J1435" s="24" t="n">
        <f aca="false">Test1_Hand!$B$6*H1435*D1435+Test1_Hand!$B$7*MAX(0,I1435-Test1_Hand!$B$5)+Test1_Hand!$B$14</f>
        <v>6000</v>
      </c>
    </row>
    <row r="1436" customFormat="false" ht="15" hidden="false" customHeight="false" outlineLevel="0" collapsed="false">
      <c r="A1436" s="2" t="n">
        <v>1424</v>
      </c>
      <c r="B1436" s="22" t="n">
        <v>0.187142532838726</v>
      </c>
      <c r="C1436" s="22" t="n">
        <v>0.537032284914313</v>
      </c>
      <c r="D1436" s="23" t="n">
        <f aca="false">BETAINV(C1436,Test1_Hand!$B$21,Test1_Hand!$B$22,Test1_Hand!$B$9,Test1_Hand!$B$11)</f>
        <v>3.51459450464414</v>
      </c>
      <c r="E1436" s="2" t="n">
        <f aca="false">IF(B1436&lt;Test1_Hand!$B$12,1,0)</f>
        <v>1</v>
      </c>
      <c r="F1436" s="23" t="n">
        <f aca="false">Test1_Hand!$B$4+E1436*D1436</f>
        <v>19.5145945046441</v>
      </c>
      <c r="G1436" s="24" t="n">
        <f aca="false">Test1_Hand!$B$6*E1436*D1436+Test1_Hand!$B$7*MAX(0,F1436-Test1_Hand!$B$5)</f>
        <v>28116.7560371531</v>
      </c>
      <c r="H1436" s="2" t="n">
        <f aca="false">IF(B1436&lt;Test1_Hand!$B$13,1,0)</f>
        <v>1</v>
      </c>
      <c r="I1436" s="23" t="n">
        <f aca="false">Test1_Hand!$B$4+H1436*D1436</f>
        <v>19.5145945046441</v>
      </c>
      <c r="J1436" s="24" t="n">
        <f aca="false">Test1_Hand!$B$6*H1436*D1436+Test1_Hand!$B$7*MAX(0,I1436-Test1_Hand!$B$5)+Test1_Hand!$B$14</f>
        <v>34116.7560371531</v>
      </c>
    </row>
    <row r="1437" customFormat="false" ht="15" hidden="false" customHeight="false" outlineLevel="0" collapsed="false">
      <c r="A1437" s="2" t="n">
        <v>1425</v>
      </c>
      <c r="B1437" s="22" t="n">
        <v>0.374369154423537</v>
      </c>
      <c r="C1437" s="22" t="n">
        <v>0.199416185888398</v>
      </c>
      <c r="D1437" s="23" t="n">
        <f aca="false">BETAINV(C1437,Test1_Hand!$B$21,Test1_Hand!$B$22,Test1_Hand!$B$9,Test1_Hand!$B$11)</f>
        <v>2.32447446645505</v>
      </c>
      <c r="E1437" s="2" t="n">
        <f aca="false">IF(B1437&lt;Test1_Hand!$B$12,1,0)</f>
        <v>1</v>
      </c>
      <c r="F1437" s="23" t="n">
        <f aca="false">Test1_Hand!$B$4+E1437*D1437</f>
        <v>18.324474466455</v>
      </c>
      <c r="G1437" s="24" t="n">
        <f aca="false">Test1_Hand!$B$6*E1437*D1437+Test1_Hand!$B$7*MAX(0,F1437-Test1_Hand!$B$5)</f>
        <v>18595.7957316404</v>
      </c>
      <c r="H1437" s="2" t="n">
        <f aca="false">IF(B1437&lt;Test1_Hand!$B$13,1,0)</f>
        <v>0</v>
      </c>
      <c r="I1437" s="23" t="n">
        <f aca="false">Test1_Hand!$B$4+H1437*D1437</f>
        <v>16</v>
      </c>
      <c r="J1437" s="24" t="n">
        <f aca="false">Test1_Hand!$B$6*H1437*D1437+Test1_Hand!$B$7*MAX(0,I1437-Test1_Hand!$B$5)+Test1_Hand!$B$14</f>
        <v>6000</v>
      </c>
    </row>
    <row r="1438" customFormat="false" ht="15" hidden="false" customHeight="false" outlineLevel="0" collapsed="false">
      <c r="A1438" s="2" t="n">
        <v>1426</v>
      </c>
      <c r="B1438" s="22" t="n">
        <v>0.00757732473029515</v>
      </c>
      <c r="C1438" s="22" t="n">
        <v>0.313368424376974</v>
      </c>
      <c r="D1438" s="23" t="n">
        <f aca="false">BETAINV(C1438,Test1_Hand!$B$21,Test1_Hand!$B$22,Test1_Hand!$B$9,Test1_Hand!$B$11)</f>
        <v>2.7370388624167</v>
      </c>
      <c r="E1438" s="2" t="n">
        <f aca="false">IF(B1438&lt;Test1_Hand!$B$12,1,0)</f>
        <v>1</v>
      </c>
      <c r="F1438" s="23" t="n">
        <f aca="false">Test1_Hand!$B$4+E1438*D1438</f>
        <v>18.7370388624167</v>
      </c>
      <c r="G1438" s="24" t="n">
        <f aca="false">Test1_Hand!$B$6*E1438*D1438+Test1_Hand!$B$7*MAX(0,F1438-Test1_Hand!$B$5)</f>
        <v>21896.3108993336</v>
      </c>
      <c r="H1438" s="2" t="n">
        <f aca="false">IF(B1438&lt;Test1_Hand!$B$13,1,0)</f>
        <v>1</v>
      </c>
      <c r="I1438" s="23" t="n">
        <f aca="false">Test1_Hand!$B$4+H1438*D1438</f>
        <v>18.7370388624167</v>
      </c>
      <c r="J1438" s="24" t="n">
        <f aca="false">Test1_Hand!$B$6*H1438*D1438+Test1_Hand!$B$7*MAX(0,I1438-Test1_Hand!$B$5)+Test1_Hand!$B$14</f>
        <v>27896.3108993336</v>
      </c>
    </row>
    <row r="1439" customFormat="false" ht="15" hidden="false" customHeight="false" outlineLevel="0" collapsed="false">
      <c r="A1439" s="2" t="n">
        <v>1427</v>
      </c>
      <c r="B1439" s="22" t="n">
        <v>0.437201430791361</v>
      </c>
      <c r="C1439" s="22" t="n">
        <v>0.383136930390221</v>
      </c>
      <c r="D1439" s="23" t="n">
        <f aca="false">BETAINV(C1439,Test1_Hand!$B$21,Test1_Hand!$B$22,Test1_Hand!$B$9,Test1_Hand!$B$11)</f>
        <v>2.97783774150165</v>
      </c>
      <c r="E1439" s="2" t="n">
        <f aca="false">IF(B1439&lt;Test1_Hand!$B$12,1,0)</f>
        <v>1</v>
      </c>
      <c r="F1439" s="23" t="n">
        <f aca="false">Test1_Hand!$B$4+E1439*D1439</f>
        <v>18.9778377415017</v>
      </c>
      <c r="G1439" s="24" t="n">
        <f aca="false">Test1_Hand!$B$6*E1439*D1439+Test1_Hand!$B$7*MAX(0,F1439-Test1_Hand!$B$5)</f>
        <v>23822.7019320132</v>
      </c>
      <c r="H1439" s="2" t="n">
        <f aca="false">IF(B1439&lt;Test1_Hand!$B$13,1,0)</f>
        <v>0</v>
      </c>
      <c r="I1439" s="23" t="n">
        <f aca="false">Test1_Hand!$B$4+H1439*D1439</f>
        <v>16</v>
      </c>
      <c r="J1439" s="24" t="n">
        <f aca="false">Test1_Hand!$B$6*H1439*D1439+Test1_Hand!$B$7*MAX(0,I1439-Test1_Hand!$B$5)+Test1_Hand!$B$14</f>
        <v>6000</v>
      </c>
    </row>
    <row r="1440" customFormat="false" ht="15" hidden="false" customHeight="false" outlineLevel="0" collapsed="false">
      <c r="A1440" s="2" t="n">
        <v>1428</v>
      </c>
      <c r="B1440" s="22" t="n">
        <v>0.601558394679674</v>
      </c>
      <c r="C1440" s="22" t="n">
        <v>0.984153815915757</v>
      </c>
      <c r="D1440" s="23" t="n">
        <f aca="false">BETAINV(C1440,Test1_Hand!$B$21,Test1_Hand!$B$22,Test1_Hand!$B$9,Test1_Hand!$B$11)</f>
        <v>6.39057321809949</v>
      </c>
      <c r="E1440" s="2" t="n">
        <f aca="false">IF(B1440&lt;Test1_Hand!$B$12,1,0)</f>
        <v>0</v>
      </c>
      <c r="F1440" s="23" t="n">
        <f aca="false">Test1_Hand!$B$4+E1440*D1440</f>
        <v>16</v>
      </c>
      <c r="G1440" s="24" t="n">
        <f aca="false">Test1_Hand!$B$6*E1440*D1440+Test1_Hand!$B$7*MAX(0,F1440-Test1_Hand!$B$5)</f>
        <v>0</v>
      </c>
      <c r="H1440" s="2" t="n">
        <f aca="false">IF(B1440&lt;Test1_Hand!$B$13,1,0)</f>
        <v>0</v>
      </c>
      <c r="I1440" s="23" t="n">
        <f aca="false">Test1_Hand!$B$4+H1440*D1440</f>
        <v>16</v>
      </c>
      <c r="J1440" s="24" t="n">
        <f aca="false">Test1_Hand!$B$6*H1440*D1440+Test1_Hand!$B$7*MAX(0,I1440-Test1_Hand!$B$5)+Test1_Hand!$B$14</f>
        <v>6000</v>
      </c>
    </row>
    <row r="1441" customFormat="false" ht="15" hidden="false" customHeight="false" outlineLevel="0" collapsed="false">
      <c r="A1441" s="2" t="n">
        <v>1429</v>
      </c>
      <c r="B1441" s="22" t="n">
        <v>0.851077674498808</v>
      </c>
      <c r="C1441" s="22" t="n">
        <v>0.400623004564878</v>
      </c>
      <c r="D1441" s="23" t="n">
        <f aca="false">BETAINV(C1441,Test1_Hand!$B$21,Test1_Hand!$B$22,Test1_Hand!$B$9,Test1_Hand!$B$11)</f>
        <v>3.0378779294997</v>
      </c>
      <c r="E1441" s="2" t="n">
        <f aca="false">IF(B1441&lt;Test1_Hand!$B$12,1,0)</f>
        <v>0</v>
      </c>
      <c r="F1441" s="23" t="n">
        <f aca="false">Test1_Hand!$B$4+E1441*D1441</f>
        <v>16</v>
      </c>
      <c r="G1441" s="24" t="n">
        <f aca="false">Test1_Hand!$B$6*E1441*D1441+Test1_Hand!$B$7*MAX(0,F1441-Test1_Hand!$B$5)</f>
        <v>0</v>
      </c>
      <c r="H1441" s="2" t="n">
        <f aca="false">IF(B1441&lt;Test1_Hand!$B$13,1,0)</f>
        <v>0</v>
      </c>
      <c r="I1441" s="23" t="n">
        <f aca="false">Test1_Hand!$B$4+H1441*D1441</f>
        <v>16</v>
      </c>
      <c r="J1441" s="24" t="n">
        <f aca="false">Test1_Hand!$B$6*H1441*D1441+Test1_Hand!$B$7*MAX(0,I1441-Test1_Hand!$B$5)+Test1_Hand!$B$14</f>
        <v>6000</v>
      </c>
    </row>
    <row r="1442" customFormat="false" ht="15" hidden="false" customHeight="false" outlineLevel="0" collapsed="false">
      <c r="A1442" s="2" t="n">
        <v>1430</v>
      </c>
      <c r="B1442" s="22" t="n">
        <v>0.723462418514933</v>
      </c>
      <c r="C1442" s="22" t="n">
        <v>0.210163803191984</v>
      </c>
      <c r="D1442" s="23" t="n">
        <f aca="false">BETAINV(C1442,Test1_Hand!$B$21,Test1_Hand!$B$22,Test1_Hand!$B$9,Test1_Hand!$B$11)</f>
        <v>2.36532862982651</v>
      </c>
      <c r="E1442" s="2" t="n">
        <f aca="false">IF(B1442&lt;Test1_Hand!$B$12,1,0)</f>
        <v>0</v>
      </c>
      <c r="F1442" s="23" t="n">
        <f aca="false">Test1_Hand!$B$4+E1442*D1442</f>
        <v>16</v>
      </c>
      <c r="G1442" s="24" t="n">
        <f aca="false">Test1_Hand!$B$6*E1442*D1442+Test1_Hand!$B$7*MAX(0,F1442-Test1_Hand!$B$5)</f>
        <v>0</v>
      </c>
      <c r="H1442" s="2" t="n">
        <f aca="false">IF(B1442&lt;Test1_Hand!$B$13,1,0)</f>
        <v>0</v>
      </c>
      <c r="I1442" s="23" t="n">
        <f aca="false">Test1_Hand!$B$4+H1442*D1442</f>
        <v>16</v>
      </c>
      <c r="J1442" s="24" t="n">
        <f aca="false">Test1_Hand!$B$6*H1442*D1442+Test1_Hand!$B$7*MAX(0,I1442-Test1_Hand!$B$5)+Test1_Hand!$B$14</f>
        <v>6000</v>
      </c>
    </row>
    <row r="1443" customFormat="false" ht="15" hidden="false" customHeight="false" outlineLevel="0" collapsed="false">
      <c r="A1443" s="2" t="n">
        <v>1431</v>
      </c>
      <c r="B1443" s="22" t="n">
        <v>0.879464054509587</v>
      </c>
      <c r="C1443" s="22" t="n">
        <v>0.170751133159702</v>
      </c>
      <c r="D1443" s="23" t="n">
        <f aca="false">BETAINV(C1443,Test1_Hand!$B$21,Test1_Hand!$B$22,Test1_Hand!$B$9,Test1_Hand!$B$11)</f>
        <v>2.21232489298006</v>
      </c>
      <c r="E1443" s="2" t="n">
        <f aca="false">IF(B1443&lt;Test1_Hand!$B$12,1,0)</f>
        <v>0</v>
      </c>
      <c r="F1443" s="23" t="n">
        <f aca="false">Test1_Hand!$B$4+E1443*D1443</f>
        <v>16</v>
      </c>
      <c r="G1443" s="24" t="n">
        <f aca="false">Test1_Hand!$B$6*E1443*D1443+Test1_Hand!$B$7*MAX(0,F1443-Test1_Hand!$B$5)</f>
        <v>0</v>
      </c>
      <c r="H1443" s="2" t="n">
        <f aca="false">IF(B1443&lt;Test1_Hand!$B$13,1,0)</f>
        <v>0</v>
      </c>
      <c r="I1443" s="23" t="n">
        <f aca="false">Test1_Hand!$B$4+H1443*D1443</f>
        <v>16</v>
      </c>
      <c r="J1443" s="24" t="n">
        <f aca="false">Test1_Hand!$B$6*H1443*D1443+Test1_Hand!$B$7*MAX(0,I1443-Test1_Hand!$B$5)+Test1_Hand!$B$14</f>
        <v>6000</v>
      </c>
    </row>
    <row r="1444" customFormat="false" ht="15" hidden="false" customHeight="false" outlineLevel="0" collapsed="false">
      <c r="A1444" s="2" t="n">
        <v>1432</v>
      </c>
      <c r="B1444" s="22" t="n">
        <v>0.31524045695583</v>
      </c>
      <c r="C1444" s="22" t="n">
        <v>0.808834226871353</v>
      </c>
      <c r="D1444" s="23" t="n">
        <f aca="false">BETAINV(C1444,Test1_Hand!$B$21,Test1_Hand!$B$22,Test1_Hand!$B$9,Test1_Hand!$B$11)</f>
        <v>4.67376361341231</v>
      </c>
      <c r="E1444" s="2" t="n">
        <f aca="false">IF(B1444&lt;Test1_Hand!$B$12,1,0)</f>
        <v>1</v>
      </c>
      <c r="F1444" s="23" t="n">
        <f aca="false">Test1_Hand!$B$4+E1444*D1444</f>
        <v>20.6737636134123</v>
      </c>
      <c r="G1444" s="24" t="n">
        <f aca="false">Test1_Hand!$B$6*E1444*D1444+Test1_Hand!$B$7*MAX(0,F1444-Test1_Hand!$B$5)</f>
        <v>40758.92697436</v>
      </c>
      <c r="H1444" s="2" t="n">
        <f aca="false">IF(B1444&lt;Test1_Hand!$B$13,1,0)</f>
        <v>0</v>
      </c>
      <c r="I1444" s="23" t="n">
        <f aca="false">Test1_Hand!$B$4+H1444*D1444</f>
        <v>16</v>
      </c>
      <c r="J1444" s="24" t="n">
        <f aca="false">Test1_Hand!$B$6*H1444*D1444+Test1_Hand!$B$7*MAX(0,I1444-Test1_Hand!$B$5)+Test1_Hand!$B$14</f>
        <v>6000</v>
      </c>
    </row>
    <row r="1445" customFormat="false" ht="15" hidden="false" customHeight="false" outlineLevel="0" collapsed="false">
      <c r="A1445" s="2" t="n">
        <v>1433</v>
      </c>
      <c r="B1445" s="22" t="n">
        <v>0.974949818408347</v>
      </c>
      <c r="C1445" s="22" t="n">
        <v>0.00154529401371706</v>
      </c>
      <c r="D1445" s="23" t="n">
        <f aca="false">BETAINV(C1445,Test1_Hand!$B$21,Test1_Hand!$B$22,Test1_Hand!$B$9,Test1_Hand!$B$11)</f>
        <v>1.11613474674158</v>
      </c>
      <c r="E1445" s="2" t="n">
        <f aca="false">IF(B1445&lt;Test1_Hand!$B$12,1,0)</f>
        <v>0</v>
      </c>
      <c r="F1445" s="23" t="n">
        <f aca="false">Test1_Hand!$B$4+E1445*D1445</f>
        <v>16</v>
      </c>
      <c r="G1445" s="24" t="n">
        <f aca="false">Test1_Hand!$B$6*E1445*D1445+Test1_Hand!$B$7*MAX(0,F1445-Test1_Hand!$B$5)</f>
        <v>0</v>
      </c>
      <c r="H1445" s="2" t="n">
        <f aca="false">IF(B1445&lt;Test1_Hand!$B$13,1,0)</f>
        <v>0</v>
      </c>
      <c r="I1445" s="23" t="n">
        <f aca="false">Test1_Hand!$B$4+H1445*D1445</f>
        <v>16</v>
      </c>
      <c r="J1445" s="24" t="n">
        <f aca="false">Test1_Hand!$B$6*H1445*D1445+Test1_Hand!$B$7*MAX(0,I1445-Test1_Hand!$B$5)+Test1_Hand!$B$14</f>
        <v>6000</v>
      </c>
    </row>
    <row r="1446" customFormat="false" ht="15" hidden="false" customHeight="false" outlineLevel="0" collapsed="false">
      <c r="A1446" s="2" t="n">
        <v>1434</v>
      </c>
      <c r="B1446" s="22" t="n">
        <v>0.948700109186211</v>
      </c>
      <c r="C1446" s="22" t="n">
        <v>0.072120174680267</v>
      </c>
      <c r="D1446" s="23" t="n">
        <f aca="false">BETAINV(C1446,Test1_Hand!$B$21,Test1_Hand!$B$22,Test1_Hand!$B$9,Test1_Hand!$B$11)</f>
        <v>1.76118022828538</v>
      </c>
      <c r="E1446" s="2" t="n">
        <f aca="false">IF(B1446&lt;Test1_Hand!$B$12,1,0)</f>
        <v>0</v>
      </c>
      <c r="F1446" s="23" t="n">
        <f aca="false">Test1_Hand!$B$4+E1446*D1446</f>
        <v>16</v>
      </c>
      <c r="G1446" s="24" t="n">
        <f aca="false">Test1_Hand!$B$6*E1446*D1446+Test1_Hand!$B$7*MAX(0,F1446-Test1_Hand!$B$5)</f>
        <v>0</v>
      </c>
      <c r="H1446" s="2" t="n">
        <f aca="false">IF(B1446&lt;Test1_Hand!$B$13,1,0)</f>
        <v>0</v>
      </c>
      <c r="I1446" s="23" t="n">
        <f aca="false">Test1_Hand!$B$4+H1446*D1446</f>
        <v>16</v>
      </c>
      <c r="J1446" s="24" t="n">
        <f aca="false">Test1_Hand!$B$6*H1446*D1446+Test1_Hand!$B$7*MAX(0,I1446-Test1_Hand!$B$5)+Test1_Hand!$B$14</f>
        <v>6000</v>
      </c>
    </row>
    <row r="1447" customFormat="false" ht="15" hidden="false" customHeight="false" outlineLevel="0" collapsed="false">
      <c r="A1447" s="2" t="n">
        <v>1435</v>
      </c>
      <c r="B1447" s="22" t="n">
        <v>0.752514137313561</v>
      </c>
      <c r="C1447" s="22" t="n">
        <v>0.367343387658409</v>
      </c>
      <c r="D1447" s="23" t="n">
        <f aca="false">BETAINV(C1447,Test1_Hand!$B$21,Test1_Hand!$B$22,Test1_Hand!$B$9,Test1_Hand!$B$11)</f>
        <v>2.92358358006403</v>
      </c>
      <c r="E1447" s="2" t="n">
        <f aca="false">IF(B1447&lt;Test1_Hand!$B$12,1,0)</f>
        <v>0</v>
      </c>
      <c r="F1447" s="23" t="n">
        <f aca="false">Test1_Hand!$B$4+E1447*D1447</f>
        <v>16</v>
      </c>
      <c r="G1447" s="24" t="n">
        <f aca="false">Test1_Hand!$B$6*E1447*D1447+Test1_Hand!$B$7*MAX(0,F1447-Test1_Hand!$B$5)</f>
        <v>0</v>
      </c>
      <c r="H1447" s="2" t="n">
        <f aca="false">IF(B1447&lt;Test1_Hand!$B$13,1,0)</f>
        <v>0</v>
      </c>
      <c r="I1447" s="23" t="n">
        <f aca="false">Test1_Hand!$B$4+H1447*D1447</f>
        <v>16</v>
      </c>
      <c r="J1447" s="24" t="n">
        <f aca="false">Test1_Hand!$B$6*H1447*D1447+Test1_Hand!$B$7*MAX(0,I1447-Test1_Hand!$B$5)+Test1_Hand!$B$14</f>
        <v>6000</v>
      </c>
    </row>
    <row r="1448" customFormat="false" ht="15" hidden="false" customHeight="false" outlineLevel="0" collapsed="false">
      <c r="A1448" s="2" t="n">
        <v>1436</v>
      </c>
      <c r="B1448" s="22" t="n">
        <v>0.231662069689413</v>
      </c>
      <c r="C1448" s="22" t="n">
        <v>0.567701662411935</v>
      </c>
      <c r="D1448" s="23" t="n">
        <f aca="false">BETAINV(C1448,Test1_Hand!$B$21,Test1_Hand!$B$22,Test1_Hand!$B$9,Test1_Hand!$B$11)</f>
        <v>3.62634665274689</v>
      </c>
      <c r="E1448" s="2" t="n">
        <f aca="false">IF(B1448&lt;Test1_Hand!$B$12,1,0)</f>
        <v>1</v>
      </c>
      <c r="F1448" s="23" t="n">
        <f aca="false">Test1_Hand!$B$4+E1448*D1448</f>
        <v>19.6263466527469</v>
      </c>
      <c r="G1448" s="24" t="n">
        <f aca="false">Test1_Hand!$B$6*E1448*D1448+Test1_Hand!$B$7*MAX(0,F1448-Test1_Hand!$B$5)</f>
        <v>29010.7732219751</v>
      </c>
      <c r="H1448" s="2" t="n">
        <f aca="false">IF(B1448&lt;Test1_Hand!$B$13,1,0)</f>
        <v>0</v>
      </c>
      <c r="I1448" s="23" t="n">
        <f aca="false">Test1_Hand!$B$4+H1448*D1448</f>
        <v>16</v>
      </c>
      <c r="J1448" s="24" t="n">
        <f aca="false">Test1_Hand!$B$6*H1448*D1448+Test1_Hand!$B$7*MAX(0,I1448-Test1_Hand!$B$5)+Test1_Hand!$B$14</f>
        <v>6000</v>
      </c>
    </row>
    <row r="1449" customFormat="false" ht="15" hidden="false" customHeight="false" outlineLevel="0" collapsed="false">
      <c r="A1449" s="2" t="n">
        <v>1437</v>
      </c>
      <c r="B1449" s="22" t="n">
        <v>0.726315747742337</v>
      </c>
      <c r="C1449" s="22" t="n">
        <v>0.357136579240212</v>
      </c>
      <c r="D1449" s="23" t="n">
        <f aca="false">BETAINV(C1449,Test1_Hand!$B$21,Test1_Hand!$B$22,Test1_Hand!$B$9,Test1_Hand!$B$11)</f>
        <v>2.88847608177578</v>
      </c>
      <c r="E1449" s="2" t="n">
        <f aca="false">IF(B1449&lt;Test1_Hand!$B$12,1,0)</f>
        <v>0</v>
      </c>
      <c r="F1449" s="23" t="n">
        <f aca="false">Test1_Hand!$B$4+E1449*D1449</f>
        <v>16</v>
      </c>
      <c r="G1449" s="24" t="n">
        <f aca="false">Test1_Hand!$B$6*E1449*D1449+Test1_Hand!$B$7*MAX(0,F1449-Test1_Hand!$B$5)</f>
        <v>0</v>
      </c>
      <c r="H1449" s="2" t="n">
        <f aca="false">IF(B1449&lt;Test1_Hand!$B$13,1,0)</f>
        <v>0</v>
      </c>
      <c r="I1449" s="23" t="n">
        <f aca="false">Test1_Hand!$B$4+H1449*D1449</f>
        <v>16</v>
      </c>
      <c r="J1449" s="24" t="n">
        <f aca="false">Test1_Hand!$B$6*H1449*D1449+Test1_Hand!$B$7*MAX(0,I1449-Test1_Hand!$B$5)+Test1_Hand!$B$14</f>
        <v>6000</v>
      </c>
    </row>
    <row r="1450" customFormat="false" ht="15" hidden="false" customHeight="false" outlineLevel="0" collapsed="false">
      <c r="A1450" s="2" t="n">
        <v>1438</v>
      </c>
      <c r="B1450" s="22" t="n">
        <v>0.242813250222038</v>
      </c>
      <c r="C1450" s="22" t="n">
        <v>0.135044961975742</v>
      </c>
      <c r="D1450" s="23" t="n">
        <f aca="false">BETAINV(C1450,Test1_Hand!$B$21,Test1_Hand!$B$22,Test1_Hand!$B$9,Test1_Hand!$B$11)</f>
        <v>2.06399946440751</v>
      </c>
      <c r="E1450" s="2" t="n">
        <f aca="false">IF(B1450&lt;Test1_Hand!$B$12,1,0)</f>
        <v>1</v>
      </c>
      <c r="F1450" s="23" t="n">
        <f aca="false">Test1_Hand!$B$4+E1450*D1450</f>
        <v>18.0639994644075</v>
      </c>
      <c r="G1450" s="24" t="n">
        <f aca="false">Test1_Hand!$B$6*E1450*D1450+Test1_Hand!$B$7*MAX(0,F1450-Test1_Hand!$B$5)</f>
        <v>16511.9957152601</v>
      </c>
      <c r="H1450" s="2" t="n">
        <f aca="false">IF(B1450&lt;Test1_Hand!$B$13,1,0)</f>
        <v>0</v>
      </c>
      <c r="I1450" s="23" t="n">
        <f aca="false">Test1_Hand!$B$4+H1450*D1450</f>
        <v>16</v>
      </c>
      <c r="J1450" s="24" t="n">
        <f aca="false">Test1_Hand!$B$6*H1450*D1450+Test1_Hand!$B$7*MAX(0,I1450-Test1_Hand!$B$5)+Test1_Hand!$B$14</f>
        <v>6000</v>
      </c>
    </row>
    <row r="1451" customFormat="false" ht="15" hidden="false" customHeight="false" outlineLevel="0" collapsed="false">
      <c r="A1451" s="2" t="n">
        <v>1439</v>
      </c>
      <c r="B1451" s="22" t="n">
        <v>0.769470563149772</v>
      </c>
      <c r="C1451" s="22" t="n">
        <v>0.810727597092039</v>
      </c>
      <c r="D1451" s="23" t="n">
        <f aca="false">BETAINV(C1451,Test1_Hand!$B$21,Test1_Hand!$B$22,Test1_Hand!$B$9,Test1_Hand!$B$11)</f>
        <v>4.68419043645802</v>
      </c>
      <c r="E1451" s="2" t="n">
        <f aca="false">IF(B1451&lt;Test1_Hand!$B$12,1,0)</f>
        <v>0</v>
      </c>
      <c r="F1451" s="23" t="n">
        <f aca="false">Test1_Hand!$B$4+E1451*D1451</f>
        <v>16</v>
      </c>
      <c r="G1451" s="24" t="n">
        <f aca="false">Test1_Hand!$B$6*E1451*D1451+Test1_Hand!$B$7*MAX(0,F1451-Test1_Hand!$B$5)</f>
        <v>0</v>
      </c>
      <c r="H1451" s="2" t="n">
        <f aca="false">IF(B1451&lt;Test1_Hand!$B$13,1,0)</f>
        <v>0</v>
      </c>
      <c r="I1451" s="23" t="n">
        <f aca="false">Test1_Hand!$B$4+H1451*D1451</f>
        <v>16</v>
      </c>
      <c r="J1451" s="24" t="n">
        <f aca="false">Test1_Hand!$B$6*H1451*D1451+Test1_Hand!$B$7*MAX(0,I1451-Test1_Hand!$B$5)+Test1_Hand!$B$14</f>
        <v>6000</v>
      </c>
    </row>
    <row r="1452" customFormat="false" ht="15" hidden="false" customHeight="false" outlineLevel="0" collapsed="false">
      <c r="A1452" s="2" t="n">
        <v>1440</v>
      </c>
      <c r="B1452" s="22" t="n">
        <v>0.445975851334482</v>
      </c>
      <c r="C1452" s="22" t="n">
        <v>0.503207932170284</v>
      </c>
      <c r="D1452" s="23" t="n">
        <f aca="false">BETAINV(C1452,Test1_Hand!$B$21,Test1_Hand!$B$22,Test1_Hand!$B$9,Test1_Hand!$B$11)</f>
        <v>3.39391744139603</v>
      </c>
      <c r="E1452" s="2" t="n">
        <f aca="false">IF(B1452&lt;Test1_Hand!$B$12,1,0)</f>
        <v>1</v>
      </c>
      <c r="F1452" s="23" t="n">
        <f aca="false">Test1_Hand!$B$4+E1452*D1452</f>
        <v>19.393917441396</v>
      </c>
      <c r="G1452" s="24" t="n">
        <f aca="false">Test1_Hand!$B$6*E1452*D1452+Test1_Hand!$B$7*MAX(0,F1452-Test1_Hand!$B$5)</f>
        <v>27151.3395311683</v>
      </c>
      <c r="H1452" s="2" t="n">
        <f aca="false">IF(B1452&lt;Test1_Hand!$B$13,1,0)</f>
        <v>0</v>
      </c>
      <c r="I1452" s="23" t="n">
        <f aca="false">Test1_Hand!$B$4+H1452*D1452</f>
        <v>16</v>
      </c>
      <c r="J1452" s="24" t="n">
        <f aca="false">Test1_Hand!$B$6*H1452*D1452+Test1_Hand!$B$7*MAX(0,I1452-Test1_Hand!$B$5)+Test1_Hand!$B$14</f>
        <v>6000</v>
      </c>
    </row>
    <row r="1453" customFormat="false" ht="15" hidden="false" customHeight="false" outlineLevel="0" collapsed="false">
      <c r="A1453" s="2" t="n">
        <v>1441</v>
      </c>
      <c r="B1453" s="22" t="n">
        <v>0.59351408399532</v>
      </c>
      <c r="C1453" s="22" t="n">
        <v>0.0827828230219325</v>
      </c>
      <c r="D1453" s="23" t="n">
        <f aca="false">BETAINV(C1453,Test1_Hand!$B$21,Test1_Hand!$B$22,Test1_Hand!$B$9,Test1_Hand!$B$11)</f>
        <v>1.81818195716583</v>
      </c>
      <c r="E1453" s="2" t="n">
        <f aca="false">IF(B1453&lt;Test1_Hand!$B$12,1,0)</f>
        <v>0</v>
      </c>
      <c r="F1453" s="23" t="n">
        <f aca="false">Test1_Hand!$B$4+E1453*D1453</f>
        <v>16</v>
      </c>
      <c r="G1453" s="24" t="n">
        <f aca="false">Test1_Hand!$B$6*E1453*D1453+Test1_Hand!$B$7*MAX(0,F1453-Test1_Hand!$B$5)</f>
        <v>0</v>
      </c>
      <c r="H1453" s="2" t="n">
        <f aca="false">IF(B1453&lt;Test1_Hand!$B$13,1,0)</f>
        <v>0</v>
      </c>
      <c r="I1453" s="23" t="n">
        <f aca="false">Test1_Hand!$B$4+H1453*D1453</f>
        <v>16</v>
      </c>
      <c r="J1453" s="24" t="n">
        <f aca="false">Test1_Hand!$B$6*H1453*D1453+Test1_Hand!$B$7*MAX(0,I1453-Test1_Hand!$B$5)+Test1_Hand!$B$14</f>
        <v>6000</v>
      </c>
    </row>
    <row r="1454" customFormat="false" ht="15" hidden="false" customHeight="false" outlineLevel="0" collapsed="false">
      <c r="A1454" s="2" t="n">
        <v>1442</v>
      </c>
      <c r="B1454" s="22" t="n">
        <v>0.290907619122043</v>
      </c>
      <c r="C1454" s="22" t="n">
        <v>0.602420067303647</v>
      </c>
      <c r="D1454" s="23" t="n">
        <f aca="false">BETAINV(C1454,Test1_Hand!$B$21,Test1_Hand!$B$22,Test1_Hand!$B$9,Test1_Hand!$B$11)</f>
        <v>3.75625722214109</v>
      </c>
      <c r="E1454" s="2" t="n">
        <f aca="false">IF(B1454&lt;Test1_Hand!$B$12,1,0)</f>
        <v>1</v>
      </c>
      <c r="F1454" s="23" t="n">
        <f aca="false">Test1_Hand!$B$4+E1454*D1454</f>
        <v>19.7562572221411</v>
      </c>
      <c r="G1454" s="24" t="n">
        <f aca="false">Test1_Hand!$B$6*E1454*D1454+Test1_Hand!$B$7*MAX(0,F1454-Test1_Hand!$B$5)</f>
        <v>30050.0577771287</v>
      </c>
      <c r="H1454" s="2" t="n">
        <f aca="false">IF(B1454&lt;Test1_Hand!$B$13,1,0)</f>
        <v>0</v>
      </c>
      <c r="I1454" s="23" t="n">
        <f aca="false">Test1_Hand!$B$4+H1454*D1454</f>
        <v>16</v>
      </c>
      <c r="J1454" s="24" t="n">
        <f aca="false">Test1_Hand!$B$6*H1454*D1454+Test1_Hand!$B$7*MAX(0,I1454-Test1_Hand!$B$5)+Test1_Hand!$B$14</f>
        <v>6000</v>
      </c>
    </row>
    <row r="1455" customFormat="false" ht="15" hidden="false" customHeight="false" outlineLevel="0" collapsed="false">
      <c r="A1455" s="2" t="n">
        <v>1443</v>
      </c>
      <c r="B1455" s="22" t="n">
        <v>0.350760165825548</v>
      </c>
      <c r="C1455" s="22" t="n">
        <v>0.116273032494554</v>
      </c>
      <c r="D1455" s="23" t="n">
        <f aca="false">BETAINV(C1455,Test1_Hand!$B$21,Test1_Hand!$B$22,Test1_Hand!$B$9,Test1_Hand!$B$11)</f>
        <v>1.98067179403566</v>
      </c>
      <c r="E1455" s="2" t="n">
        <f aca="false">IF(B1455&lt;Test1_Hand!$B$12,1,0)</f>
        <v>1</v>
      </c>
      <c r="F1455" s="23" t="n">
        <f aca="false">Test1_Hand!$B$4+E1455*D1455</f>
        <v>17.9806717940357</v>
      </c>
      <c r="G1455" s="24" t="n">
        <f aca="false">Test1_Hand!$B$6*E1455*D1455+Test1_Hand!$B$7*MAX(0,F1455-Test1_Hand!$B$5)</f>
        <v>15845.3743522853</v>
      </c>
      <c r="H1455" s="2" t="n">
        <f aca="false">IF(B1455&lt;Test1_Hand!$B$13,1,0)</f>
        <v>0</v>
      </c>
      <c r="I1455" s="23" t="n">
        <f aca="false">Test1_Hand!$B$4+H1455*D1455</f>
        <v>16</v>
      </c>
      <c r="J1455" s="24" t="n">
        <f aca="false">Test1_Hand!$B$6*H1455*D1455+Test1_Hand!$B$7*MAX(0,I1455-Test1_Hand!$B$5)+Test1_Hand!$B$14</f>
        <v>6000</v>
      </c>
    </row>
    <row r="1456" customFormat="false" ht="15" hidden="false" customHeight="false" outlineLevel="0" collapsed="false">
      <c r="A1456" s="2" t="n">
        <v>1444</v>
      </c>
      <c r="B1456" s="22" t="n">
        <v>0.0144269521830305</v>
      </c>
      <c r="C1456" s="22" t="n">
        <v>0.490354107314714</v>
      </c>
      <c r="D1456" s="23" t="n">
        <f aca="false">BETAINV(C1456,Test1_Hand!$B$21,Test1_Hand!$B$22,Test1_Hand!$B$9,Test1_Hand!$B$11)</f>
        <v>3.3486292542327</v>
      </c>
      <c r="E1456" s="2" t="n">
        <f aca="false">IF(B1456&lt;Test1_Hand!$B$12,1,0)</f>
        <v>1</v>
      </c>
      <c r="F1456" s="23" t="n">
        <f aca="false">Test1_Hand!$B$4+E1456*D1456</f>
        <v>19.3486292542327</v>
      </c>
      <c r="G1456" s="24" t="n">
        <f aca="false">Test1_Hand!$B$6*E1456*D1456+Test1_Hand!$B$7*MAX(0,F1456-Test1_Hand!$B$5)</f>
        <v>26789.0340338616</v>
      </c>
      <c r="H1456" s="2" t="n">
        <f aca="false">IF(B1456&lt;Test1_Hand!$B$13,1,0)</f>
        <v>1</v>
      </c>
      <c r="I1456" s="23" t="n">
        <f aca="false">Test1_Hand!$B$4+H1456*D1456</f>
        <v>19.3486292542327</v>
      </c>
      <c r="J1456" s="24" t="n">
        <f aca="false">Test1_Hand!$B$6*H1456*D1456+Test1_Hand!$B$7*MAX(0,I1456-Test1_Hand!$B$5)+Test1_Hand!$B$14</f>
        <v>32789.0340338616</v>
      </c>
    </row>
    <row r="1457" customFormat="false" ht="15" hidden="false" customHeight="false" outlineLevel="0" collapsed="false">
      <c r="A1457" s="2" t="n">
        <v>1445</v>
      </c>
      <c r="B1457" s="22" t="n">
        <v>0.453527021232772</v>
      </c>
      <c r="C1457" s="22" t="n">
        <v>0.247161360380426</v>
      </c>
      <c r="D1457" s="23" t="n">
        <f aca="false">BETAINV(C1457,Test1_Hand!$B$21,Test1_Hand!$B$22,Test1_Hand!$B$9,Test1_Hand!$B$11)</f>
        <v>2.5021551475015</v>
      </c>
      <c r="E1457" s="2" t="n">
        <f aca="false">IF(B1457&lt;Test1_Hand!$B$12,1,0)</f>
        <v>1</v>
      </c>
      <c r="F1457" s="23" t="n">
        <f aca="false">Test1_Hand!$B$4+E1457*D1457</f>
        <v>18.5021551475015</v>
      </c>
      <c r="G1457" s="24" t="n">
        <f aca="false">Test1_Hand!$B$6*E1457*D1457+Test1_Hand!$B$7*MAX(0,F1457-Test1_Hand!$B$5)</f>
        <v>20017.241180012</v>
      </c>
      <c r="H1457" s="2" t="n">
        <f aca="false">IF(B1457&lt;Test1_Hand!$B$13,1,0)</f>
        <v>0</v>
      </c>
      <c r="I1457" s="23" t="n">
        <f aca="false">Test1_Hand!$B$4+H1457*D1457</f>
        <v>16</v>
      </c>
      <c r="J1457" s="24" t="n">
        <f aca="false">Test1_Hand!$B$6*H1457*D1457+Test1_Hand!$B$7*MAX(0,I1457-Test1_Hand!$B$5)+Test1_Hand!$B$14</f>
        <v>6000</v>
      </c>
    </row>
    <row r="1458" customFormat="false" ht="15" hidden="false" customHeight="false" outlineLevel="0" collapsed="false">
      <c r="A1458" s="2" t="n">
        <v>1446</v>
      </c>
      <c r="B1458" s="22" t="n">
        <v>0.0402962744764153</v>
      </c>
      <c r="C1458" s="22" t="n">
        <v>0.702197990765632</v>
      </c>
      <c r="D1458" s="23" t="n">
        <f aca="false">BETAINV(C1458,Test1_Hand!$B$21,Test1_Hand!$B$22,Test1_Hand!$B$9,Test1_Hand!$B$11)</f>
        <v>4.15894536872298</v>
      </c>
      <c r="E1458" s="2" t="n">
        <f aca="false">IF(B1458&lt;Test1_Hand!$B$12,1,0)</f>
        <v>1</v>
      </c>
      <c r="F1458" s="23" t="n">
        <f aca="false">Test1_Hand!$B$4+E1458*D1458</f>
        <v>20.158945368723</v>
      </c>
      <c r="G1458" s="24" t="n">
        <f aca="false">Test1_Hand!$B$6*E1458*D1458+Test1_Hand!$B$7*MAX(0,F1458-Test1_Hand!$B$5)</f>
        <v>34066.2897933987</v>
      </c>
      <c r="H1458" s="2" t="n">
        <f aca="false">IF(B1458&lt;Test1_Hand!$B$13,1,0)</f>
        <v>1</v>
      </c>
      <c r="I1458" s="23" t="n">
        <f aca="false">Test1_Hand!$B$4+H1458*D1458</f>
        <v>20.158945368723</v>
      </c>
      <c r="J1458" s="24" t="n">
        <f aca="false">Test1_Hand!$B$6*H1458*D1458+Test1_Hand!$B$7*MAX(0,I1458-Test1_Hand!$B$5)+Test1_Hand!$B$14</f>
        <v>40066.2897933987</v>
      </c>
    </row>
    <row r="1459" customFormat="false" ht="15" hidden="false" customHeight="false" outlineLevel="0" collapsed="false">
      <c r="A1459" s="2" t="n">
        <v>1447</v>
      </c>
      <c r="B1459" s="22" t="n">
        <v>0.724003132252665</v>
      </c>
      <c r="C1459" s="22" t="n">
        <v>0.037089846858839</v>
      </c>
      <c r="D1459" s="23" t="n">
        <f aca="false">BETAINV(C1459,Test1_Hand!$B$21,Test1_Hand!$B$22,Test1_Hand!$B$9,Test1_Hand!$B$11)</f>
        <v>1.54161595093077</v>
      </c>
      <c r="E1459" s="2" t="n">
        <f aca="false">IF(B1459&lt;Test1_Hand!$B$12,1,0)</f>
        <v>0</v>
      </c>
      <c r="F1459" s="23" t="n">
        <f aca="false">Test1_Hand!$B$4+E1459*D1459</f>
        <v>16</v>
      </c>
      <c r="G1459" s="24" t="n">
        <f aca="false">Test1_Hand!$B$6*E1459*D1459+Test1_Hand!$B$7*MAX(0,F1459-Test1_Hand!$B$5)</f>
        <v>0</v>
      </c>
      <c r="H1459" s="2" t="n">
        <f aca="false">IF(B1459&lt;Test1_Hand!$B$13,1,0)</f>
        <v>0</v>
      </c>
      <c r="I1459" s="23" t="n">
        <f aca="false">Test1_Hand!$B$4+H1459*D1459</f>
        <v>16</v>
      </c>
      <c r="J1459" s="24" t="n">
        <f aca="false">Test1_Hand!$B$6*H1459*D1459+Test1_Hand!$B$7*MAX(0,I1459-Test1_Hand!$B$5)+Test1_Hand!$B$14</f>
        <v>6000</v>
      </c>
    </row>
    <row r="1460" customFormat="false" ht="15" hidden="false" customHeight="false" outlineLevel="0" collapsed="false">
      <c r="A1460" s="2" t="n">
        <v>1448</v>
      </c>
      <c r="B1460" s="22" t="n">
        <v>0.232999399186421</v>
      </c>
      <c r="C1460" s="22" t="n">
        <v>0.147112708083068</v>
      </c>
      <c r="D1460" s="23" t="n">
        <f aca="false">BETAINV(C1460,Test1_Hand!$B$21,Test1_Hand!$B$22,Test1_Hand!$B$9,Test1_Hand!$B$11)</f>
        <v>2.11543126799672</v>
      </c>
      <c r="E1460" s="2" t="n">
        <f aca="false">IF(B1460&lt;Test1_Hand!$B$12,1,0)</f>
        <v>1</v>
      </c>
      <c r="F1460" s="23" t="n">
        <f aca="false">Test1_Hand!$B$4+E1460*D1460</f>
        <v>18.1154312679967</v>
      </c>
      <c r="G1460" s="24" t="n">
        <f aca="false">Test1_Hand!$B$6*E1460*D1460+Test1_Hand!$B$7*MAX(0,F1460-Test1_Hand!$B$5)</f>
        <v>16923.4501439738</v>
      </c>
      <c r="H1460" s="2" t="n">
        <f aca="false">IF(B1460&lt;Test1_Hand!$B$13,1,0)</f>
        <v>0</v>
      </c>
      <c r="I1460" s="23" t="n">
        <f aca="false">Test1_Hand!$B$4+H1460*D1460</f>
        <v>16</v>
      </c>
      <c r="J1460" s="24" t="n">
        <f aca="false">Test1_Hand!$B$6*H1460*D1460+Test1_Hand!$B$7*MAX(0,I1460-Test1_Hand!$B$5)+Test1_Hand!$B$14</f>
        <v>6000</v>
      </c>
    </row>
    <row r="1461" customFormat="false" ht="15" hidden="false" customHeight="false" outlineLevel="0" collapsed="false">
      <c r="A1461" s="2" t="n">
        <v>1449</v>
      </c>
      <c r="B1461" s="22" t="n">
        <v>0.41346461021321</v>
      </c>
      <c r="C1461" s="22" t="n">
        <v>0.596845569288797</v>
      </c>
      <c r="D1461" s="23" t="n">
        <f aca="false">BETAINV(C1461,Test1_Hand!$B$21,Test1_Hand!$B$22,Test1_Hand!$B$9,Test1_Hand!$B$11)</f>
        <v>3.73512005605001</v>
      </c>
      <c r="E1461" s="2" t="n">
        <f aca="false">IF(B1461&lt;Test1_Hand!$B$12,1,0)</f>
        <v>1</v>
      </c>
      <c r="F1461" s="23" t="n">
        <f aca="false">Test1_Hand!$B$4+E1461*D1461</f>
        <v>19.73512005605</v>
      </c>
      <c r="G1461" s="24" t="n">
        <f aca="false">Test1_Hand!$B$6*E1461*D1461+Test1_Hand!$B$7*MAX(0,F1461-Test1_Hand!$B$5)</f>
        <v>29880.9604484001</v>
      </c>
      <c r="H1461" s="2" t="n">
        <f aca="false">IF(B1461&lt;Test1_Hand!$B$13,1,0)</f>
        <v>0</v>
      </c>
      <c r="I1461" s="23" t="n">
        <f aca="false">Test1_Hand!$B$4+H1461*D1461</f>
        <v>16</v>
      </c>
      <c r="J1461" s="24" t="n">
        <f aca="false">Test1_Hand!$B$6*H1461*D1461+Test1_Hand!$B$7*MAX(0,I1461-Test1_Hand!$B$5)+Test1_Hand!$B$14</f>
        <v>6000</v>
      </c>
    </row>
    <row r="1462" customFormat="false" ht="15" hidden="false" customHeight="false" outlineLevel="0" collapsed="false">
      <c r="A1462" s="2" t="n">
        <v>1450</v>
      </c>
      <c r="B1462" s="22" t="n">
        <v>0.636251573820327</v>
      </c>
      <c r="C1462" s="22" t="n">
        <v>0.761679733555516</v>
      </c>
      <c r="D1462" s="23" t="n">
        <f aca="false">BETAINV(C1462,Test1_Hand!$B$21,Test1_Hand!$B$22,Test1_Hand!$B$9,Test1_Hand!$B$11)</f>
        <v>4.43084514871096</v>
      </c>
      <c r="E1462" s="2" t="n">
        <f aca="false">IF(B1462&lt;Test1_Hand!$B$12,1,0)</f>
        <v>0</v>
      </c>
      <c r="F1462" s="23" t="n">
        <f aca="false">Test1_Hand!$B$4+E1462*D1462</f>
        <v>16</v>
      </c>
      <c r="G1462" s="24" t="n">
        <f aca="false">Test1_Hand!$B$6*E1462*D1462+Test1_Hand!$B$7*MAX(0,F1462-Test1_Hand!$B$5)</f>
        <v>0</v>
      </c>
      <c r="H1462" s="2" t="n">
        <f aca="false">IF(B1462&lt;Test1_Hand!$B$13,1,0)</f>
        <v>0</v>
      </c>
      <c r="I1462" s="23" t="n">
        <f aca="false">Test1_Hand!$B$4+H1462*D1462</f>
        <v>16</v>
      </c>
      <c r="J1462" s="24" t="n">
        <f aca="false">Test1_Hand!$B$6*H1462*D1462+Test1_Hand!$B$7*MAX(0,I1462-Test1_Hand!$B$5)+Test1_Hand!$B$14</f>
        <v>6000</v>
      </c>
    </row>
    <row r="1463" customFormat="false" ht="15" hidden="false" customHeight="false" outlineLevel="0" collapsed="false">
      <c r="A1463" s="2" t="n">
        <v>1451</v>
      </c>
      <c r="B1463" s="22" t="n">
        <v>0.544496157488564</v>
      </c>
      <c r="C1463" s="22" t="n">
        <v>0.663518888426442</v>
      </c>
      <c r="D1463" s="23" t="n">
        <f aca="false">BETAINV(C1463,Test1_Hand!$B$21,Test1_Hand!$B$22,Test1_Hand!$B$9,Test1_Hand!$B$11)</f>
        <v>3.99654943007028</v>
      </c>
      <c r="E1463" s="2" t="n">
        <f aca="false">IF(B1463&lt;Test1_Hand!$B$12,1,0)</f>
        <v>0</v>
      </c>
      <c r="F1463" s="23" t="n">
        <f aca="false">Test1_Hand!$B$4+E1463*D1463</f>
        <v>16</v>
      </c>
      <c r="G1463" s="24" t="n">
        <f aca="false">Test1_Hand!$B$6*E1463*D1463+Test1_Hand!$B$7*MAX(0,F1463-Test1_Hand!$B$5)</f>
        <v>0</v>
      </c>
      <c r="H1463" s="2" t="n">
        <f aca="false">IF(B1463&lt;Test1_Hand!$B$13,1,0)</f>
        <v>0</v>
      </c>
      <c r="I1463" s="23" t="n">
        <f aca="false">Test1_Hand!$B$4+H1463*D1463</f>
        <v>16</v>
      </c>
      <c r="J1463" s="24" t="n">
        <f aca="false">Test1_Hand!$B$6*H1463*D1463+Test1_Hand!$B$7*MAX(0,I1463-Test1_Hand!$B$5)+Test1_Hand!$B$14</f>
        <v>6000</v>
      </c>
    </row>
    <row r="1464" customFormat="false" ht="15" hidden="false" customHeight="false" outlineLevel="0" collapsed="false">
      <c r="A1464" s="2" t="n">
        <v>1452</v>
      </c>
      <c r="B1464" s="22" t="n">
        <v>0.503562172495306</v>
      </c>
      <c r="C1464" s="22" t="n">
        <v>0.818971692362594</v>
      </c>
      <c r="D1464" s="23" t="n">
        <f aca="false">BETAINV(C1464,Test1_Hand!$B$21,Test1_Hand!$B$22,Test1_Hand!$B$9,Test1_Hand!$B$11)</f>
        <v>4.73030835330249</v>
      </c>
      <c r="E1464" s="2" t="n">
        <f aca="false">IF(B1464&lt;Test1_Hand!$B$12,1,0)</f>
        <v>0</v>
      </c>
      <c r="F1464" s="23" t="n">
        <f aca="false">Test1_Hand!$B$4+E1464*D1464</f>
        <v>16</v>
      </c>
      <c r="G1464" s="24" t="n">
        <f aca="false">Test1_Hand!$B$6*E1464*D1464+Test1_Hand!$B$7*MAX(0,F1464-Test1_Hand!$B$5)</f>
        <v>0</v>
      </c>
      <c r="H1464" s="2" t="n">
        <f aca="false">IF(B1464&lt;Test1_Hand!$B$13,1,0)</f>
        <v>0</v>
      </c>
      <c r="I1464" s="23" t="n">
        <f aca="false">Test1_Hand!$B$4+H1464*D1464</f>
        <v>16</v>
      </c>
      <c r="J1464" s="24" t="n">
        <f aca="false">Test1_Hand!$B$6*H1464*D1464+Test1_Hand!$B$7*MAX(0,I1464-Test1_Hand!$B$5)+Test1_Hand!$B$14</f>
        <v>6000</v>
      </c>
    </row>
    <row r="1465" customFormat="false" ht="15" hidden="false" customHeight="false" outlineLevel="0" collapsed="false">
      <c r="A1465" s="2" t="n">
        <v>1453</v>
      </c>
      <c r="B1465" s="22" t="n">
        <v>0.532127283631409</v>
      </c>
      <c r="C1465" s="22" t="n">
        <v>0.588664061793368</v>
      </c>
      <c r="D1465" s="23" t="n">
        <f aca="false">BETAINV(C1465,Test1_Hand!$B$21,Test1_Hand!$B$22,Test1_Hand!$B$9,Test1_Hand!$B$11)</f>
        <v>3.70429945899994</v>
      </c>
      <c r="E1465" s="2" t="n">
        <f aca="false">IF(B1465&lt;Test1_Hand!$B$12,1,0)</f>
        <v>0</v>
      </c>
      <c r="F1465" s="23" t="n">
        <f aca="false">Test1_Hand!$B$4+E1465*D1465</f>
        <v>16</v>
      </c>
      <c r="G1465" s="24" t="n">
        <f aca="false">Test1_Hand!$B$6*E1465*D1465+Test1_Hand!$B$7*MAX(0,F1465-Test1_Hand!$B$5)</f>
        <v>0</v>
      </c>
      <c r="H1465" s="2" t="n">
        <f aca="false">IF(B1465&lt;Test1_Hand!$B$13,1,0)</f>
        <v>0</v>
      </c>
      <c r="I1465" s="23" t="n">
        <f aca="false">Test1_Hand!$B$4+H1465*D1465</f>
        <v>16</v>
      </c>
      <c r="J1465" s="24" t="n">
        <f aca="false">Test1_Hand!$B$6*H1465*D1465+Test1_Hand!$B$7*MAX(0,I1465-Test1_Hand!$B$5)+Test1_Hand!$B$14</f>
        <v>6000</v>
      </c>
    </row>
    <row r="1466" customFormat="false" ht="15" hidden="false" customHeight="false" outlineLevel="0" collapsed="false">
      <c r="A1466" s="2" t="n">
        <v>1454</v>
      </c>
      <c r="B1466" s="22" t="n">
        <v>0.334977801816726</v>
      </c>
      <c r="C1466" s="22" t="n">
        <v>0.914146862419473</v>
      </c>
      <c r="D1466" s="23" t="n">
        <f aca="false">BETAINV(C1466,Test1_Hand!$B$21,Test1_Hand!$B$22,Test1_Hand!$B$9,Test1_Hand!$B$11)</f>
        <v>5.39362614934271</v>
      </c>
      <c r="E1466" s="2" t="n">
        <f aca="false">IF(B1466&lt;Test1_Hand!$B$12,1,0)</f>
        <v>1</v>
      </c>
      <c r="F1466" s="23" t="n">
        <f aca="false">Test1_Hand!$B$4+E1466*D1466</f>
        <v>21.3936261493427</v>
      </c>
      <c r="G1466" s="24" t="n">
        <f aca="false">Test1_Hand!$B$6*E1466*D1466+Test1_Hand!$B$7*MAX(0,F1466-Test1_Hand!$B$5)</f>
        <v>50117.1399414553</v>
      </c>
      <c r="H1466" s="2" t="n">
        <f aca="false">IF(B1466&lt;Test1_Hand!$B$13,1,0)</f>
        <v>0</v>
      </c>
      <c r="I1466" s="23" t="n">
        <f aca="false">Test1_Hand!$B$4+H1466*D1466</f>
        <v>16</v>
      </c>
      <c r="J1466" s="24" t="n">
        <f aca="false">Test1_Hand!$B$6*H1466*D1466+Test1_Hand!$B$7*MAX(0,I1466-Test1_Hand!$B$5)+Test1_Hand!$B$14</f>
        <v>6000</v>
      </c>
    </row>
    <row r="1467" customFormat="false" ht="15" hidden="false" customHeight="false" outlineLevel="0" collapsed="false">
      <c r="A1467" s="2" t="n">
        <v>1455</v>
      </c>
      <c r="B1467" s="22" t="n">
        <v>0.941461910225857</v>
      </c>
      <c r="C1467" s="22" t="n">
        <v>0.664475275801225</v>
      </c>
      <c r="D1467" s="23" t="n">
        <f aca="false">BETAINV(C1467,Test1_Hand!$B$21,Test1_Hand!$B$22,Test1_Hand!$B$9,Test1_Hand!$B$11)</f>
        <v>4.00045580810172</v>
      </c>
      <c r="E1467" s="2" t="n">
        <f aca="false">IF(B1467&lt;Test1_Hand!$B$12,1,0)</f>
        <v>0</v>
      </c>
      <c r="F1467" s="23" t="n">
        <f aca="false">Test1_Hand!$B$4+E1467*D1467</f>
        <v>16</v>
      </c>
      <c r="G1467" s="24" t="n">
        <f aca="false">Test1_Hand!$B$6*E1467*D1467+Test1_Hand!$B$7*MAX(0,F1467-Test1_Hand!$B$5)</f>
        <v>0</v>
      </c>
      <c r="H1467" s="2" t="n">
        <f aca="false">IF(B1467&lt;Test1_Hand!$B$13,1,0)</f>
        <v>0</v>
      </c>
      <c r="I1467" s="23" t="n">
        <f aca="false">Test1_Hand!$B$4+H1467*D1467</f>
        <v>16</v>
      </c>
      <c r="J1467" s="24" t="n">
        <f aca="false">Test1_Hand!$B$6*H1467*D1467+Test1_Hand!$B$7*MAX(0,I1467-Test1_Hand!$B$5)+Test1_Hand!$B$14</f>
        <v>6000</v>
      </c>
    </row>
    <row r="1468" customFormat="false" ht="15" hidden="false" customHeight="false" outlineLevel="0" collapsed="false">
      <c r="A1468" s="2" t="n">
        <v>1456</v>
      </c>
      <c r="B1468" s="22" t="n">
        <v>0.66221494146538</v>
      </c>
      <c r="C1468" s="22" t="n">
        <v>0.409915116394018</v>
      </c>
      <c r="D1468" s="23" t="n">
        <f aca="false">BETAINV(C1468,Test1_Hand!$B$21,Test1_Hand!$B$22,Test1_Hand!$B$9,Test1_Hand!$B$11)</f>
        <v>3.06979985643772</v>
      </c>
      <c r="E1468" s="2" t="n">
        <f aca="false">IF(B1468&lt;Test1_Hand!$B$12,1,0)</f>
        <v>0</v>
      </c>
      <c r="F1468" s="23" t="n">
        <f aca="false">Test1_Hand!$B$4+E1468*D1468</f>
        <v>16</v>
      </c>
      <c r="G1468" s="24" t="n">
        <f aca="false">Test1_Hand!$B$6*E1468*D1468+Test1_Hand!$B$7*MAX(0,F1468-Test1_Hand!$B$5)</f>
        <v>0</v>
      </c>
      <c r="H1468" s="2" t="n">
        <f aca="false">IF(B1468&lt;Test1_Hand!$B$13,1,0)</f>
        <v>0</v>
      </c>
      <c r="I1468" s="23" t="n">
        <f aca="false">Test1_Hand!$B$4+H1468*D1468</f>
        <v>16</v>
      </c>
      <c r="J1468" s="24" t="n">
        <f aca="false">Test1_Hand!$B$6*H1468*D1468+Test1_Hand!$B$7*MAX(0,I1468-Test1_Hand!$B$5)+Test1_Hand!$B$14</f>
        <v>6000</v>
      </c>
    </row>
    <row r="1469" customFormat="false" ht="15" hidden="false" customHeight="false" outlineLevel="0" collapsed="false">
      <c r="A1469" s="2" t="n">
        <v>1457</v>
      </c>
      <c r="B1469" s="22" t="n">
        <v>0.230558160863348</v>
      </c>
      <c r="C1469" s="22" t="n">
        <v>0.326855375338687</v>
      </c>
      <c r="D1469" s="23" t="n">
        <f aca="false">BETAINV(C1469,Test1_Hand!$B$21,Test1_Hand!$B$22,Test1_Hand!$B$9,Test1_Hand!$B$11)</f>
        <v>2.78390966740021</v>
      </c>
      <c r="E1469" s="2" t="n">
        <f aca="false">IF(B1469&lt;Test1_Hand!$B$12,1,0)</f>
        <v>1</v>
      </c>
      <c r="F1469" s="23" t="n">
        <f aca="false">Test1_Hand!$B$4+E1469*D1469</f>
        <v>18.7839096674002</v>
      </c>
      <c r="G1469" s="24" t="n">
        <f aca="false">Test1_Hand!$B$6*E1469*D1469+Test1_Hand!$B$7*MAX(0,F1469-Test1_Hand!$B$5)</f>
        <v>22271.2773392016</v>
      </c>
      <c r="H1469" s="2" t="n">
        <f aca="false">IF(B1469&lt;Test1_Hand!$B$13,1,0)</f>
        <v>0</v>
      </c>
      <c r="I1469" s="23" t="n">
        <f aca="false">Test1_Hand!$B$4+H1469*D1469</f>
        <v>16</v>
      </c>
      <c r="J1469" s="24" t="n">
        <f aca="false">Test1_Hand!$B$6*H1469*D1469+Test1_Hand!$B$7*MAX(0,I1469-Test1_Hand!$B$5)+Test1_Hand!$B$14</f>
        <v>6000</v>
      </c>
    </row>
    <row r="1470" customFormat="false" ht="15" hidden="false" customHeight="false" outlineLevel="0" collapsed="false">
      <c r="A1470" s="2" t="n">
        <v>1458</v>
      </c>
      <c r="B1470" s="22" t="n">
        <v>0.481283013959411</v>
      </c>
      <c r="C1470" s="22" t="n">
        <v>0.937573003157919</v>
      </c>
      <c r="D1470" s="23" t="n">
        <f aca="false">BETAINV(C1470,Test1_Hand!$B$21,Test1_Hand!$B$22,Test1_Hand!$B$9,Test1_Hand!$B$11)</f>
        <v>5.62620685059401</v>
      </c>
      <c r="E1470" s="2" t="n">
        <f aca="false">IF(B1470&lt;Test1_Hand!$B$12,1,0)</f>
        <v>1</v>
      </c>
      <c r="F1470" s="23" t="n">
        <f aca="false">Test1_Hand!$B$4+E1470*D1470</f>
        <v>21.626206850594</v>
      </c>
      <c r="G1470" s="24" t="n">
        <f aca="false">Test1_Hand!$B$6*E1470*D1470+Test1_Hand!$B$7*MAX(0,F1470-Test1_Hand!$B$5)</f>
        <v>53140.6890577221</v>
      </c>
      <c r="H1470" s="2" t="n">
        <f aca="false">IF(B1470&lt;Test1_Hand!$B$13,1,0)</f>
        <v>0</v>
      </c>
      <c r="I1470" s="23" t="n">
        <f aca="false">Test1_Hand!$B$4+H1470*D1470</f>
        <v>16</v>
      </c>
      <c r="J1470" s="24" t="n">
        <f aca="false">Test1_Hand!$B$6*H1470*D1470+Test1_Hand!$B$7*MAX(0,I1470-Test1_Hand!$B$5)+Test1_Hand!$B$14</f>
        <v>6000</v>
      </c>
    </row>
    <row r="1471" customFormat="false" ht="15" hidden="false" customHeight="false" outlineLevel="0" collapsed="false">
      <c r="A1471" s="2" t="n">
        <v>1459</v>
      </c>
      <c r="B1471" s="22" t="n">
        <v>0.203119937461061</v>
      </c>
      <c r="C1471" s="22" t="n">
        <v>0.288250437952159</v>
      </c>
      <c r="D1471" s="23" t="n">
        <f aca="false">BETAINV(C1471,Test1_Hand!$B$21,Test1_Hand!$B$22,Test1_Hand!$B$9,Test1_Hand!$B$11)</f>
        <v>2.64902713126148</v>
      </c>
      <c r="E1471" s="2" t="n">
        <f aca="false">IF(B1471&lt;Test1_Hand!$B$12,1,0)</f>
        <v>1</v>
      </c>
      <c r="F1471" s="23" t="n">
        <f aca="false">Test1_Hand!$B$4+E1471*D1471</f>
        <v>18.6490271312615</v>
      </c>
      <c r="G1471" s="24" t="n">
        <f aca="false">Test1_Hand!$B$6*E1471*D1471+Test1_Hand!$B$7*MAX(0,F1471-Test1_Hand!$B$5)</f>
        <v>21192.2170500918</v>
      </c>
      <c r="H1471" s="2" t="n">
        <f aca="false">IF(B1471&lt;Test1_Hand!$B$13,1,0)</f>
        <v>0</v>
      </c>
      <c r="I1471" s="23" t="n">
        <f aca="false">Test1_Hand!$B$4+H1471*D1471</f>
        <v>16</v>
      </c>
      <c r="J1471" s="24" t="n">
        <f aca="false">Test1_Hand!$B$6*H1471*D1471+Test1_Hand!$B$7*MAX(0,I1471-Test1_Hand!$B$5)+Test1_Hand!$B$14</f>
        <v>6000</v>
      </c>
    </row>
    <row r="1472" customFormat="false" ht="15" hidden="false" customHeight="false" outlineLevel="0" collapsed="false">
      <c r="A1472" s="2" t="n">
        <v>1460</v>
      </c>
      <c r="B1472" s="22" t="n">
        <v>0.937144765939248</v>
      </c>
      <c r="C1472" s="22" t="n">
        <v>0.458358723969538</v>
      </c>
      <c r="D1472" s="23" t="n">
        <f aca="false">BETAINV(C1472,Test1_Hand!$B$21,Test1_Hand!$B$22,Test1_Hand!$B$9,Test1_Hand!$B$11)</f>
        <v>3.23695674467719</v>
      </c>
      <c r="E1472" s="2" t="n">
        <f aca="false">IF(B1472&lt;Test1_Hand!$B$12,1,0)</f>
        <v>0</v>
      </c>
      <c r="F1472" s="23" t="n">
        <f aca="false">Test1_Hand!$B$4+E1472*D1472</f>
        <v>16</v>
      </c>
      <c r="G1472" s="24" t="n">
        <f aca="false">Test1_Hand!$B$6*E1472*D1472+Test1_Hand!$B$7*MAX(0,F1472-Test1_Hand!$B$5)</f>
        <v>0</v>
      </c>
      <c r="H1472" s="2" t="n">
        <f aca="false">IF(B1472&lt;Test1_Hand!$B$13,1,0)</f>
        <v>0</v>
      </c>
      <c r="I1472" s="23" t="n">
        <f aca="false">Test1_Hand!$B$4+H1472*D1472</f>
        <v>16</v>
      </c>
      <c r="J1472" s="24" t="n">
        <f aca="false">Test1_Hand!$B$6*H1472*D1472+Test1_Hand!$B$7*MAX(0,I1472-Test1_Hand!$B$5)+Test1_Hand!$B$14</f>
        <v>6000</v>
      </c>
    </row>
    <row r="1473" customFormat="false" ht="15" hidden="false" customHeight="false" outlineLevel="0" collapsed="false">
      <c r="A1473" s="2" t="n">
        <v>1461</v>
      </c>
      <c r="B1473" s="22" t="n">
        <v>0.777056497816288</v>
      </c>
      <c r="C1473" s="22" t="n">
        <v>0.717321016933258</v>
      </c>
      <c r="D1473" s="23" t="n">
        <f aca="false">BETAINV(C1473,Test1_Hand!$B$21,Test1_Hand!$B$22,Test1_Hand!$B$9,Test1_Hand!$B$11)</f>
        <v>4.22520789012077</v>
      </c>
      <c r="E1473" s="2" t="n">
        <f aca="false">IF(B1473&lt;Test1_Hand!$B$12,1,0)</f>
        <v>0</v>
      </c>
      <c r="F1473" s="23" t="n">
        <f aca="false">Test1_Hand!$B$4+E1473*D1473</f>
        <v>16</v>
      </c>
      <c r="G1473" s="24" t="n">
        <f aca="false">Test1_Hand!$B$6*E1473*D1473+Test1_Hand!$B$7*MAX(0,F1473-Test1_Hand!$B$5)</f>
        <v>0</v>
      </c>
      <c r="H1473" s="2" t="n">
        <f aca="false">IF(B1473&lt;Test1_Hand!$B$13,1,0)</f>
        <v>0</v>
      </c>
      <c r="I1473" s="23" t="n">
        <f aca="false">Test1_Hand!$B$4+H1473*D1473</f>
        <v>16</v>
      </c>
      <c r="J1473" s="24" t="n">
        <f aca="false">Test1_Hand!$B$6*H1473*D1473+Test1_Hand!$B$7*MAX(0,I1473-Test1_Hand!$B$5)+Test1_Hand!$B$14</f>
        <v>6000</v>
      </c>
    </row>
    <row r="1474" customFormat="false" ht="15" hidden="false" customHeight="false" outlineLevel="0" collapsed="false">
      <c r="A1474" s="2" t="n">
        <v>1462</v>
      </c>
      <c r="B1474" s="22" t="n">
        <v>0.36075221260564</v>
      </c>
      <c r="C1474" s="22" t="n">
        <v>0.110698091681979</v>
      </c>
      <c r="D1474" s="23" t="n">
        <f aca="false">BETAINV(C1474,Test1_Hand!$B$21,Test1_Hand!$B$22,Test1_Hand!$B$9,Test1_Hand!$B$11)</f>
        <v>1.95500556401687</v>
      </c>
      <c r="E1474" s="2" t="n">
        <f aca="false">IF(B1474&lt;Test1_Hand!$B$12,1,0)</f>
        <v>1</v>
      </c>
      <c r="F1474" s="23" t="n">
        <f aca="false">Test1_Hand!$B$4+E1474*D1474</f>
        <v>17.9550055640169</v>
      </c>
      <c r="G1474" s="24" t="n">
        <f aca="false">Test1_Hand!$B$6*E1474*D1474+Test1_Hand!$B$7*MAX(0,F1474-Test1_Hand!$B$5)</f>
        <v>15640.044512135</v>
      </c>
      <c r="H1474" s="2" t="n">
        <f aca="false">IF(B1474&lt;Test1_Hand!$B$13,1,0)</f>
        <v>0</v>
      </c>
      <c r="I1474" s="23" t="n">
        <f aca="false">Test1_Hand!$B$4+H1474*D1474</f>
        <v>16</v>
      </c>
      <c r="J1474" s="24" t="n">
        <f aca="false">Test1_Hand!$B$6*H1474*D1474+Test1_Hand!$B$7*MAX(0,I1474-Test1_Hand!$B$5)+Test1_Hand!$B$14</f>
        <v>6000</v>
      </c>
    </row>
    <row r="1475" customFormat="false" ht="15" hidden="false" customHeight="false" outlineLevel="0" collapsed="false">
      <c r="A1475" s="2" t="n">
        <v>1463</v>
      </c>
      <c r="B1475" s="22" t="n">
        <v>0.0727908244086278</v>
      </c>
      <c r="C1475" s="22" t="n">
        <v>0.808216299902426</v>
      </c>
      <c r="D1475" s="23" t="n">
        <f aca="false">BETAINV(C1475,Test1_Hand!$B$21,Test1_Hand!$B$22,Test1_Hand!$B$9,Test1_Hand!$B$11)</f>
        <v>4.67037354933303</v>
      </c>
      <c r="E1475" s="2" t="n">
        <f aca="false">IF(B1475&lt;Test1_Hand!$B$12,1,0)</f>
        <v>1</v>
      </c>
      <c r="F1475" s="23" t="n">
        <f aca="false">Test1_Hand!$B$4+E1475*D1475</f>
        <v>20.670373549333</v>
      </c>
      <c r="G1475" s="24" t="n">
        <f aca="false">Test1_Hand!$B$6*E1475*D1475+Test1_Hand!$B$7*MAX(0,F1475-Test1_Hand!$B$5)</f>
        <v>40714.8561413294</v>
      </c>
      <c r="H1475" s="2" t="n">
        <f aca="false">IF(B1475&lt;Test1_Hand!$B$13,1,0)</f>
        <v>1</v>
      </c>
      <c r="I1475" s="23" t="n">
        <f aca="false">Test1_Hand!$B$4+H1475*D1475</f>
        <v>20.670373549333</v>
      </c>
      <c r="J1475" s="24" t="n">
        <f aca="false">Test1_Hand!$B$6*H1475*D1475+Test1_Hand!$B$7*MAX(0,I1475-Test1_Hand!$B$5)+Test1_Hand!$B$14</f>
        <v>46714.8561413294</v>
      </c>
    </row>
    <row r="1476" customFormat="false" ht="15" hidden="false" customHeight="false" outlineLevel="0" collapsed="false">
      <c r="A1476" s="2" t="n">
        <v>1464</v>
      </c>
      <c r="B1476" s="22" t="n">
        <v>0.920936290322864</v>
      </c>
      <c r="C1476" s="22" t="n">
        <v>0.279526919062732</v>
      </c>
      <c r="D1476" s="23" t="n">
        <f aca="false">BETAINV(C1476,Test1_Hand!$B$21,Test1_Hand!$B$22,Test1_Hand!$B$9,Test1_Hand!$B$11)</f>
        <v>2.61818773990976</v>
      </c>
      <c r="E1476" s="2" t="n">
        <f aca="false">IF(B1476&lt;Test1_Hand!$B$12,1,0)</f>
        <v>0</v>
      </c>
      <c r="F1476" s="23" t="n">
        <f aca="false">Test1_Hand!$B$4+E1476*D1476</f>
        <v>16</v>
      </c>
      <c r="G1476" s="24" t="n">
        <f aca="false">Test1_Hand!$B$6*E1476*D1476+Test1_Hand!$B$7*MAX(0,F1476-Test1_Hand!$B$5)</f>
        <v>0</v>
      </c>
      <c r="H1476" s="2" t="n">
        <f aca="false">IF(B1476&lt;Test1_Hand!$B$13,1,0)</f>
        <v>0</v>
      </c>
      <c r="I1476" s="23" t="n">
        <f aca="false">Test1_Hand!$B$4+H1476*D1476</f>
        <v>16</v>
      </c>
      <c r="J1476" s="24" t="n">
        <f aca="false">Test1_Hand!$B$6*H1476*D1476+Test1_Hand!$B$7*MAX(0,I1476-Test1_Hand!$B$5)+Test1_Hand!$B$14</f>
        <v>6000</v>
      </c>
    </row>
    <row r="1477" customFormat="false" ht="15" hidden="false" customHeight="false" outlineLevel="0" collapsed="false">
      <c r="A1477" s="2" t="n">
        <v>1465</v>
      </c>
      <c r="B1477" s="22" t="n">
        <v>0.709708712784027</v>
      </c>
      <c r="C1477" s="22" t="n">
        <v>0.507719562540087</v>
      </c>
      <c r="D1477" s="23" t="n">
        <f aca="false">BETAINV(C1477,Test1_Hand!$B$21,Test1_Hand!$B$22,Test1_Hand!$B$9,Test1_Hand!$B$11)</f>
        <v>3.40988151298875</v>
      </c>
      <c r="E1477" s="2" t="n">
        <f aca="false">IF(B1477&lt;Test1_Hand!$B$12,1,0)</f>
        <v>0</v>
      </c>
      <c r="F1477" s="23" t="n">
        <f aca="false">Test1_Hand!$B$4+E1477*D1477</f>
        <v>16</v>
      </c>
      <c r="G1477" s="24" t="n">
        <f aca="false">Test1_Hand!$B$6*E1477*D1477+Test1_Hand!$B$7*MAX(0,F1477-Test1_Hand!$B$5)</f>
        <v>0</v>
      </c>
      <c r="H1477" s="2" t="n">
        <f aca="false">IF(B1477&lt;Test1_Hand!$B$13,1,0)</f>
        <v>0</v>
      </c>
      <c r="I1477" s="23" t="n">
        <f aca="false">Test1_Hand!$B$4+H1477*D1477</f>
        <v>16</v>
      </c>
      <c r="J1477" s="24" t="n">
        <f aca="false">Test1_Hand!$B$6*H1477*D1477+Test1_Hand!$B$7*MAX(0,I1477-Test1_Hand!$B$5)+Test1_Hand!$B$14</f>
        <v>6000</v>
      </c>
    </row>
    <row r="1478" customFormat="false" ht="15" hidden="false" customHeight="false" outlineLevel="0" collapsed="false">
      <c r="A1478" s="2" t="n">
        <v>1466</v>
      </c>
      <c r="B1478" s="22" t="n">
        <v>0.678938509130522</v>
      </c>
      <c r="C1478" s="22" t="n">
        <v>0.406179907698651</v>
      </c>
      <c r="D1478" s="23" t="n">
        <f aca="false">BETAINV(C1478,Test1_Hand!$B$21,Test1_Hand!$B$22,Test1_Hand!$B$9,Test1_Hand!$B$11)</f>
        <v>3.05696535298068</v>
      </c>
      <c r="E1478" s="2" t="n">
        <f aca="false">IF(B1478&lt;Test1_Hand!$B$12,1,0)</f>
        <v>0</v>
      </c>
      <c r="F1478" s="23" t="n">
        <f aca="false">Test1_Hand!$B$4+E1478*D1478</f>
        <v>16</v>
      </c>
      <c r="G1478" s="24" t="n">
        <f aca="false">Test1_Hand!$B$6*E1478*D1478+Test1_Hand!$B$7*MAX(0,F1478-Test1_Hand!$B$5)</f>
        <v>0</v>
      </c>
      <c r="H1478" s="2" t="n">
        <f aca="false">IF(B1478&lt;Test1_Hand!$B$13,1,0)</f>
        <v>0</v>
      </c>
      <c r="I1478" s="23" t="n">
        <f aca="false">Test1_Hand!$B$4+H1478*D1478</f>
        <v>16</v>
      </c>
      <c r="J1478" s="24" t="n">
        <f aca="false">Test1_Hand!$B$6*H1478*D1478+Test1_Hand!$B$7*MAX(0,I1478-Test1_Hand!$B$5)+Test1_Hand!$B$14</f>
        <v>6000</v>
      </c>
    </row>
    <row r="1479" customFormat="false" ht="15" hidden="false" customHeight="false" outlineLevel="0" collapsed="false">
      <c r="A1479" s="2" t="n">
        <v>1467</v>
      </c>
      <c r="B1479" s="22" t="n">
        <v>0.755218531545742</v>
      </c>
      <c r="C1479" s="22" t="n">
        <v>0.99312482593678</v>
      </c>
      <c r="D1479" s="23" t="n">
        <f aca="false">BETAINV(C1479,Test1_Hand!$B$21,Test1_Hand!$B$22,Test1_Hand!$B$9,Test1_Hand!$B$11)</f>
        <v>6.72093381230728</v>
      </c>
      <c r="E1479" s="2" t="n">
        <f aca="false">IF(B1479&lt;Test1_Hand!$B$12,1,0)</f>
        <v>0</v>
      </c>
      <c r="F1479" s="23" t="n">
        <f aca="false">Test1_Hand!$B$4+E1479*D1479</f>
        <v>16</v>
      </c>
      <c r="G1479" s="24" t="n">
        <f aca="false">Test1_Hand!$B$6*E1479*D1479+Test1_Hand!$B$7*MAX(0,F1479-Test1_Hand!$B$5)</f>
        <v>0</v>
      </c>
      <c r="H1479" s="2" t="n">
        <f aca="false">IF(B1479&lt;Test1_Hand!$B$13,1,0)</f>
        <v>0</v>
      </c>
      <c r="I1479" s="23" t="n">
        <f aca="false">Test1_Hand!$B$4+H1479*D1479</f>
        <v>16</v>
      </c>
      <c r="J1479" s="24" t="n">
        <f aca="false">Test1_Hand!$B$6*H1479*D1479+Test1_Hand!$B$7*MAX(0,I1479-Test1_Hand!$B$5)+Test1_Hand!$B$14</f>
        <v>6000</v>
      </c>
    </row>
    <row r="1480" customFormat="false" ht="15" hidden="false" customHeight="false" outlineLevel="0" collapsed="false">
      <c r="A1480" s="2" t="n">
        <v>1468</v>
      </c>
      <c r="B1480" s="22" t="n">
        <v>0.501253008224308</v>
      </c>
      <c r="C1480" s="22" t="n">
        <v>0.804574011052836</v>
      </c>
      <c r="D1480" s="23" t="n">
        <f aca="false">BETAINV(C1480,Test1_Hand!$B$21,Test1_Hand!$B$22,Test1_Hand!$B$9,Test1_Hand!$B$11)</f>
        <v>4.65051750170853</v>
      </c>
      <c r="E1480" s="2" t="n">
        <f aca="false">IF(B1480&lt;Test1_Hand!$B$12,1,0)</f>
        <v>0</v>
      </c>
      <c r="F1480" s="23" t="n">
        <f aca="false">Test1_Hand!$B$4+E1480*D1480</f>
        <v>16</v>
      </c>
      <c r="G1480" s="24" t="n">
        <f aca="false">Test1_Hand!$B$6*E1480*D1480+Test1_Hand!$B$7*MAX(0,F1480-Test1_Hand!$B$5)</f>
        <v>0</v>
      </c>
      <c r="H1480" s="2" t="n">
        <f aca="false">IF(B1480&lt;Test1_Hand!$B$13,1,0)</f>
        <v>0</v>
      </c>
      <c r="I1480" s="23" t="n">
        <f aca="false">Test1_Hand!$B$4+H1480*D1480</f>
        <v>16</v>
      </c>
      <c r="J1480" s="24" t="n">
        <f aca="false">Test1_Hand!$B$6*H1480*D1480+Test1_Hand!$B$7*MAX(0,I1480-Test1_Hand!$B$5)+Test1_Hand!$B$14</f>
        <v>6000</v>
      </c>
    </row>
    <row r="1481" customFormat="false" ht="15" hidden="false" customHeight="false" outlineLevel="0" collapsed="false">
      <c r="A1481" s="2" t="n">
        <v>1469</v>
      </c>
      <c r="B1481" s="22" t="n">
        <v>0.246023801622711</v>
      </c>
      <c r="C1481" s="22" t="n">
        <v>0.541163725014964</v>
      </c>
      <c r="D1481" s="23" t="n">
        <f aca="false">BETAINV(C1481,Test1_Hand!$B$21,Test1_Hand!$B$22,Test1_Hand!$B$9,Test1_Hand!$B$11)</f>
        <v>3.52950661211928</v>
      </c>
      <c r="E1481" s="2" t="n">
        <f aca="false">IF(B1481&lt;Test1_Hand!$B$12,1,0)</f>
        <v>1</v>
      </c>
      <c r="F1481" s="23" t="n">
        <f aca="false">Test1_Hand!$B$4+E1481*D1481</f>
        <v>19.5295066121193</v>
      </c>
      <c r="G1481" s="24" t="n">
        <f aca="false">Test1_Hand!$B$6*E1481*D1481+Test1_Hand!$B$7*MAX(0,F1481-Test1_Hand!$B$5)</f>
        <v>28236.0528969542</v>
      </c>
      <c r="H1481" s="2" t="n">
        <f aca="false">IF(B1481&lt;Test1_Hand!$B$13,1,0)</f>
        <v>0</v>
      </c>
      <c r="I1481" s="23" t="n">
        <f aca="false">Test1_Hand!$B$4+H1481*D1481</f>
        <v>16</v>
      </c>
      <c r="J1481" s="24" t="n">
        <f aca="false">Test1_Hand!$B$6*H1481*D1481+Test1_Hand!$B$7*MAX(0,I1481-Test1_Hand!$B$5)+Test1_Hand!$B$14</f>
        <v>6000</v>
      </c>
    </row>
    <row r="1482" customFormat="false" ht="15" hidden="false" customHeight="false" outlineLevel="0" collapsed="false">
      <c r="A1482" s="2" t="n">
        <v>1470</v>
      </c>
      <c r="B1482" s="22" t="n">
        <v>0.92482488418016</v>
      </c>
      <c r="C1482" s="22" t="n">
        <v>0.270830738472044</v>
      </c>
      <c r="D1482" s="23" t="n">
        <f aca="false">BETAINV(C1482,Test1_Hand!$B$21,Test1_Hand!$B$22,Test1_Hand!$B$9,Test1_Hand!$B$11)</f>
        <v>2.5872780461769</v>
      </c>
      <c r="E1482" s="2" t="n">
        <f aca="false">IF(B1482&lt;Test1_Hand!$B$12,1,0)</f>
        <v>0</v>
      </c>
      <c r="F1482" s="23" t="n">
        <f aca="false">Test1_Hand!$B$4+E1482*D1482</f>
        <v>16</v>
      </c>
      <c r="G1482" s="24" t="n">
        <f aca="false">Test1_Hand!$B$6*E1482*D1482+Test1_Hand!$B$7*MAX(0,F1482-Test1_Hand!$B$5)</f>
        <v>0</v>
      </c>
      <c r="H1482" s="2" t="n">
        <f aca="false">IF(B1482&lt;Test1_Hand!$B$13,1,0)</f>
        <v>0</v>
      </c>
      <c r="I1482" s="23" t="n">
        <f aca="false">Test1_Hand!$B$4+H1482*D1482</f>
        <v>16</v>
      </c>
      <c r="J1482" s="24" t="n">
        <f aca="false">Test1_Hand!$B$6*H1482*D1482+Test1_Hand!$B$7*MAX(0,I1482-Test1_Hand!$B$5)+Test1_Hand!$B$14</f>
        <v>6000</v>
      </c>
    </row>
    <row r="1483" customFormat="false" ht="15" hidden="false" customHeight="false" outlineLevel="0" collapsed="false">
      <c r="A1483" s="2" t="n">
        <v>1471</v>
      </c>
      <c r="B1483" s="22" t="n">
        <v>0.102540054434073</v>
      </c>
      <c r="C1483" s="22" t="n">
        <v>0.298179047784676</v>
      </c>
      <c r="D1483" s="23" t="n">
        <f aca="false">BETAINV(C1483,Test1_Hand!$B$21,Test1_Hand!$B$22,Test1_Hand!$B$9,Test1_Hand!$B$11)</f>
        <v>2.68394439618502</v>
      </c>
      <c r="E1483" s="2" t="n">
        <f aca="false">IF(B1483&lt;Test1_Hand!$B$12,1,0)</f>
        <v>1</v>
      </c>
      <c r="F1483" s="23" t="n">
        <f aca="false">Test1_Hand!$B$4+E1483*D1483</f>
        <v>18.683944396185</v>
      </c>
      <c r="G1483" s="24" t="n">
        <f aca="false">Test1_Hand!$B$6*E1483*D1483+Test1_Hand!$B$7*MAX(0,F1483-Test1_Hand!$B$5)</f>
        <v>21471.5551694801</v>
      </c>
      <c r="H1483" s="2" t="n">
        <f aca="false">IF(B1483&lt;Test1_Hand!$B$13,1,0)</f>
        <v>1</v>
      </c>
      <c r="I1483" s="23" t="n">
        <f aca="false">Test1_Hand!$B$4+H1483*D1483</f>
        <v>18.683944396185</v>
      </c>
      <c r="J1483" s="24" t="n">
        <f aca="false">Test1_Hand!$B$6*H1483*D1483+Test1_Hand!$B$7*MAX(0,I1483-Test1_Hand!$B$5)+Test1_Hand!$B$14</f>
        <v>27471.5551694801</v>
      </c>
    </row>
    <row r="1484" customFormat="false" ht="15" hidden="false" customHeight="false" outlineLevel="0" collapsed="false">
      <c r="A1484" s="2" t="n">
        <v>1472</v>
      </c>
      <c r="B1484" s="22" t="n">
        <v>0.338541218097499</v>
      </c>
      <c r="C1484" s="22" t="n">
        <v>0.767269589498114</v>
      </c>
      <c r="D1484" s="23" t="n">
        <f aca="false">BETAINV(C1484,Test1_Hand!$B$21,Test1_Hand!$B$22,Test1_Hand!$B$9,Test1_Hand!$B$11)</f>
        <v>4.45815702708346</v>
      </c>
      <c r="E1484" s="2" t="n">
        <f aca="false">IF(B1484&lt;Test1_Hand!$B$12,1,0)</f>
        <v>1</v>
      </c>
      <c r="F1484" s="23" t="n">
        <f aca="false">Test1_Hand!$B$4+E1484*D1484</f>
        <v>20.4581570270835</v>
      </c>
      <c r="G1484" s="24" t="n">
        <f aca="false">Test1_Hand!$B$6*E1484*D1484+Test1_Hand!$B$7*MAX(0,F1484-Test1_Hand!$B$5)</f>
        <v>37956.0413520851</v>
      </c>
      <c r="H1484" s="2" t="n">
        <f aca="false">IF(B1484&lt;Test1_Hand!$B$13,1,0)</f>
        <v>0</v>
      </c>
      <c r="I1484" s="23" t="n">
        <f aca="false">Test1_Hand!$B$4+H1484*D1484</f>
        <v>16</v>
      </c>
      <c r="J1484" s="24" t="n">
        <f aca="false">Test1_Hand!$B$6*H1484*D1484+Test1_Hand!$B$7*MAX(0,I1484-Test1_Hand!$B$5)+Test1_Hand!$B$14</f>
        <v>6000</v>
      </c>
    </row>
    <row r="1485" customFormat="false" ht="15" hidden="false" customHeight="false" outlineLevel="0" collapsed="false">
      <c r="A1485" s="2" t="n">
        <v>1473</v>
      </c>
      <c r="B1485" s="22" t="n">
        <v>0.184910376638051</v>
      </c>
      <c r="C1485" s="22" t="n">
        <v>0.26701093605413</v>
      </c>
      <c r="D1485" s="23" t="n">
        <f aca="false">BETAINV(C1485,Test1_Hand!$B$21,Test1_Hand!$B$22,Test1_Hand!$B$9,Test1_Hand!$B$11)</f>
        <v>2.57364365511808</v>
      </c>
      <c r="E1485" s="2" t="n">
        <f aca="false">IF(B1485&lt;Test1_Hand!$B$12,1,0)</f>
        <v>1</v>
      </c>
      <c r="F1485" s="23" t="n">
        <f aca="false">Test1_Hand!$B$4+E1485*D1485</f>
        <v>18.5736436551181</v>
      </c>
      <c r="G1485" s="24" t="n">
        <f aca="false">Test1_Hand!$B$6*E1485*D1485+Test1_Hand!$B$7*MAX(0,F1485-Test1_Hand!$B$5)</f>
        <v>20589.1492409446</v>
      </c>
      <c r="H1485" s="2" t="n">
        <f aca="false">IF(B1485&lt;Test1_Hand!$B$13,1,0)</f>
        <v>1</v>
      </c>
      <c r="I1485" s="23" t="n">
        <f aca="false">Test1_Hand!$B$4+H1485*D1485</f>
        <v>18.5736436551181</v>
      </c>
      <c r="J1485" s="24" t="n">
        <f aca="false">Test1_Hand!$B$6*H1485*D1485+Test1_Hand!$B$7*MAX(0,I1485-Test1_Hand!$B$5)+Test1_Hand!$B$14</f>
        <v>26589.1492409446</v>
      </c>
    </row>
    <row r="1486" customFormat="false" ht="15" hidden="false" customHeight="false" outlineLevel="0" collapsed="false">
      <c r="A1486" s="2" t="n">
        <v>1474</v>
      </c>
      <c r="B1486" s="22" t="n">
        <v>0.783672816172467</v>
      </c>
      <c r="C1486" s="22" t="n">
        <v>0.402611492599092</v>
      </c>
      <c r="D1486" s="23" t="n">
        <f aca="false">BETAINV(C1486,Test1_Hand!$B$21,Test1_Hand!$B$22,Test1_Hand!$B$9,Test1_Hand!$B$11)</f>
        <v>3.04470742487798</v>
      </c>
      <c r="E1486" s="2" t="n">
        <f aca="false">IF(B1486&lt;Test1_Hand!$B$12,1,0)</f>
        <v>0</v>
      </c>
      <c r="F1486" s="23" t="n">
        <f aca="false">Test1_Hand!$B$4+E1486*D1486</f>
        <v>16</v>
      </c>
      <c r="G1486" s="24" t="n">
        <f aca="false">Test1_Hand!$B$6*E1486*D1486+Test1_Hand!$B$7*MAX(0,F1486-Test1_Hand!$B$5)</f>
        <v>0</v>
      </c>
      <c r="H1486" s="2" t="n">
        <f aca="false">IF(B1486&lt;Test1_Hand!$B$13,1,0)</f>
        <v>0</v>
      </c>
      <c r="I1486" s="23" t="n">
        <f aca="false">Test1_Hand!$B$4+H1486*D1486</f>
        <v>16</v>
      </c>
      <c r="J1486" s="24" t="n">
        <f aca="false">Test1_Hand!$B$6*H1486*D1486+Test1_Hand!$B$7*MAX(0,I1486-Test1_Hand!$B$5)+Test1_Hand!$B$14</f>
        <v>6000</v>
      </c>
    </row>
    <row r="1487" customFormat="false" ht="15" hidden="false" customHeight="false" outlineLevel="0" collapsed="false">
      <c r="A1487" s="2" t="n">
        <v>1475</v>
      </c>
      <c r="B1487" s="22" t="n">
        <v>0.996651911872232</v>
      </c>
      <c r="C1487" s="22" t="n">
        <v>0.0306597253028117</v>
      </c>
      <c r="D1487" s="23" t="n">
        <f aca="false">BETAINV(C1487,Test1_Hand!$B$21,Test1_Hand!$B$22,Test1_Hand!$B$9,Test1_Hand!$B$11)</f>
        <v>1.49227546345559</v>
      </c>
      <c r="E1487" s="2" t="n">
        <f aca="false">IF(B1487&lt;Test1_Hand!$B$12,1,0)</f>
        <v>0</v>
      </c>
      <c r="F1487" s="23" t="n">
        <f aca="false">Test1_Hand!$B$4+E1487*D1487</f>
        <v>16</v>
      </c>
      <c r="G1487" s="24" t="n">
        <f aca="false">Test1_Hand!$B$6*E1487*D1487+Test1_Hand!$B$7*MAX(0,F1487-Test1_Hand!$B$5)</f>
        <v>0</v>
      </c>
      <c r="H1487" s="2" t="n">
        <f aca="false">IF(B1487&lt;Test1_Hand!$B$13,1,0)</f>
        <v>0</v>
      </c>
      <c r="I1487" s="23" t="n">
        <f aca="false">Test1_Hand!$B$4+H1487*D1487</f>
        <v>16</v>
      </c>
      <c r="J1487" s="24" t="n">
        <f aca="false">Test1_Hand!$B$6*H1487*D1487+Test1_Hand!$B$7*MAX(0,I1487-Test1_Hand!$B$5)+Test1_Hand!$B$14</f>
        <v>6000</v>
      </c>
    </row>
    <row r="1488" customFormat="false" ht="15" hidden="false" customHeight="false" outlineLevel="0" collapsed="false">
      <c r="A1488" s="2" t="n">
        <v>1476</v>
      </c>
      <c r="B1488" s="22" t="n">
        <v>0.131720685995258</v>
      </c>
      <c r="C1488" s="22" t="n">
        <v>0.212967935743034</v>
      </c>
      <c r="D1488" s="23" t="n">
        <f aca="false">BETAINV(C1488,Test1_Hand!$B$21,Test1_Hand!$B$22,Test1_Hand!$B$9,Test1_Hand!$B$11)</f>
        <v>2.37589585548401</v>
      </c>
      <c r="E1488" s="2" t="n">
        <f aca="false">IF(B1488&lt;Test1_Hand!$B$12,1,0)</f>
        <v>1</v>
      </c>
      <c r="F1488" s="23" t="n">
        <f aca="false">Test1_Hand!$B$4+E1488*D1488</f>
        <v>18.375895855484</v>
      </c>
      <c r="G1488" s="24" t="n">
        <f aca="false">Test1_Hand!$B$6*E1488*D1488+Test1_Hand!$B$7*MAX(0,F1488-Test1_Hand!$B$5)</f>
        <v>19007.1668438721</v>
      </c>
      <c r="H1488" s="2" t="n">
        <f aca="false">IF(B1488&lt;Test1_Hand!$B$13,1,0)</f>
        <v>1</v>
      </c>
      <c r="I1488" s="23" t="n">
        <f aca="false">Test1_Hand!$B$4+H1488*D1488</f>
        <v>18.375895855484</v>
      </c>
      <c r="J1488" s="24" t="n">
        <f aca="false">Test1_Hand!$B$6*H1488*D1488+Test1_Hand!$B$7*MAX(0,I1488-Test1_Hand!$B$5)+Test1_Hand!$B$14</f>
        <v>25007.1668438721</v>
      </c>
    </row>
    <row r="1489" customFormat="false" ht="15" hidden="false" customHeight="false" outlineLevel="0" collapsed="false">
      <c r="A1489" s="2" t="n">
        <v>1477</v>
      </c>
      <c r="B1489" s="22" t="n">
        <v>0.818722266113352</v>
      </c>
      <c r="C1489" s="22" t="n">
        <v>0.553912364110901</v>
      </c>
      <c r="D1489" s="23" t="n">
        <f aca="false">BETAINV(C1489,Test1_Hand!$B$21,Test1_Hand!$B$22,Test1_Hand!$B$9,Test1_Hand!$B$11)</f>
        <v>3.57579089938968</v>
      </c>
      <c r="E1489" s="2" t="n">
        <f aca="false">IF(B1489&lt;Test1_Hand!$B$12,1,0)</f>
        <v>0</v>
      </c>
      <c r="F1489" s="23" t="n">
        <f aca="false">Test1_Hand!$B$4+E1489*D1489</f>
        <v>16</v>
      </c>
      <c r="G1489" s="24" t="n">
        <f aca="false">Test1_Hand!$B$6*E1489*D1489+Test1_Hand!$B$7*MAX(0,F1489-Test1_Hand!$B$5)</f>
        <v>0</v>
      </c>
      <c r="H1489" s="2" t="n">
        <f aca="false">IF(B1489&lt;Test1_Hand!$B$13,1,0)</f>
        <v>0</v>
      </c>
      <c r="I1489" s="23" t="n">
        <f aca="false">Test1_Hand!$B$4+H1489*D1489</f>
        <v>16</v>
      </c>
      <c r="J1489" s="24" t="n">
        <f aca="false">Test1_Hand!$B$6*H1489*D1489+Test1_Hand!$B$7*MAX(0,I1489-Test1_Hand!$B$5)+Test1_Hand!$B$14</f>
        <v>6000</v>
      </c>
    </row>
    <row r="1490" customFormat="false" ht="15" hidden="false" customHeight="false" outlineLevel="0" collapsed="false">
      <c r="A1490" s="2" t="n">
        <v>1478</v>
      </c>
      <c r="B1490" s="22" t="n">
        <v>0.860350356314713</v>
      </c>
      <c r="C1490" s="22" t="n">
        <v>0.330069504876682</v>
      </c>
      <c r="D1490" s="23" t="n">
        <f aca="false">BETAINV(C1490,Test1_Hand!$B$21,Test1_Hand!$B$22,Test1_Hand!$B$9,Test1_Hand!$B$11)</f>
        <v>2.79504778958428</v>
      </c>
      <c r="E1490" s="2" t="n">
        <f aca="false">IF(B1490&lt;Test1_Hand!$B$12,1,0)</f>
        <v>0</v>
      </c>
      <c r="F1490" s="23" t="n">
        <f aca="false">Test1_Hand!$B$4+E1490*D1490</f>
        <v>16</v>
      </c>
      <c r="G1490" s="24" t="n">
        <f aca="false">Test1_Hand!$B$6*E1490*D1490+Test1_Hand!$B$7*MAX(0,F1490-Test1_Hand!$B$5)</f>
        <v>0</v>
      </c>
      <c r="H1490" s="2" t="n">
        <f aca="false">IF(B1490&lt;Test1_Hand!$B$13,1,0)</f>
        <v>0</v>
      </c>
      <c r="I1490" s="23" t="n">
        <f aca="false">Test1_Hand!$B$4+H1490*D1490</f>
        <v>16</v>
      </c>
      <c r="J1490" s="24" t="n">
        <f aca="false">Test1_Hand!$B$6*H1490*D1490+Test1_Hand!$B$7*MAX(0,I1490-Test1_Hand!$B$5)+Test1_Hand!$B$14</f>
        <v>6000</v>
      </c>
    </row>
    <row r="1491" customFormat="false" ht="15" hidden="false" customHeight="false" outlineLevel="0" collapsed="false">
      <c r="A1491" s="2" t="n">
        <v>1479</v>
      </c>
      <c r="B1491" s="22" t="n">
        <v>0.825137153456046</v>
      </c>
      <c r="C1491" s="22" t="n">
        <v>0.0444729010027117</v>
      </c>
      <c r="D1491" s="23" t="n">
        <f aca="false">BETAINV(C1491,Test1_Hand!$B$21,Test1_Hand!$B$22,Test1_Hand!$B$9,Test1_Hand!$B$11)</f>
        <v>1.59367873135671</v>
      </c>
      <c r="E1491" s="2" t="n">
        <f aca="false">IF(B1491&lt;Test1_Hand!$B$12,1,0)</f>
        <v>0</v>
      </c>
      <c r="F1491" s="23" t="n">
        <f aca="false">Test1_Hand!$B$4+E1491*D1491</f>
        <v>16</v>
      </c>
      <c r="G1491" s="24" t="n">
        <f aca="false">Test1_Hand!$B$6*E1491*D1491+Test1_Hand!$B$7*MAX(0,F1491-Test1_Hand!$B$5)</f>
        <v>0</v>
      </c>
      <c r="H1491" s="2" t="n">
        <f aca="false">IF(B1491&lt;Test1_Hand!$B$13,1,0)</f>
        <v>0</v>
      </c>
      <c r="I1491" s="23" t="n">
        <f aca="false">Test1_Hand!$B$4+H1491*D1491</f>
        <v>16</v>
      </c>
      <c r="J1491" s="24" t="n">
        <f aca="false">Test1_Hand!$B$6*H1491*D1491+Test1_Hand!$B$7*MAX(0,I1491-Test1_Hand!$B$5)+Test1_Hand!$B$14</f>
        <v>6000</v>
      </c>
    </row>
    <row r="1492" customFormat="false" ht="15" hidden="false" customHeight="false" outlineLevel="0" collapsed="false">
      <c r="A1492" s="2" t="n">
        <v>1480</v>
      </c>
      <c r="B1492" s="22" t="n">
        <v>0.523525828721946</v>
      </c>
      <c r="C1492" s="22" t="n">
        <v>0.915539151419936</v>
      </c>
      <c r="D1492" s="23" t="n">
        <f aca="false">BETAINV(C1492,Test1_Hand!$B$21,Test1_Hand!$B$22,Test1_Hand!$B$9,Test1_Hand!$B$11)</f>
        <v>5.40620075656028</v>
      </c>
      <c r="E1492" s="2" t="n">
        <f aca="false">IF(B1492&lt;Test1_Hand!$B$12,1,0)</f>
        <v>0</v>
      </c>
      <c r="F1492" s="23" t="n">
        <f aca="false">Test1_Hand!$B$4+E1492*D1492</f>
        <v>16</v>
      </c>
      <c r="G1492" s="24" t="n">
        <f aca="false">Test1_Hand!$B$6*E1492*D1492+Test1_Hand!$B$7*MAX(0,F1492-Test1_Hand!$B$5)</f>
        <v>0</v>
      </c>
      <c r="H1492" s="2" t="n">
        <f aca="false">IF(B1492&lt;Test1_Hand!$B$13,1,0)</f>
        <v>0</v>
      </c>
      <c r="I1492" s="23" t="n">
        <f aca="false">Test1_Hand!$B$4+H1492*D1492</f>
        <v>16</v>
      </c>
      <c r="J1492" s="24" t="n">
        <f aca="false">Test1_Hand!$B$6*H1492*D1492+Test1_Hand!$B$7*MAX(0,I1492-Test1_Hand!$B$5)+Test1_Hand!$B$14</f>
        <v>6000</v>
      </c>
    </row>
    <row r="1493" customFormat="false" ht="15" hidden="false" customHeight="false" outlineLevel="0" collapsed="false">
      <c r="A1493" s="2" t="n">
        <v>1481</v>
      </c>
      <c r="B1493" s="22" t="n">
        <v>0.267305760171159</v>
      </c>
      <c r="C1493" s="22" t="n">
        <v>0.142526662105964</v>
      </c>
      <c r="D1493" s="23" t="n">
        <f aca="false">BETAINV(C1493,Test1_Hand!$B$21,Test1_Hand!$B$22,Test1_Hand!$B$9,Test1_Hand!$B$11)</f>
        <v>2.09606098635673</v>
      </c>
      <c r="E1493" s="2" t="n">
        <f aca="false">IF(B1493&lt;Test1_Hand!$B$12,1,0)</f>
        <v>1</v>
      </c>
      <c r="F1493" s="23" t="n">
        <f aca="false">Test1_Hand!$B$4+E1493*D1493</f>
        <v>18.0960609863567</v>
      </c>
      <c r="G1493" s="24" t="n">
        <f aca="false">Test1_Hand!$B$6*E1493*D1493+Test1_Hand!$B$7*MAX(0,F1493-Test1_Hand!$B$5)</f>
        <v>16768.4878908539</v>
      </c>
      <c r="H1493" s="2" t="n">
        <f aca="false">IF(B1493&lt;Test1_Hand!$B$13,1,0)</f>
        <v>0</v>
      </c>
      <c r="I1493" s="23" t="n">
        <f aca="false">Test1_Hand!$B$4+H1493*D1493</f>
        <v>16</v>
      </c>
      <c r="J1493" s="24" t="n">
        <f aca="false">Test1_Hand!$B$6*H1493*D1493+Test1_Hand!$B$7*MAX(0,I1493-Test1_Hand!$B$5)+Test1_Hand!$B$14</f>
        <v>6000</v>
      </c>
    </row>
    <row r="1494" customFormat="false" ht="15" hidden="false" customHeight="false" outlineLevel="0" collapsed="false">
      <c r="A1494" s="2" t="n">
        <v>1482</v>
      </c>
      <c r="B1494" s="22" t="n">
        <v>0.318455211139353</v>
      </c>
      <c r="C1494" s="22" t="n">
        <v>0.973555252554484</v>
      </c>
      <c r="D1494" s="23" t="n">
        <f aca="false">BETAINV(C1494,Test1_Hand!$B$21,Test1_Hand!$B$22,Test1_Hand!$B$9,Test1_Hand!$B$11)</f>
        <v>6.14293961483657</v>
      </c>
      <c r="E1494" s="2" t="n">
        <f aca="false">IF(B1494&lt;Test1_Hand!$B$12,1,0)</f>
        <v>1</v>
      </c>
      <c r="F1494" s="23" t="n">
        <f aca="false">Test1_Hand!$B$4+E1494*D1494</f>
        <v>22.1429396148366</v>
      </c>
      <c r="G1494" s="24" t="n">
        <f aca="false">Test1_Hand!$B$6*E1494*D1494+Test1_Hand!$B$7*MAX(0,F1494-Test1_Hand!$B$5)</f>
        <v>59858.2149928754</v>
      </c>
      <c r="H1494" s="2" t="n">
        <f aca="false">IF(B1494&lt;Test1_Hand!$B$13,1,0)</f>
        <v>0</v>
      </c>
      <c r="I1494" s="23" t="n">
        <f aca="false">Test1_Hand!$B$4+H1494*D1494</f>
        <v>16</v>
      </c>
      <c r="J1494" s="24" t="n">
        <f aca="false">Test1_Hand!$B$6*H1494*D1494+Test1_Hand!$B$7*MAX(0,I1494-Test1_Hand!$B$5)+Test1_Hand!$B$14</f>
        <v>6000</v>
      </c>
    </row>
    <row r="1495" customFormat="false" ht="15" hidden="false" customHeight="false" outlineLevel="0" collapsed="false">
      <c r="A1495" s="2" t="n">
        <v>1483</v>
      </c>
      <c r="B1495" s="22" t="n">
        <v>0.963753780524712</v>
      </c>
      <c r="C1495" s="22" t="n">
        <v>0.665235549553264</v>
      </c>
      <c r="D1495" s="23" t="n">
        <f aca="false">BETAINV(C1495,Test1_Hand!$B$21,Test1_Hand!$B$22,Test1_Hand!$B$9,Test1_Hand!$B$11)</f>
        <v>4.00356479090495</v>
      </c>
      <c r="E1495" s="2" t="n">
        <f aca="false">IF(B1495&lt;Test1_Hand!$B$12,1,0)</f>
        <v>0</v>
      </c>
      <c r="F1495" s="23" t="n">
        <f aca="false">Test1_Hand!$B$4+E1495*D1495</f>
        <v>16</v>
      </c>
      <c r="G1495" s="24" t="n">
        <f aca="false">Test1_Hand!$B$6*E1495*D1495+Test1_Hand!$B$7*MAX(0,F1495-Test1_Hand!$B$5)</f>
        <v>0</v>
      </c>
      <c r="H1495" s="2" t="n">
        <f aca="false">IF(B1495&lt;Test1_Hand!$B$13,1,0)</f>
        <v>0</v>
      </c>
      <c r="I1495" s="23" t="n">
        <f aca="false">Test1_Hand!$B$4+H1495*D1495</f>
        <v>16</v>
      </c>
      <c r="J1495" s="24" t="n">
        <f aca="false">Test1_Hand!$B$6*H1495*D1495+Test1_Hand!$B$7*MAX(0,I1495-Test1_Hand!$B$5)+Test1_Hand!$B$14</f>
        <v>6000</v>
      </c>
    </row>
    <row r="1496" customFormat="false" ht="15" hidden="false" customHeight="false" outlineLevel="0" collapsed="false">
      <c r="A1496" s="2" t="n">
        <v>1484</v>
      </c>
      <c r="B1496" s="22" t="n">
        <v>0.975378010919665</v>
      </c>
      <c r="C1496" s="22" t="n">
        <v>0.284915185825686</v>
      </c>
      <c r="D1496" s="23" t="n">
        <f aca="false">BETAINV(C1496,Test1_Hand!$B$21,Test1_Hand!$B$22,Test1_Hand!$B$9,Test1_Hand!$B$11)</f>
        <v>2.63725504030671</v>
      </c>
      <c r="E1496" s="2" t="n">
        <f aca="false">IF(B1496&lt;Test1_Hand!$B$12,1,0)</f>
        <v>0</v>
      </c>
      <c r="F1496" s="23" t="n">
        <f aca="false">Test1_Hand!$B$4+E1496*D1496</f>
        <v>16</v>
      </c>
      <c r="G1496" s="24" t="n">
        <f aca="false">Test1_Hand!$B$6*E1496*D1496+Test1_Hand!$B$7*MAX(0,F1496-Test1_Hand!$B$5)</f>
        <v>0</v>
      </c>
      <c r="H1496" s="2" t="n">
        <f aca="false">IF(B1496&lt;Test1_Hand!$B$13,1,0)</f>
        <v>0</v>
      </c>
      <c r="I1496" s="23" t="n">
        <f aca="false">Test1_Hand!$B$4+H1496*D1496</f>
        <v>16</v>
      </c>
      <c r="J1496" s="24" t="n">
        <f aca="false">Test1_Hand!$B$6*H1496*D1496+Test1_Hand!$B$7*MAX(0,I1496-Test1_Hand!$B$5)+Test1_Hand!$B$14</f>
        <v>6000</v>
      </c>
    </row>
    <row r="1497" customFormat="false" ht="15" hidden="false" customHeight="false" outlineLevel="0" collapsed="false">
      <c r="A1497" s="2" t="n">
        <v>1485</v>
      </c>
      <c r="B1497" s="22" t="n">
        <v>0.705014919559254</v>
      </c>
      <c r="C1497" s="22" t="n">
        <v>0.549421944575236</v>
      </c>
      <c r="D1497" s="23" t="n">
        <f aca="false">BETAINV(C1497,Test1_Hand!$B$21,Test1_Hand!$B$22,Test1_Hand!$B$9,Test1_Hand!$B$11)</f>
        <v>3.55944050083319</v>
      </c>
      <c r="E1497" s="2" t="n">
        <f aca="false">IF(B1497&lt;Test1_Hand!$B$12,1,0)</f>
        <v>0</v>
      </c>
      <c r="F1497" s="23" t="n">
        <f aca="false">Test1_Hand!$B$4+E1497*D1497</f>
        <v>16</v>
      </c>
      <c r="G1497" s="24" t="n">
        <f aca="false">Test1_Hand!$B$6*E1497*D1497+Test1_Hand!$B$7*MAX(0,F1497-Test1_Hand!$B$5)</f>
        <v>0</v>
      </c>
      <c r="H1497" s="2" t="n">
        <f aca="false">IF(B1497&lt;Test1_Hand!$B$13,1,0)</f>
        <v>0</v>
      </c>
      <c r="I1497" s="23" t="n">
        <f aca="false">Test1_Hand!$B$4+H1497*D1497</f>
        <v>16</v>
      </c>
      <c r="J1497" s="24" t="n">
        <f aca="false">Test1_Hand!$B$6*H1497*D1497+Test1_Hand!$B$7*MAX(0,I1497-Test1_Hand!$B$5)+Test1_Hand!$B$14</f>
        <v>6000</v>
      </c>
    </row>
    <row r="1498" customFormat="false" ht="15" hidden="false" customHeight="false" outlineLevel="0" collapsed="false">
      <c r="A1498" s="2" t="n">
        <v>1486</v>
      </c>
      <c r="B1498" s="22" t="n">
        <v>0.223229826915778</v>
      </c>
      <c r="C1498" s="22" t="n">
        <v>0.14602464712905</v>
      </c>
      <c r="D1498" s="23" t="n">
        <f aca="false">BETAINV(C1498,Test1_Hand!$B$21,Test1_Hand!$B$22,Test1_Hand!$B$9,Test1_Hand!$B$11)</f>
        <v>2.1108541173656</v>
      </c>
      <c r="E1498" s="2" t="n">
        <f aca="false">IF(B1498&lt;Test1_Hand!$B$12,1,0)</f>
        <v>1</v>
      </c>
      <c r="F1498" s="23" t="n">
        <f aca="false">Test1_Hand!$B$4+E1498*D1498</f>
        <v>18.1108541173656</v>
      </c>
      <c r="G1498" s="24" t="n">
        <f aca="false">Test1_Hand!$B$6*E1498*D1498+Test1_Hand!$B$7*MAX(0,F1498-Test1_Hand!$B$5)</f>
        <v>16886.8329389248</v>
      </c>
      <c r="H1498" s="2" t="n">
        <f aca="false">IF(B1498&lt;Test1_Hand!$B$13,1,0)</f>
        <v>0</v>
      </c>
      <c r="I1498" s="23" t="n">
        <f aca="false">Test1_Hand!$B$4+H1498*D1498</f>
        <v>16</v>
      </c>
      <c r="J1498" s="24" t="n">
        <f aca="false">Test1_Hand!$B$6*H1498*D1498+Test1_Hand!$B$7*MAX(0,I1498-Test1_Hand!$B$5)+Test1_Hand!$B$14</f>
        <v>6000</v>
      </c>
    </row>
    <row r="1499" customFormat="false" ht="15" hidden="false" customHeight="false" outlineLevel="0" collapsed="false">
      <c r="A1499" s="2" t="n">
        <v>1487</v>
      </c>
      <c r="B1499" s="22" t="n">
        <v>0.638703521147358</v>
      </c>
      <c r="C1499" s="22" t="n">
        <v>0.461232179001796</v>
      </c>
      <c r="D1499" s="23" t="n">
        <f aca="false">BETAINV(C1499,Test1_Hand!$B$21,Test1_Hand!$B$22,Test1_Hand!$B$9,Test1_Hand!$B$11)</f>
        <v>3.24693346732361</v>
      </c>
      <c r="E1499" s="2" t="n">
        <f aca="false">IF(B1499&lt;Test1_Hand!$B$12,1,0)</f>
        <v>0</v>
      </c>
      <c r="F1499" s="23" t="n">
        <f aca="false">Test1_Hand!$B$4+E1499*D1499</f>
        <v>16</v>
      </c>
      <c r="G1499" s="24" t="n">
        <f aca="false">Test1_Hand!$B$6*E1499*D1499+Test1_Hand!$B$7*MAX(0,F1499-Test1_Hand!$B$5)</f>
        <v>0</v>
      </c>
      <c r="H1499" s="2" t="n">
        <f aca="false">IF(B1499&lt;Test1_Hand!$B$13,1,0)</f>
        <v>0</v>
      </c>
      <c r="I1499" s="23" t="n">
        <f aca="false">Test1_Hand!$B$4+H1499*D1499</f>
        <v>16</v>
      </c>
      <c r="J1499" s="24" t="n">
        <f aca="false">Test1_Hand!$B$6*H1499*D1499+Test1_Hand!$B$7*MAX(0,I1499-Test1_Hand!$B$5)+Test1_Hand!$B$14</f>
        <v>6000</v>
      </c>
    </row>
    <row r="1500" customFormat="false" ht="15" hidden="false" customHeight="false" outlineLevel="0" collapsed="false">
      <c r="A1500" s="2" t="n">
        <v>1488</v>
      </c>
      <c r="B1500" s="22" t="n">
        <v>0.437431229454794</v>
      </c>
      <c r="C1500" s="22" t="n">
        <v>0.357101142487815</v>
      </c>
      <c r="D1500" s="23" t="n">
        <f aca="false">BETAINV(C1500,Test1_Hand!$B$21,Test1_Hand!$B$22,Test1_Hand!$B$9,Test1_Hand!$B$11)</f>
        <v>2.88835410440084</v>
      </c>
      <c r="E1500" s="2" t="n">
        <f aca="false">IF(B1500&lt;Test1_Hand!$B$12,1,0)</f>
        <v>1</v>
      </c>
      <c r="F1500" s="23" t="n">
        <f aca="false">Test1_Hand!$B$4+E1500*D1500</f>
        <v>18.8883541044008</v>
      </c>
      <c r="G1500" s="24" t="n">
        <f aca="false">Test1_Hand!$B$6*E1500*D1500+Test1_Hand!$B$7*MAX(0,F1500-Test1_Hand!$B$5)</f>
        <v>23106.8328352067</v>
      </c>
      <c r="H1500" s="2" t="n">
        <f aca="false">IF(B1500&lt;Test1_Hand!$B$13,1,0)</f>
        <v>0</v>
      </c>
      <c r="I1500" s="23" t="n">
        <f aca="false">Test1_Hand!$B$4+H1500*D1500</f>
        <v>16</v>
      </c>
      <c r="J1500" s="24" t="n">
        <f aca="false">Test1_Hand!$B$6*H1500*D1500+Test1_Hand!$B$7*MAX(0,I1500-Test1_Hand!$B$5)+Test1_Hand!$B$14</f>
        <v>6000</v>
      </c>
    </row>
    <row r="1501" customFormat="false" ht="15" hidden="false" customHeight="false" outlineLevel="0" collapsed="false">
      <c r="A1501" s="2" t="n">
        <v>1489</v>
      </c>
      <c r="B1501" s="22" t="n">
        <v>0.210722104805012</v>
      </c>
      <c r="C1501" s="22" t="n">
        <v>0.940100054941264</v>
      </c>
      <c r="D1501" s="23" t="n">
        <f aca="false">BETAINV(C1501,Test1_Hand!$B$21,Test1_Hand!$B$22,Test1_Hand!$B$9,Test1_Hand!$B$11)</f>
        <v>5.65454546046081</v>
      </c>
      <c r="E1501" s="2" t="n">
        <f aca="false">IF(B1501&lt;Test1_Hand!$B$12,1,0)</f>
        <v>1</v>
      </c>
      <c r="F1501" s="23" t="n">
        <f aca="false">Test1_Hand!$B$4+E1501*D1501</f>
        <v>21.6545454604608</v>
      </c>
      <c r="G1501" s="24" t="n">
        <f aca="false">Test1_Hand!$B$6*E1501*D1501+Test1_Hand!$B$7*MAX(0,F1501-Test1_Hand!$B$5)</f>
        <v>53509.0909859905</v>
      </c>
      <c r="H1501" s="2" t="n">
        <f aca="false">IF(B1501&lt;Test1_Hand!$B$13,1,0)</f>
        <v>0</v>
      </c>
      <c r="I1501" s="23" t="n">
        <f aca="false">Test1_Hand!$B$4+H1501*D1501</f>
        <v>16</v>
      </c>
      <c r="J1501" s="24" t="n">
        <f aca="false">Test1_Hand!$B$6*H1501*D1501+Test1_Hand!$B$7*MAX(0,I1501-Test1_Hand!$B$5)+Test1_Hand!$B$14</f>
        <v>6000</v>
      </c>
    </row>
    <row r="1502" customFormat="false" ht="15" hidden="false" customHeight="false" outlineLevel="0" collapsed="false">
      <c r="A1502" s="2" t="n">
        <v>1490</v>
      </c>
      <c r="B1502" s="22" t="n">
        <v>0.59692261830799</v>
      </c>
      <c r="C1502" s="22" t="n">
        <v>0.126114347336044</v>
      </c>
      <c r="D1502" s="23" t="n">
        <f aca="false">BETAINV(C1502,Test1_Hand!$B$21,Test1_Hand!$B$22,Test1_Hand!$B$9,Test1_Hand!$B$11)</f>
        <v>2.02490976595793</v>
      </c>
      <c r="E1502" s="2" t="n">
        <f aca="false">IF(B1502&lt;Test1_Hand!$B$12,1,0)</f>
        <v>0</v>
      </c>
      <c r="F1502" s="23" t="n">
        <f aca="false">Test1_Hand!$B$4+E1502*D1502</f>
        <v>16</v>
      </c>
      <c r="G1502" s="24" t="n">
        <f aca="false">Test1_Hand!$B$6*E1502*D1502+Test1_Hand!$B$7*MAX(0,F1502-Test1_Hand!$B$5)</f>
        <v>0</v>
      </c>
      <c r="H1502" s="2" t="n">
        <f aca="false">IF(B1502&lt;Test1_Hand!$B$13,1,0)</f>
        <v>0</v>
      </c>
      <c r="I1502" s="23" t="n">
        <f aca="false">Test1_Hand!$B$4+H1502*D1502</f>
        <v>16</v>
      </c>
      <c r="J1502" s="24" t="n">
        <f aca="false">Test1_Hand!$B$6*H1502*D1502+Test1_Hand!$B$7*MAX(0,I1502-Test1_Hand!$B$5)+Test1_Hand!$B$14</f>
        <v>6000</v>
      </c>
    </row>
    <row r="1503" customFormat="false" ht="15" hidden="false" customHeight="false" outlineLevel="0" collapsed="false">
      <c r="A1503" s="2" t="n">
        <v>1491</v>
      </c>
      <c r="B1503" s="22" t="n">
        <v>0.484396407116024</v>
      </c>
      <c r="C1503" s="22" t="n">
        <v>0.30717945995393</v>
      </c>
      <c r="D1503" s="23" t="n">
        <f aca="false">BETAINV(C1503,Test1_Hand!$B$21,Test1_Hand!$B$22,Test1_Hand!$B$9,Test1_Hand!$B$11)</f>
        <v>2.71544860590372</v>
      </c>
      <c r="E1503" s="2" t="n">
        <f aca="false">IF(B1503&lt;Test1_Hand!$B$12,1,0)</f>
        <v>1</v>
      </c>
      <c r="F1503" s="23" t="n">
        <f aca="false">Test1_Hand!$B$4+E1503*D1503</f>
        <v>18.7154486059037</v>
      </c>
      <c r="G1503" s="24" t="n">
        <f aca="false">Test1_Hand!$B$6*E1503*D1503+Test1_Hand!$B$7*MAX(0,F1503-Test1_Hand!$B$5)</f>
        <v>21723.5888472297</v>
      </c>
      <c r="H1503" s="2" t="n">
        <f aca="false">IF(B1503&lt;Test1_Hand!$B$13,1,0)</f>
        <v>0</v>
      </c>
      <c r="I1503" s="23" t="n">
        <f aca="false">Test1_Hand!$B$4+H1503*D1503</f>
        <v>16</v>
      </c>
      <c r="J1503" s="24" t="n">
        <f aca="false">Test1_Hand!$B$6*H1503*D1503+Test1_Hand!$B$7*MAX(0,I1503-Test1_Hand!$B$5)+Test1_Hand!$B$14</f>
        <v>6000</v>
      </c>
    </row>
    <row r="1504" customFormat="false" ht="15" hidden="false" customHeight="false" outlineLevel="0" collapsed="false">
      <c r="A1504" s="2" t="n">
        <v>1492</v>
      </c>
      <c r="B1504" s="22" t="n">
        <v>0.388724965867281</v>
      </c>
      <c r="C1504" s="22" t="n">
        <v>0.803245586851881</v>
      </c>
      <c r="D1504" s="23" t="n">
        <f aca="false">BETAINV(C1504,Test1_Hand!$B$21,Test1_Hand!$B$22,Test1_Hand!$B$9,Test1_Hand!$B$11)</f>
        <v>4.64332835071058</v>
      </c>
      <c r="E1504" s="2" t="n">
        <f aca="false">IF(B1504&lt;Test1_Hand!$B$12,1,0)</f>
        <v>1</v>
      </c>
      <c r="F1504" s="23" t="n">
        <f aca="false">Test1_Hand!$B$4+E1504*D1504</f>
        <v>20.6433283507106</v>
      </c>
      <c r="G1504" s="24" t="n">
        <f aca="false">Test1_Hand!$B$6*E1504*D1504+Test1_Hand!$B$7*MAX(0,F1504-Test1_Hand!$B$5)</f>
        <v>40363.2685592376</v>
      </c>
      <c r="H1504" s="2" t="n">
        <f aca="false">IF(B1504&lt;Test1_Hand!$B$13,1,0)</f>
        <v>0</v>
      </c>
      <c r="I1504" s="23" t="n">
        <f aca="false">Test1_Hand!$B$4+H1504*D1504</f>
        <v>16</v>
      </c>
      <c r="J1504" s="24" t="n">
        <f aca="false">Test1_Hand!$B$6*H1504*D1504+Test1_Hand!$B$7*MAX(0,I1504-Test1_Hand!$B$5)+Test1_Hand!$B$14</f>
        <v>6000</v>
      </c>
    </row>
    <row r="1505" customFormat="false" ht="15" hidden="false" customHeight="false" outlineLevel="0" collapsed="false">
      <c r="A1505" s="2" t="n">
        <v>1493</v>
      </c>
      <c r="B1505" s="22" t="n">
        <v>0.972127574674573</v>
      </c>
      <c r="C1505" s="22" t="n">
        <v>0.515697077424475</v>
      </c>
      <c r="D1505" s="23" t="n">
        <f aca="false">BETAINV(C1505,Test1_Hand!$B$21,Test1_Hand!$B$22,Test1_Hand!$B$9,Test1_Hand!$B$11)</f>
        <v>3.43820299546696</v>
      </c>
      <c r="E1505" s="2" t="n">
        <f aca="false">IF(B1505&lt;Test1_Hand!$B$12,1,0)</f>
        <v>0</v>
      </c>
      <c r="F1505" s="23" t="n">
        <f aca="false">Test1_Hand!$B$4+E1505*D1505</f>
        <v>16</v>
      </c>
      <c r="G1505" s="24" t="n">
        <f aca="false">Test1_Hand!$B$6*E1505*D1505+Test1_Hand!$B$7*MAX(0,F1505-Test1_Hand!$B$5)</f>
        <v>0</v>
      </c>
      <c r="H1505" s="2" t="n">
        <f aca="false">IF(B1505&lt;Test1_Hand!$B$13,1,0)</f>
        <v>0</v>
      </c>
      <c r="I1505" s="23" t="n">
        <f aca="false">Test1_Hand!$B$4+H1505*D1505</f>
        <v>16</v>
      </c>
      <c r="J1505" s="24" t="n">
        <f aca="false">Test1_Hand!$B$6*H1505*D1505+Test1_Hand!$B$7*MAX(0,I1505-Test1_Hand!$B$5)+Test1_Hand!$B$14</f>
        <v>6000</v>
      </c>
    </row>
    <row r="1506" customFormat="false" ht="15" hidden="false" customHeight="false" outlineLevel="0" collapsed="false">
      <c r="A1506" s="2" t="n">
        <v>1494</v>
      </c>
      <c r="B1506" s="22" t="n">
        <v>0.172245275281155</v>
      </c>
      <c r="C1506" s="22" t="n">
        <v>0.757441826623722</v>
      </c>
      <c r="D1506" s="23" t="n">
        <f aca="false">BETAINV(C1506,Test1_Hand!$B$21,Test1_Hand!$B$22,Test1_Hand!$B$9,Test1_Hand!$B$11)</f>
        <v>4.41036911120513</v>
      </c>
      <c r="E1506" s="2" t="n">
        <f aca="false">IF(B1506&lt;Test1_Hand!$B$12,1,0)</f>
        <v>1</v>
      </c>
      <c r="F1506" s="23" t="n">
        <f aca="false">Test1_Hand!$B$4+E1506*D1506</f>
        <v>20.4103691112051</v>
      </c>
      <c r="G1506" s="24" t="n">
        <f aca="false">Test1_Hand!$B$6*E1506*D1506+Test1_Hand!$B$7*MAX(0,F1506-Test1_Hand!$B$5)</f>
        <v>37334.7984456667</v>
      </c>
      <c r="H1506" s="2" t="n">
        <f aca="false">IF(B1506&lt;Test1_Hand!$B$13,1,0)</f>
        <v>1</v>
      </c>
      <c r="I1506" s="23" t="n">
        <f aca="false">Test1_Hand!$B$4+H1506*D1506</f>
        <v>20.4103691112051</v>
      </c>
      <c r="J1506" s="24" t="n">
        <f aca="false">Test1_Hand!$B$6*H1506*D1506+Test1_Hand!$B$7*MAX(0,I1506-Test1_Hand!$B$5)+Test1_Hand!$B$14</f>
        <v>43334.7984456667</v>
      </c>
    </row>
    <row r="1507" customFormat="false" ht="15" hidden="false" customHeight="false" outlineLevel="0" collapsed="false">
      <c r="A1507" s="2" t="n">
        <v>1495</v>
      </c>
      <c r="B1507" s="22" t="n">
        <v>0.0226033197299511</v>
      </c>
      <c r="C1507" s="22" t="n">
        <v>0.634376681556361</v>
      </c>
      <c r="D1507" s="23" t="n">
        <f aca="false">BETAINV(C1507,Test1_Hand!$B$21,Test1_Hand!$B$22,Test1_Hand!$B$9,Test1_Hand!$B$11)</f>
        <v>3.87980551772721</v>
      </c>
      <c r="E1507" s="2" t="n">
        <f aca="false">IF(B1507&lt;Test1_Hand!$B$12,1,0)</f>
        <v>1</v>
      </c>
      <c r="F1507" s="23" t="n">
        <f aca="false">Test1_Hand!$B$4+E1507*D1507</f>
        <v>19.8798055177272</v>
      </c>
      <c r="G1507" s="24" t="n">
        <f aca="false">Test1_Hand!$B$6*E1507*D1507+Test1_Hand!$B$7*MAX(0,F1507-Test1_Hand!$B$5)</f>
        <v>31038.4441418177</v>
      </c>
      <c r="H1507" s="2" t="n">
        <f aca="false">IF(B1507&lt;Test1_Hand!$B$13,1,0)</f>
        <v>1</v>
      </c>
      <c r="I1507" s="23" t="n">
        <f aca="false">Test1_Hand!$B$4+H1507*D1507</f>
        <v>19.8798055177272</v>
      </c>
      <c r="J1507" s="24" t="n">
        <f aca="false">Test1_Hand!$B$6*H1507*D1507+Test1_Hand!$B$7*MAX(0,I1507-Test1_Hand!$B$5)+Test1_Hand!$B$14</f>
        <v>37038.4441418177</v>
      </c>
    </row>
    <row r="1508" customFormat="false" ht="15" hidden="false" customHeight="false" outlineLevel="0" collapsed="false">
      <c r="A1508" s="2" t="n">
        <v>1496</v>
      </c>
      <c r="B1508" s="22" t="n">
        <v>0.442777286911715</v>
      </c>
      <c r="C1508" s="22" t="n">
        <v>0.333187469981511</v>
      </c>
      <c r="D1508" s="23" t="n">
        <f aca="false">BETAINV(C1508,Test1_Hand!$B$21,Test1_Hand!$B$22,Test1_Hand!$B$9,Test1_Hand!$B$11)</f>
        <v>2.8058422688117</v>
      </c>
      <c r="E1508" s="2" t="n">
        <f aca="false">IF(B1508&lt;Test1_Hand!$B$12,1,0)</f>
        <v>1</v>
      </c>
      <c r="F1508" s="23" t="n">
        <f aca="false">Test1_Hand!$B$4+E1508*D1508</f>
        <v>18.8058422688117</v>
      </c>
      <c r="G1508" s="24" t="n">
        <f aca="false">Test1_Hand!$B$6*E1508*D1508+Test1_Hand!$B$7*MAX(0,F1508-Test1_Hand!$B$5)</f>
        <v>22446.7381504936</v>
      </c>
      <c r="H1508" s="2" t="n">
        <f aca="false">IF(B1508&lt;Test1_Hand!$B$13,1,0)</f>
        <v>0</v>
      </c>
      <c r="I1508" s="23" t="n">
        <f aca="false">Test1_Hand!$B$4+H1508*D1508</f>
        <v>16</v>
      </c>
      <c r="J1508" s="24" t="n">
        <f aca="false">Test1_Hand!$B$6*H1508*D1508+Test1_Hand!$B$7*MAX(0,I1508-Test1_Hand!$B$5)+Test1_Hand!$B$14</f>
        <v>6000</v>
      </c>
    </row>
    <row r="1509" customFormat="false" ht="15" hidden="false" customHeight="false" outlineLevel="0" collapsed="false">
      <c r="A1509" s="2" t="n">
        <v>1497</v>
      </c>
      <c r="B1509" s="22" t="n">
        <v>0.0489326345772272</v>
      </c>
      <c r="C1509" s="22" t="n">
        <v>0.278677833556406</v>
      </c>
      <c r="D1509" s="23" t="n">
        <f aca="false">BETAINV(C1509,Test1_Hand!$B$21,Test1_Hand!$B$22,Test1_Hand!$B$9,Test1_Hand!$B$11)</f>
        <v>2.61517737736151</v>
      </c>
      <c r="E1509" s="2" t="n">
        <f aca="false">IF(B1509&lt;Test1_Hand!$B$12,1,0)</f>
        <v>1</v>
      </c>
      <c r="F1509" s="23" t="n">
        <f aca="false">Test1_Hand!$B$4+E1509*D1509</f>
        <v>18.6151773773615</v>
      </c>
      <c r="G1509" s="24" t="n">
        <f aca="false">Test1_Hand!$B$6*E1509*D1509+Test1_Hand!$B$7*MAX(0,F1509-Test1_Hand!$B$5)</f>
        <v>20921.4190188921</v>
      </c>
      <c r="H1509" s="2" t="n">
        <f aca="false">IF(B1509&lt;Test1_Hand!$B$13,1,0)</f>
        <v>1</v>
      </c>
      <c r="I1509" s="23" t="n">
        <f aca="false">Test1_Hand!$B$4+H1509*D1509</f>
        <v>18.6151773773615</v>
      </c>
      <c r="J1509" s="24" t="n">
        <f aca="false">Test1_Hand!$B$6*H1509*D1509+Test1_Hand!$B$7*MAX(0,I1509-Test1_Hand!$B$5)+Test1_Hand!$B$14</f>
        <v>26921.4190188921</v>
      </c>
    </row>
    <row r="1510" customFormat="false" ht="15" hidden="false" customHeight="false" outlineLevel="0" collapsed="false">
      <c r="A1510" s="2" t="n">
        <v>1498</v>
      </c>
      <c r="B1510" s="22" t="n">
        <v>0.0784725571849002</v>
      </c>
      <c r="C1510" s="22" t="n">
        <v>0.780285704870826</v>
      </c>
      <c r="D1510" s="23" t="n">
        <f aca="false">BETAINV(C1510,Test1_Hand!$B$21,Test1_Hand!$B$22,Test1_Hand!$B$9,Test1_Hand!$B$11)</f>
        <v>4.5231769944188</v>
      </c>
      <c r="E1510" s="2" t="n">
        <f aca="false">IF(B1510&lt;Test1_Hand!$B$12,1,0)</f>
        <v>1</v>
      </c>
      <c r="F1510" s="23" t="n">
        <f aca="false">Test1_Hand!$B$4+E1510*D1510</f>
        <v>20.5231769944188</v>
      </c>
      <c r="G1510" s="24" t="n">
        <f aca="false">Test1_Hand!$B$6*E1510*D1510+Test1_Hand!$B$7*MAX(0,F1510-Test1_Hand!$B$5)</f>
        <v>38801.3009274444</v>
      </c>
      <c r="H1510" s="2" t="n">
        <f aca="false">IF(B1510&lt;Test1_Hand!$B$13,1,0)</f>
        <v>1</v>
      </c>
      <c r="I1510" s="23" t="n">
        <f aca="false">Test1_Hand!$B$4+H1510*D1510</f>
        <v>20.5231769944188</v>
      </c>
      <c r="J1510" s="24" t="n">
        <f aca="false">Test1_Hand!$B$6*H1510*D1510+Test1_Hand!$B$7*MAX(0,I1510-Test1_Hand!$B$5)+Test1_Hand!$B$14</f>
        <v>44801.3009274444</v>
      </c>
    </row>
    <row r="1511" customFormat="false" ht="15" hidden="false" customHeight="false" outlineLevel="0" collapsed="false">
      <c r="A1511" s="2" t="n">
        <v>1499</v>
      </c>
      <c r="B1511" s="22" t="n">
        <v>0.317025468163786</v>
      </c>
      <c r="C1511" s="22" t="n">
        <v>0.892762412893129</v>
      </c>
      <c r="D1511" s="23" t="n">
        <f aca="false">BETAINV(C1511,Test1_Hand!$B$21,Test1_Hand!$B$22,Test1_Hand!$B$9,Test1_Hand!$B$11)</f>
        <v>5.21503242790902</v>
      </c>
      <c r="E1511" s="2" t="n">
        <f aca="false">IF(B1511&lt;Test1_Hand!$B$12,1,0)</f>
        <v>1</v>
      </c>
      <c r="F1511" s="23" t="n">
        <f aca="false">Test1_Hand!$B$4+E1511*D1511</f>
        <v>21.215032427909</v>
      </c>
      <c r="G1511" s="24" t="n">
        <f aca="false">Test1_Hand!$B$6*E1511*D1511+Test1_Hand!$B$7*MAX(0,F1511-Test1_Hand!$B$5)</f>
        <v>47795.4215628172</v>
      </c>
      <c r="H1511" s="2" t="n">
        <f aca="false">IF(B1511&lt;Test1_Hand!$B$13,1,0)</f>
        <v>0</v>
      </c>
      <c r="I1511" s="23" t="n">
        <f aca="false">Test1_Hand!$B$4+H1511*D1511</f>
        <v>16</v>
      </c>
      <c r="J1511" s="24" t="n">
        <f aca="false">Test1_Hand!$B$6*H1511*D1511+Test1_Hand!$B$7*MAX(0,I1511-Test1_Hand!$B$5)+Test1_Hand!$B$14</f>
        <v>6000</v>
      </c>
    </row>
    <row r="1512" customFormat="false" ht="15" hidden="false" customHeight="false" outlineLevel="0" collapsed="false">
      <c r="A1512" s="2" t="n">
        <v>1500</v>
      </c>
      <c r="B1512" s="22" t="n">
        <v>0.744453907107162</v>
      </c>
      <c r="C1512" s="22" t="n">
        <v>0.775185950555249</v>
      </c>
      <c r="D1512" s="23" t="n">
        <f aca="false">BETAINV(C1512,Test1_Hand!$B$21,Test1_Hand!$B$22,Test1_Hand!$B$9,Test1_Hand!$B$11)</f>
        <v>4.49745587051338</v>
      </c>
      <c r="E1512" s="2" t="n">
        <f aca="false">IF(B1512&lt;Test1_Hand!$B$12,1,0)</f>
        <v>0</v>
      </c>
      <c r="F1512" s="23" t="n">
        <f aca="false">Test1_Hand!$B$4+E1512*D1512</f>
        <v>16</v>
      </c>
      <c r="G1512" s="24" t="n">
        <f aca="false">Test1_Hand!$B$6*E1512*D1512+Test1_Hand!$B$7*MAX(0,F1512-Test1_Hand!$B$5)</f>
        <v>0</v>
      </c>
      <c r="H1512" s="2" t="n">
        <f aca="false">IF(B1512&lt;Test1_Hand!$B$13,1,0)</f>
        <v>0</v>
      </c>
      <c r="I1512" s="23" t="n">
        <f aca="false">Test1_Hand!$B$4+H1512*D1512</f>
        <v>16</v>
      </c>
      <c r="J1512" s="24" t="n">
        <f aca="false">Test1_Hand!$B$6*H1512*D1512+Test1_Hand!$B$7*MAX(0,I1512-Test1_Hand!$B$5)+Test1_Hand!$B$14</f>
        <v>6000</v>
      </c>
    </row>
    <row r="1513" customFormat="false" ht="15" hidden="false" customHeight="false" outlineLevel="0" collapsed="false">
      <c r="A1513" s="2" t="n">
        <v>1501</v>
      </c>
      <c r="B1513" s="22" t="n">
        <v>0.99352144911192</v>
      </c>
      <c r="C1513" s="22" t="n">
        <v>0.986453058059654</v>
      </c>
      <c r="D1513" s="23" t="n">
        <f aca="false">BETAINV(C1513,Test1_Hand!$B$21,Test1_Hand!$B$22,Test1_Hand!$B$9,Test1_Hand!$B$11)</f>
        <v>6.45898837874516</v>
      </c>
      <c r="E1513" s="2" t="n">
        <f aca="false">IF(B1513&lt;Test1_Hand!$B$12,1,0)</f>
        <v>0</v>
      </c>
      <c r="F1513" s="23" t="n">
        <f aca="false">Test1_Hand!$B$4+E1513*D1513</f>
        <v>16</v>
      </c>
      <c r="G1513" s="24" t="n">
        <f aca="false">Test1_Hand!$B$6*E1513*D1513+Test1_Hand!$B$7*MAX(0,F1513-Test1_Hand!$B$5)</f>
        <v>0</v>
      </c>
      <c r="H1513" s="2" t="n">
        <f aca="false">IF(B1513&lt;Test1_Hand!$B$13,1,0)</f>
        <v>0</v>
      </c>
      <c r="I1513" s="23" t="n">
        <f aca="false">Test1_Hand!$B$4+H1513*D1513</f>
        <v>16</v>
      </c>
      <c r="J1513" s="24" t="n">
        <f aca="false">Test1_Hand!$B$6*H1513*D1513+Test1_Hand!$B$7*MAX(0,I1513-Test1_Hand!$B$5)+Test1_Hand!$B$14</f>
        <v>6000</v>
      </c>
    </row>
    <row r="1514" customFormat="false" ht="15" hidden="false" customHeight="false" outlineLevel="0" collapsed="false">
      <c r="A1514" s="2" t="n">
        <v>1502</v>
      </c>
      <c r="B1514" s="22" t="n">
        <v>0.642003152214474</v>
      </c>
      <c r="C1514" s="22" t="n">
        <v>0.503126871690589</v>
      </c>
      <c r="D1514" s="23" t="n">
        <f aca="false">BETAINV(C1514,Test1_Hand!$B$21,Test1_Hand!$B$22,Test1_Hand!$B$9,Test1_Hand!$B$11)</f>
        <v>3.39363095169237</v>
      </c>
      <c r="E1514" s="2" t="n">
        <f aca="false">IF(B1514&lt;Test1_Hand!$B$12,1,0)</f>
        <v>0</v>
      </c>
      <c r="F1514" s="23" t="n">
        <f aca="false">Test1_Hand!$B$4+E1514*D1514</f>
        <v>16</v>
      </c>
      <c r="G1514" s="24" t="n">
        <f aca="false">Test1_Hand!$B$6*E1514*D1514+Test1_Hand!$B$7*MAX(0,F1514-Test1_Hand!$B$5)</f>
        <v>0</v>
      </c>
      <c r="H1514" s="2" t="n">
        <f aca="false">IF(B1514&lt;Test1_Hand!$B$13,1,0)</f>
        <v>0</v>
      </c>
      <c r="I1514" s="23" t="n">
        <f aca="false">Test1_Hand!$B$4+H1514*D1514</f>
        <v>16</v>
      </c>
      <c r="J1514" s="24" t="n">
        <f aca="false">Test1_Hand!$B$6*H1514*D1514+Test1_Hand!$B$7*MAX(0,I1514-Test1_Hand!$B$5)+Test1_Hand!$B$14</f>
        <v>6000</v>
      </c>
    </row>
    <row r="1515" customFormat="false" ht="15" hidden="false" customHeight="false" outlineLevel="0" collapsed="false">
      <c r="A1515" s="2" t="n">
        <v>1503</v>
      </c>
      <c r="B1515" s="22" t="n">
        <v>0.476353127617637</v>
      </c>
      <c r="C1515" s="22" t="n">
        <v>0.607393557383529</v>
      </c>
      <c r="D1515" s="23" t="n">
        <f aca="false">BETAINV(C1515,Test1_Hand!$B$21,Test1_Hand!$B$22,Test1_Hand!$B$9,Test1_Hand!$B$11)</f>
        <v>3.77521345126657</v>
      </c>
      <c r="E1515" s="2" t="n">
        <f aca="false">IF(B1515&lt;Test1_Hand!$B$12,1,0)</f>
        <v>1</v>
      </c>
      <c r="F1515" s="23" t="n">
        <f aca="false">Test1_Hand!$B$4+E1515*D1515</f>
        <v>19.7752134512666</v>
      </c>
      <c r="G1515" s="24" t="n">
        <f aca="false">Test1_Hand!$B$6*E1515*D1515+Test1_Hand!$B$7*MAX(0,F1515-Test1_Hand!$B$5)</f>
        <v>30201.7076101325</v>
      </c>
      <c r="H1515" s="2" t="n">
        <f aca="false">IF(B1515&lt;Test1_Hand!$B$13,1,0)</f>
        <v>0</v>
      </c>
      <c r="I1515" s="23" t="n">
        <f aca="false">Test1_Hand!$B$4+H1515*D1515</f>
        <v>16</v>
      </c>
      <c r="J1515" s="24" t="n">
        <f aca="false">Test1_Hand!$B$6*H1515*D1515+Test1_Hand!$B$7*MAX(0,I1515-Test1_Hand!$B$5)+Test1_Hand!$B$14</f>
        <v>6000</v>
      </c>
    </row>
    <row r="1516" customFormat="false" ht="15" hidden="false" customHeight="false" outlineLevel="0" collapsed="false">
      <c r="A1516" s="2" t="n">
        <v>1504</v>
      </c>
      <c r="B1516" s="22" t="n">
        <v>0.450212809855587</v>
      </c>
      <c r="C1516" s="22" t="n">
        <v>0.253603236613945</v>
      </c>
      <c r="D1516" s="23" t="n">
        <f aca="false">BETAINV(C1516,Test1_Hand!$B$21,Test1_Hand!$B$22,Test1_Hand!$B$9,Test1_Hand!$B$11)</f>
        <v>2.52548051310308</v>
      </c>
      <c r="E1516" s="2" t="n">
        <f aca="false">IF(B1516&lt;Test1_Hand!$B$12,1,0)</f>
        <v>1</v>
      </c>
      <c r="F1516" s="23" t="n">
        <f aca="false">Test1_Hand!$B$4+E1516*D1516</f>
        <v>18.5254805131031</v>
      </c>
      <c r="G1516" s="24" t="n">
        <f aca="false">Test1_Hand!$B$6*E1516*D1516+Test1_Hand!$B$7*MAX(0,F1516-Test1_Hand!$B$5)</f>
        <v>20203.8441048246</v>
      </c>
      <c r="H1516" s="2" t="n">
        <f aca="false">IF(B1516&lt;Test1_Hand!$B$13,1,0)</f>
        <v>0</v>
      </c>
      <c r="I1516" s="23" t="n">
        <f aca="false">Test1_Hand!$B$4+H1516*D1516</f>
        <v>16</v>
      </c>
      <c r="J1516" s="24" t="n">
        <f aca="false">Test1_Hand!$B$6*H1516*D1516+Test1_Hand!$B$7*MAX(0,I1516-Test1_Hand!$B$5)+Test1_Hand!$B$14</f>
        <v>6000</v>
      </c>
    </row>
    <row r="1517" customFormat="false" ht="15" hidden="false" customHeight="false" outlineLevel="0" collapsed="false">
      <c r="A1517" s="2" t="n">
        <v>1505</v>
      </c>
      <c r="B1517" s="22" t="n">
        <v>0.426358923749442</v>
      </c>
      <c r="C1517" s="22" t="n">
        <v>0.859551562746063</v>
      </c>
      <c r="D1517" s="23" t="n">
        <f aca="false">BETAINV(C1517,Test1_Hand!$B$21,Test1_Hand!$B$22,Test1_Hand!$B$9,Test1_Hand!$B$11)</f>
        <v>4.97766681157201</v>
      </c>
      <c r="E1517" s="2" t="n">
        <f aca="false">IF(B1517&lt;Test1_Hand!$B$12,1,0)</f>
        <v>1</v>
      </c>
      <c r="F1517" s="23" t="n">
        <f aca="false">Test1_Hand!$B$4+E1517*D1517</f>
        <v>20.977666811572</v>
      </c>
      <c r="G1517" s="24" t="n">
        <f aca="false">Test1_Hand!$B$6*E1517*D1517+Test1_Hand!$B$7*MAX(0,F1517-Test1_Hand!$B$5)</f>
        <v>44709.6685504362</v>
      </c>
      <c r="H1517" s="2" t="n">
        <f aca="false">IF(B1517&lt;Test1_Hand!$B$13,1,0)</f>
        <v>0</v>
      </c>
      <c r="I1517" s="23" t="n">
        <f aca="false">Test1_Hand!$B$4+H1517*D1517</f>
        <v>16</v>
      </c>
      <c r="J1517" s="24" t="n">
        <f aca="false">Test1_Hand!$B$6*H1517*D1517+Test1_Hand!$B$7*MAX(0,I1517-Test1_Hand!$B$5)+Test1_Hand!$B$14</f>
        <v>6000</v>
      </c>
    </row>
    <row r="1518" customFormat="false" ht="15" hidden="false" customHeight="false" outlineLevel="0" collapsed="false">
      <c r="A1518" s="2" t="n">
        <v>1506</v>
      </c>
      <c r="B1518" s="22" t="n">
        <v>0.172970590725046</v>
      </c>
      <c r="C1518" s="22" t="n">
        <v>0.0515881677613557</v>
      </c>
      <c r="D1518" s="23" t="n">
        <f aca="false">BETAINV(C1518,Test1_Hand!$B$21,Test1_Hand!$B$22,Test1_Hand!$B$9,Test1_Hand!$B$11)</f>
        <v>1.64030725408609</v>
      </c>
      <c r="E1518" s="2" t="n">
        <f aca="false">IF(B1518&lt;Test1_Hand!$B$12,1,0)</f>
        <v>1</v>
      </c>
      <c r="F1518" s="23" t="n">
        <f aca="false">Test1_Hand!$B$4+E1518*D1518</f>
        <v>17.6403072540861</v>
      </c>
      <c r="G1518" s="24" t="n">
        <f aca="false">Test1_Hand!$B$6*E1518*D1518+Test1_Hand!$B$7*MAX(0,F1518-Test1_Hand!$B$5)</f>
        <v>13122.4580326887</v>
      </c>
      <c r="H1518" s="2" t="n">
        <f aca="false">IF(B1518&lt;Test1_Hand!$B$13,1,0)</f>
        <v>1</v>
      </c>
      <c r="I1518" s="23" t="n">
        <f aca="false">Test1_Hand!$B$4+H1518*D1518</f>
        <v>17.6403072540861</v>
      </c>
      <c r="J1518" s="24" t="n">
        <f aca="false">Test1_Hand!$B$6*H1518*D1518+Test1_Hand!$B$7*MAX(0,I1518-Test1_Hand!$B$5)+Test1_Hand!$B$14</f>
        <v>19122.4580326887</v>
      </c>
    </row>
    <row r="1519" customFormat="false" ht="15" hidden="false" customHeight="false" outlineLevel="0" collapsed="false">
      <c r="A1519" s="2" t="n">
        <v>1507</v>
      </c>
      <c r="B1519" s="22" t="n">
        <v>0.984188169138519</v>
      </c>
      <c r="C1519" s="22" t="n">
        <v>0.730588865271975</v>
      </c>
      <c r="D1519" s="23" t="n">
        <f aca="false">BETAINV(C1519,Test1_Hand!$B$21,Test1_Hand!$B$22,Test1_Hand!$B$9,Test1_Hand!$B$11)</f>
        <v>4.28483127567088</v>
      </c>
      <c r="E1519" s="2" t="n">
        <f aca="false">IF(B1519&lt;Test1_Hand!$B$12,1,0)</f>
        <v>0</v>
      </c>
      <c r="F1519" s="23" t="n">
        <f aca="false">Test1_Hand!$B$4+E1519*D1519</f>
        <v>16</v>
      </c>
      <c r="G1519" s="24" t="n">
        <f aca="false">Test1_Hand!$B$6*E1519*D1519+Test1_Hand!$B$7*MAX(0,F1519-Test1_Hand!$B$5)</f>
        <v>0</v>
      </c>
      <c r="H1519" s="2" t="n">
        <f aca="false">IF(B1519&lt;Test1_Hand!$B$13,1,0)</f>
        <v>0</v>
      </c>
      <c r="I1519" s="23" t="n">
        <f aca="false">Test1_Hand!$B$4+H1519*D1519</f>
        <v>16</v>
      </c>
      <c r="J1519" s="24" t="n">
        <f aca="false">Test1_Hand!$B$6*H1519*D1519+Test1_Hand!$B$7*MAX(0,I1519-Test1_Hand!$B$5)+Test1_Hand!$B$14</f>
        <v>6000</v>
      </c>
    </row>
    <row r="1520" customFormat="false" ht="15" hidden="false" customHeight="false" outlineLevel="0" collapsed="false">
      <c r="A1520" s="2" t="n">
        <v>1508</v>
      </c>
      <c r="B1520" s="22" t="n">
        <v>0.623372350505067</v>
      </c>
      <c r="C1520" s="22" t="n">
        <v>0.332175879143252</v>
      </c>
      <c r="D1520" s="23" t="n">
        <f aca="false">BETAINV(C1520,Test1_Hand!$B$21,Test1_Hand!$B$22,Test1_Hand!$B$9,Test1_Hand!$B$11)</f>
        <v>2.80234119906079</v>
      </c>
      <c r="E1520" s="2" t="n">
        <f aca="false">IF(B1520&lt;Test1_Hand!$B$12,1,0)</f>
        <v>0</v>
      </c>
      <c r="F1520" s="23" t="n">
        <f aca="false">Test1_Hand!$B$4+E1520*D1520</f>
        <v>16</v>
      </c>
      <c r="G1520" s="24" t="n">
        <f aca="false">Test1_Hand!$B$6*E1520*D1520+Test1_Hand!$B$7*MAX(0,F1520-Test1_Hand!$B$5)</f>
        <v>0</v>
      </c>
      <c r="H1520" s="2" t="n">
        <f aca="false">IF(B1520&lt;Test1_Hand!$B$13,1,0)</f>
        <v>0</v>
      </c>
      <c r="I1520" s="23" t="n">
        <f aca="false">Test1_Hand!$B$4+H1520*D1520</f>
        <v>16</v>
      </c>
      <c r="J1520" s="24" t="n">
        <f aca="false">Test1_Hand!$B$6*H1520*D1520+Test1_Hand!$B$7*MAX(0,I1520-Test1_Hand!$B$5)+Test1_Hand!$B$14</f>
        <v>6000</v>
      </c>
    </row>
    <row r="1521" customFormat="false" ht="15" hidden="false" customHeight="false" outlineLevel="0" collapsed="false">
      <c r="A1521" s="2" t="n">
        <v>1509</v>
      </c>
      <c r="B1521" s="22" t="n">
        <v>0.343168254499529</v>
      </c>
      <c r="C1521" s="22" t="n">
        <v>0.358896207771913</v>
      </c>
      <c r="D1521" s="23" t="n">
        <f aca="false">BETAINV(C1521,Test1_Hand!$B$21,Test1_Hand!$B$22,Test1_Hand!$B$9,Test1_Hand!$B$11)</f>
        <v>2.89453207674222</v>
      </c>
      <c r="E1521" s="2" t="n">
        <f aca="false">IF(B1521&lt;Test1_Hand!$B$12,1,0)</f>
        <v>1</v>
      </c>
      <c r="F1521" s="23" t="n">
        <f aca="false">Test1_Hand!$B$4+E1521*D1521</f>
        <v>18.8945320767422</v>
      </c>
      <c r="G1521" s="24" t="n">
        <f aca="false">Test1_Hand!$B$6*E1521*D1521+Test1_Hand!$B$7*MAX(0,F1521-Test1_Hand!$B$5)</f>
        <v>23156.2566139378</v>
      </c>
      <c r="H1521" s="2" t="n">
        <f aca="false">IF(B1521&lt;Test1_Hand!$B$13,1,0)</f>
        <v>0</v>
      </c>
      <c r="I1521" s="23" t="n">
        <f aca="false">Test1_Hand!$B$4+H1521*D1521</f>
        <v>16</v>
      </c>
      <c r="J1521" s="24" t="n">
        <f aca="false">Test1_Hand!$B$6*H1521*D1521+Test1_Hand!$B$7*MAX(0,I1521-Test1_Hand!$B$5)+Test1_Hand!$B$14</f>
        <v>6000</v>
      </c>
    </row>
    <row r="1522" customFormat="false" ht="15" hidden="false" customHeight="false" outlineLevel="0" collapsed="false">
      <c r="A1522" s="2" t="n">
        <v>1510</v>
      </c>
      <c r="B1522" s="22" t="n">
        <v>0.0174540573122318</v>
      </c>
      <c r="C1522" s="22" t="n">
        <v>0.676744171979142</v>
      </c>
      <c r="D1522" s="23" t="n">
        <f aca="false">BETAINV(C1522,Test1_Hand!$B$21,Test1_Hand!$B$22,Test1_Hand!$B$9,Test1_Hand!$B$11)</f>
        <v>4.05103152074762</v>
      </c>
      <c r="E1522" s="2" t="n">
        <f aca="false">IF(B1522&lt;Test1_Hand!$B$12,1,0)</f>
        <v>1</v>
      </c>
      <c r="F1522" s="23" t="n">
        <f aca="false">Test1_Hand!$B$4+E1522*D1522</f>
        <v>20.0510315207476</v>
      </c>
      <c r="G1522" s="24" t="n">
        <f aca="false">Test1_Hand!$B$6*E1522*D1522+Test1_Hand!$B$7*MAX(0,F1522-Test1_Hand!$B$5)</f>
        <v>32663.4097697191</v>
      </c>
      <c r="H1522" s="2" t="n">
        <f aca="false">IF(B1522&lt;Test1_Hand!$B$13,1,0)</f>
        <v>1</v>
      </c>
      <c r="I1522" s="23" t="n">
        <f aca="false">Test1_Hand!$B$4+H1522*D1522</f>
        <v>20.0510315207476</v>
      </c>
      <c r="J1522" s="24" t="n">
        <f aca="false">Test1_Hand!$B$6*H1522*D1522+Test1_Hand!$B$7*MAX(0,I1522-Test1_Hand!$B$5)+Test1_Hand!$B$14</f>
        <v>38663.4097697191</v>
      </c>
    </row>
    <row r="1523" customFormat="false" ht="15" hidden="false" customHeight="false" outlineLevel="0" collapsed="false">
      <c r="A1523" s="2" t="n">
        <v>1511</v>
      </c>
      <c r="B1523" s="22" t="n">
        <v>0.24713515334231</v>
      </c>
      <c r="C1523" s="22" t="n">
        <v>0.866461983554821</v>
      </c>
      <c r="D1523" s="23" t="n">
        <f aca="false">BETAINV(C1523,Test1_Hand!$B$21,Test1_Hand!$B$22,Test1_Hand!$B$9,Test1_Hand!$B$11)</f>
        <v>5.02393386038377</v>
      </c>
      <c r="E1523" s="2" t="n">
        <f aca="false">IF(B1523&lt;Test1_Hand!$B$12,1,0)</f>
        <v>1</v>
      </c>
      <c r="F1523" s="23" t="n">
        <f aca="false">Test1_Hand!$B$4+E1523*D1523</f>
        <v>21.0239338603838</v>
      </c>
      <c r="G1523" s="24" t="n">
        <f aca="false">Test1_Hand!$B$6*E1523*D1523+Test1_Hand!$B$7*MAX(0,F1523-Test1_Hand!$B$5)</f>
        <v>45311.140184989</v>
      </c>
      <c r="H1523" s="2" t="n">
        <f aca="false">IF(B1523&lt;Test1_Hand!$B$13,1,0)</f>
        <v>0</v>
      </c>
      <c r="I1523" s="23" t="n">
        <f aca="false">Test1_Hand!$B$4+H1523*D1523</f>
        <v>16</v>
      </c>
      <c r="J1523" s="24" t="n">
        <f aca="false">Test1_Hand!$B$6*H1523*D1523+Test1_Hand!$B$7*MAX(0,I1523-Test1_Hand!$B$5)+Test1_Hand!$B$14</f>
        <v>6000</v>
      </c>
    </row>
    <row r="1524" customFormat="false" ht="15" hidden="false" customHeight="false" outlineLevel="0" collapsed="false">
      <c r="A1524" s="2" t="n">
        <v>1512</v>
      </c>
      <c r="B1524" s="22" t="n">
        <v>0.966636764953229</v>
      </c>
      <c r="C1524" s="22" t="n">
        <v>0.56235696873394</v>
      </c>
      <c r="D1524" s="23" t="n">
        <f aca="false">BETAINV(C1524,Test1_Hand!$B$21,Test1_Hand!$B$22,Test1_Hand!$B$9,Test1_Hand!$B$11)</f>
        <v>3.6066874145524</v>
      </c>
      <c r="E1524" s="2" t="n">
        <f aca="false">IF(B1524&lt;Test1_Hand!$B$12,1,0)</f>
        <v>0</v>
      </c>
      <c r="F1524" s="23" t="n">
        <f aca="false">Test1_Hand!$B$4+E1524*D1524</f>
        <v>16</v>
      </c>
      <c r="G1524" s="24" t="n">
        <f aca="false">Test1_Hand!$B$6*E1524*D1524+Test1_Hand!$B$7*MAX(0,F1524-Test1_Hand!$B$5)</f>
        <v>0</v>
      </c>
      <c r="H1524" s="2" t="n">
        <f aca="false">IF(B1524&lt;Test1_Hand!$B$13,1,0)</f>
        <v>0</v>
      </c>
      <c r="I1524" s="23" t="n">
        <f aca="false">Test1_Hand!$B$4+H1524*D1524</f>
        <v>16</v>
      </c>
      <c r="J1524" s="24" t="n">
        <f aca="false">Test1_Hand!$B$6*H1524*D1524+Test1_Hand!$B$7*MAX(0,I1524-Test1_Hand!$B$5)+Test1_Hand!$B$14</f>
        <v>6000</v>
      </c>
    </row>
    <row r="1525" customFormat="false" ht="15" hidden="false" customHeight="false" outlineLevel="0" collapsed="false">
      <c r="A1525" s="2" t="n">
        <v>1513</v>
      </c>
      <c r="B1525" s="22" t="n">
        <v>0.295100709941069</v>
      </c>
      <c r="C1525" s="22" t="n">
        <v>0.684662729406912</v>
      </c>
      <c r="D1525" s="23" t="n">
        <f aca="false">BETAINV(C1525,Test1_Hand!$B$21,Test1_Hand!$B$22,Test1_Hand!$B$9,Test1_Hand!$B$11)</f>
        <v>4.08415186585954</v>
      </c>
      <c r="E1525" s="2" t="n">
        <f aca="false">IF(B1525&lt;Test1_Hand!$B$12,1,0)</f>
        <v>1</v>
      </c>
      <c r="F1525" s="23" t="n">
        <f aca="false">Test1_Hand!$B$4+E1525*D1525</f>
        <v>20.0841518658595</v>
      </c>
      <c r="G1525" s="24" t="n">
        <f aca="false">Test1_Hand!$B$6*E1525*D1525+Test1_Hand!$B$7*MAX(0,F1525-Test1_Hand!$B$5)</f>
        <v>33093.974256174</v>
      </c>
      <c r="H1525" s="2" t="n">
        <f aca="false">IF(B1525&lt;Test1_Hand!$B$13,1,0)</f>
        <v>0</v>
      </c>
      <c r="I1525" s="23" t="n">
        <f aca="false">Test1_Hand!$B$4+H1525*D1525</f>
        <v>16</v>
      </c>
      <c r="J1525" s="24" t="n">
        <f aca="false">Test1_Hand!$B$6*H1525*D1525+Test1_Hand!$B$7*MAX(0,I1525-Test1_Hand!$B$5)+Test1_Hand!$B$14</f>
        <v>6000</v>
      </c>
    </row>
    <row r="1526" customFormat="false" ht="15" hidden="false" customHeight="false" outlineLevel="0" collapsed="false">
      <c r="A1526" s="2" t="n">
        <v>1514</v>
      </c>
      <c r="B1526" s="22" t="n">
        <v>0.16782515577249</v>
      </c>
      <c r="C1526" s="22" t="n">
        <v>0.77459285307701</v>
      </c>
      <c r="D1526" s="23" t="n">
        <f aca="false">BETAINV(C1526,Test1_Hand!$B$21,Test1_Hand!$B$22,Test1_Hand!$B$9,Test1_Hand!$B$11)</f>
        <v>4.49448551927822</v>
      </c>
      <c r="E1526" s="2" t="n">
        <f aca="false">IF(B1526&lt;Test1_Hand!$B$12,1,0)</f>
        <v>1</v>
      </c>
      <c r="F1526" s="23" t="n">
        <f aca="false">Test1_Hand!$B$4+E1526*D1526</f>
        <v>20.4944855192782</v>
      </c>
      <c r="G1526" s="24" t="n">
        <f aca="false">Test1_Hand!$B$6*E1526*D1526+Test1_Hand!$B$7*MAX(0,F1526-Test1_Hand!$B$5)</f>
        <v>38428.3117506169</v>
      </c>
      <c r="H1526" s="2" t="n">
        <f aca="false">IF(B1526&lt;Test1_Hand!$B$13,1,0)</f>
        <v>1</v>
      </c>
      <c r="I1526" s="23" t="n">
        <f aca="false">Test1_Hand!$B$4+H1526*D1526</f>
        <v>20.4944855192782</v>
      </c>
      <c r="J1526" s="24" t="n">
        <f aca="false">Test1_Hand!$B$6*H1526*D1526+Test1_Hand!$B$7*MAX(0,I1526-Test1_Hand!$B$5)+Test1_Hand!$B$14</f>
        <v>44428.3117506169</v>
      </c>
    </row>
    <row r="1527" customFormat="false" ht="15" hidden="false" customHeight="false" outlineLevel="0" collapsed="false">
      <c r="A1527" s="2" t="n">
        <v>1515</v>
      </c>
      <c r="B1527" s="22" t="n">
        <v>0.754895848836961</v>
      </c>
      <c r="C1527" s="22" t="n">
        <v>0.862218510236041</v>
      </c>
      <c r="D1527" s="23" t="n">
        <f aca="false">BETAINV(C1527,Test1_Hand!$B$21,Test1_Hand!$B$22,Test1_Hand!$B$9,Test1_Hand!$B$11)</f>
        <v>4.99535411319608</v>
      </c>
      <c r="E1527" s="2" t="n">
        <f aca="false">IF(B1527&lt;Test1_Hand!$B$12,1,0)</f>
        <v>0</v>
      </c>
      <c r="F1527" s="23" t="n">
        <f aca="false">Test1_Hand!$B$4+E1527*D1527</f>
        <v>16</v>
      </c>
      <c r="G1527" s="24" t="n">
        <f aca="false">Test1_Hand!$B$6*E1527*D1527+Test1_Hand!$B$7*MAX(0,F1527-Test1_Hand!$B$5)</f>
        <v>0</v>
      </c>
      <c r="H1527" s="2" t="n">
        <f aca="false">IF(B1527&lt;Test1_Hand!$B$13,1,0)</f>
        <v>0</v>
      </c>
      <c r="I1527" s="23" t="n">
        <f aca="false">Test1_Hand!$B$4+H1527*D1527</f>
        <v>16</v>
      </c>
      <c r="J1527" s="24" t="n">
        <f aca="false">Test1_Hand!$B$6*H1527*D1527+Test1_Hand!$B$7*MAX(0,I1527-Test1_Hand!$B$5)+Test1_Hand!$B$14</f>
        <v>6000</v>
      </c>
    </row>
    <row r="1528" customFormat="false" ht="15" hidden="false" customHeight="false" outlineLevel="0" collapsed="false">
      <c r="A1528" s="2" t="n">
        <v>1516</v>
      </c>
      <c r="B1528" s="22" t="n">
        <v>0.060112509131556</v>
      </c>
      <c r="C1528" s="22" t="n">
        <v>0.488097141929414</v>
      </c>
      <c r="D1528" s="23" t="n">
        <f aca="false">BETAINV(C1528,Test1_Hand!$B$21,Test1_Hand!$B$22,Test1_Hand!$B$9,Test1_Hand!$B$11)</f>
        <v>3.34070507146689</v>
      </c>
      <c r="E1528" s="2" t="n">
        <f aca="false">IF(B1528&lt;Test1_Hand!$B$12,1,0)</f>
        <v>1</v>
      </c>
      <c r="F1528" s="23" t="n">
        <f aca="false">Test1_Hand!$B$4+E1528*D1528</f>
        <v>19.3407050714669</v>
      </c>
      <c r="G1528" s="24" t="n">
        <f aca="false">Test1_Hand!$B$6*E1528*D1528+Test1_Hand!$B$7*MAX(0,F1528-Test1_Hand!$B$5)</f>
        <v>26725.6405717351</v>
      </c>
      <c r="H1528" s="2" t="n">
        <f aca="false">IF(B1528&lt;Test1_Hand!$B$13,1,0)</f>
        <v>1</v>
      </c>
      <c r="I1528" s="23" t="n">
        <f aca="false">Test1_Hand!$B$4+H1528*D1528</f>
        <v>19.3407050714669</v>
      </c>
      <c r="J1528" s="24" t="n">
        <f aca="false">Test1_Hand!$B$6*H1528*D1528+Test1_Hand!$B$7*MAX(0,I1528-Test1_Hand!$B$5)+Test1_Hand!$B$14</f>
        <v>32725.6405717351</v>
      </c>
    </row>
    <row r="1529" customFormat="false" ht="15" hidden="false" customHeight="false" outlineLevel="0" collapsed="false">
      <c r="A1529" s="2" t="n">
        <v>1517</v>
      </c>
      <c r="B1529" s="22" t="n">
        <v>0.881754576289891</v>
      </c>
      <c r="C1529" s="22" t="n">
        <v>0.474444852995594</v>
      </c>
      <c r="D1529" s="23" t="n">
        <f aca="false">BETAINV(C1529,Test1_Hand!$B$21,Test1_Hand!$B$22,Test1_Hand!$B$9,Test1_Hand!$B$11)</f>
        <v>3.29293255780623</v>
      </c>
      <c r="E1529" s="2" t="n">
        <f aca="false">IF(B1529&lt;Test1_Hand!$B$12,1,0)</f>
        <v>0</v>
      </c>
      <c r="F1529" s="23" t="n">
        <f aca="false">Test1_Hand!$B$4+E1529*D1529</f>
        <v>16</v>
      </c>
      <c r="G1529" s="24" t="n">
        <f aca="false">Test1_Hand!$B$6*E1529*D1529+Test1_Hand!$B$7*MAX(0,F1529-Test1_Hand!$B$5)</f>
        <v>0</v>
      </c>
      <c r="H1529" s="2" t="n">
        <f aca="false">IF(B1529&lt;Test1_Hand!$B$13,1,0)</f>
        <v>0</v>
      </c>
      <c r="I1529" s="23" t="n">
        <f aca="false">Test1_Hand!$B$4+H1529*D1529</f>
        <v>16</v>
      </c>
      <c r="J1529" s="24" t="n">
        <f aca="false">Test1_Hand!$B$6*H1529*D1529+Test1_Hand!$B$7*MAX(0,I1529-Test1_Hand!$B$5)+Test1_Hand!$B$14</f>
        <v>6000</v>
      </c>
    </row>
    <row r="1530" customFormat="false" ht="15" hidden="false" customHeight="false" outlineLevel="0" collapsed="false">
      <c r="A1530" s="2" t="n">
        <v>1518</v>
      </c>
      <c r="B1530" s="22" t="n">
        <v>0.488904383779682</v>
      </c>
      <c r="C1530" s="22" t="n">
        <v>0.371912939144766</v>
      </c>
      <c r="D1530" s="23" t="n">
        <f aca="false">BETAINV(C1530,Test1_Hand!$B$21,Test1_Hand!$B$22,Test1_Hand!$B$9,Test1_Hand!$B$11)</f>
        <v>2.93928749573203</v>
      </c>
      <c r="E1530" s="2" t="n">
        <f aca="false">IF(B1530&lt;Test1_Hand!$B$12,1,0)</f>
        <v>1</v>
      </c>
      <c r="F1530" s="23" t="n">
        <f aca="false">Test1_Hand!$B$4+E1530*D1530</f>
        <v>18.939287495732</v>
      </c>
      <c r="G1530" s="24" t="n">
        <f aca="false">Test1_Hand!$B$6*E1530*D1530+Test1_Hand!$B$7*MAX(0,F1530-Test1_Hand!$B$5)</f>
        <v>23514.2999658562</v>
      </c>
      <c r="H1530" s="2" t="n">
        <f aca="false">IF(B1530&lt;Test1_Hand!$B$13,1,0)</f>
        <v>0</v>
      </c>
      <c r="I1530" s="23" t="n">
        <f aca="false">Test1_Hand!$B$4+H1530*D1530</f>
        <v>16</v>
      </c>
      <c r="J1530" s="24" t="n">
        <f aca="false">Test1_Hand!$B$6*H1530*D1530+Test1_Hand!$B$7*MAX(0,I1530-Test1_Hand!$B$5)+Test1_Hand!$B$14</f>
        <v>6000</v>
      </c>
    </row>
    <row r="1531" customFormat="false" ht="15" hidden="false" customHeight="false" outlineLevel="0" collapsed="false">
      <c r="A1531" s="2" t="n">
        <v>1519</v>
      </c>
      <c r="B1531" s="22" t="n">
        <v>0.879322269468116</v>
      </c>
      <c r="C1531" s="22" t="n">
        <v>0.748977442090678</v>
      </c>
      <c r="D1531" s="23" t="n">
        <f aca="false">BETAINV(C1531,Test1_Hand!$B$21,Test1_Hand!$B$22,Test1_Hand!$B$9,Test1_Hand!$B$11)</f>
        <v>4.37003907914785</v>
      </c>
      <c r="E1531" s="2" t="n">
        <f aca="false">IF(B1531&lt;Test1_Hand!$B$12,1,0)</f>
        <v>0</v>
      </c>
      <c r="F1531" s="23" t="n">
        <f aca="false">Test1_Hand!$B$4+E1531*D1531</f>
        <v>16</v>
      </c>
      <c r="G1531" s="24" t="n">
        <f aca="false">Test1_Hand!$B$6*E1531*D1531+Test1_Hand!$B$7*MAX(0,F1531-Test1_Hand!$B$5)</f>
        <v>0</v>
      </c>
      <c r="H1531" s="2" t="n">
        <f aca="false">IF(B1531&lt;Test1_Hand!$B$13,1,0)</f>
        <v>0</v>
      </c>
      <c r="I1531" s="23" t="n">
        <f aca="false">Test1_Hand!$B$4+H1531*D1531</f>
        <v>16</v>
      </c>
      <c r="J1531" s="24" t="n">
        <f aca="false">Test1_Hand!$B$6*H1531*D1531+Test1_Hand!$B$7*MAX(0,I1531-Test1_Hand!$B$5)+Test1_Hand!$B$14</f>
        <v>6000</v>
      </c>
    </row>
    <row r="1532" customFormat="false" ht="15" hidden="false" customHeight="false" outlineLevel="0" collapsed="false">
      <c r="A1532" s="2" t="n">
        <v>1520</v>
      </c>
      <c r="B1532" s="22" t="n">
        <v>0.537702736052379</v>
      </c>
      <c r="C1532" s="22" t="n">
        <v>0.231161202498292</v>
      </c>
      <c r="D1532" s="23" t="n">
        <f aca="false">BETAINV(C1532,Test1_Hand!$B$21,Test1_Hand!$B$22,Test1_Hand!$B$9,Test1_Hand!$B$11)</f>
        <v>2.44362894311936</v>
      </c>
      <c r="E1532" s="2" t="n">
        <f aca="false">IF(B1532&lt;Test1_Hand!$B$12,1,0)</f>
        <v>0</v>
      </c>
      <c r="F1532" s="23" t="n">
        <f aca="false">Test1_Hand!$B$4+E1532*D1532</f>
        <v>16</v>
      </c>
      <c r="G1532" s="24" t="n">
        <f aca="false">Test1_Hand!$B$6*E1532*D1532+Test1_Hand!$B$7*MAX(0,F1532-Test1_Hand!$B$5)</f>
        <v>0</v>
      </c>
      <c r="H1532" s="2" t="n">
        <f aca="false">IF(B1532&lt;Test1_Hand!$B$13,1,0)</f>
        <v>0</v>
      </c>
      <c r="I1532" s="23" t="n">
        <f aca="false">Test1_Hand!$B$4+H1532*D1532</f>
        <v>16</v>
      </c>
      <c r="J1532" s="24" t="n">
        <f aca="false">Test1_Hand!$B$6*H1532*D1532+Test1_Hand!$B$7*MAX(0,I1532-Test1_Hand!$B$5)+Test1_Hand!$B$14</f>
        <v>6000</v>
      </c>
    </row>
    <row r="1533" customFormat="false" ht="15" hidden="false" customHeight="false" outlineLevel="0" collapsed="false">
      <c r="A1533" s="2" t="n">
        <v>1521</v>
      </c>
      <c r="B1533" s="22" t="n">
        <v>0.602043170130256</v>
      </c>
      <c r="C1533" s="22" t="n">
        <v>0.301928539757276</v>
      </c>
      <c r="D1533" s="23" t="n">
        <f aca="false">BETAINV(C1533,Test1_Hand!$B$21,Test1_Hand!$B$22,Test1_Hand!$B$9,Test1_Hand!$B$11)</f>
        <v>2.69708490970508</v>
      </c>
      <c r="E1533" s="2" t="n">
        <f aca="false">IF(B1533&lt;Test1_Hand!$B$12,1,0)</f>
        <v>0</v>
      </c>
      <c r="F1533" s="23" t="n">
        <f aca="false">Test1_Hand!$B$4+E1533*D1533</f>
        <v>16</v>
      </c>
      <c r="G1533" s="24" t="n">
        <f aca="false">Test1_Hand!$B$6*E1533*D1533+Test1_Hand!$B$7*MAX(0,F1533-Test1_Hand!$B$5)</f>
        <v>0</v>
      </c>
      <c r="H1533" s="2" t="n">
        <f aca="false">IF(B1533&lt;Test1_Hand!$B$13,1,0)</f>
        <v>0</v>
      </c>
      <c r="I1533" s="23" t="n">
        <f aca="false">Test1_Hand!$B$4+H1533*D1533</f>
        <v>16</v>
      </c>
      <c r="J1533" s="24" t="n">
        <f aca="false">Test1_Hand!$B$6*H1533*D1533+Test1_Hand!$B$7*MAX(0,I1533-Test1_Hand!$B$5)+Test1_Hand!$B$14</f>
        <v>6000</v>
      </c>
    </row>
    <row r="1534" customFormat="false" ht="15" hidden="false" customHeight="false" outlineLevel="0" collapsed="false">
      <c r="A1534" s="2" t="n">
        <v>1522</v>
      </c>
      <c r="B1534" s="22" t="n">
        <v>0.152169039581762</v>
      </c>
      <c r="C1534" s="22" t="n">
        <v>0.107436179015891</v>
      </c>
      <c r="D1534" s="23" t="n">
        <f aca="false">BETAINV(C1534,Test1_Hand!$B$21,Test1_Hand!$B$22,Test1_Hand!$B$9,Test1_Hand!$B$11)</f>
        <v>1.93976541275529</v>
      </c>
      <c r="E1534" s="2" t="n">
        <f aca="false">IF(B1534&lt;Test1_Hand!$B$12,1,0)</f>
        <v>1</v>
      </c>
      <c r="F1534" s="23" t="n">
        <f aca="false">Test1_Hand!$B$4+E1534*D1534</f>
        <v>17.9397654127553</v>
      </c>
      <c r="G1534" s="24" t="n">
        <f aca="false">Test1_Hand!$B$6*E1534*D1534+Test1_Hand!$B$7*MAX(0,F1534-Test1_Hand!$B$5)</f>
        <v>15518.1233020423</v>
      </c>
      <c r="H1534" s="2" t="n">
        <f aca="false">IF(B1534&lt;Test1_Hand!$B$13,1,0)</f>
        <v>1</v>
      </c>
      <c r="I1534" s="23" t="n">
        <f aca="false">Test1_Hand!$B$4+H1534*D1534</f>
        <v>17.9397654127553</v>
      </c>
      <c r="J1534" s="24" t="n">
        <f aca="false">Test1_Hand!$B$6*H1534*D1534+Test1_Hand!$B$7*MAX(0,I1534-Test1_Hand!$B$5)+Test1_Hand!$B$14</f>
        <v>21518.1233020423</v>
      </c>
    </row>
    <row r="1535" customFormat="false" ht="15" hidden="false" customHeight="false" outlineLevel="0" collapsed="false">
      <c r="A1535" s="2" t="n">
        <v>1523</v>
      </c>
      <c r="B1535" s="22" t="n">
        <v>0.888842285942032</v>
      </c>
      <c r="C1535" s="22" t="n">
        <v>0.536343057927768</v>
      </c>
      <c r="D1535" s="23" t="n">
        <f aca="false">BETAINV(C1535,Test1_Hand!$B$21,Test1_Hand!$B$22,Test1_Hand!$B$9,Test1_Hand!$B$11)</f>
        <v>3.51211076796115</v>
      </c>
      <c r="E1535" s="2" t="n">
        <f aca="false">IF(B1535&lt;Test1_Hand!$B$12,1,0)</f>
        <v>0</v>
      </c>
      <c r="F1535" s="23" t="n">
        <f aca="false">Test1_Hand!$B$4+E1535*D1535</f>
        <v>16</v>
      </c>
      <c r="G1535" s="24" t="n">
        <f aca="false">Test1_Hand!$B$6*E1535*D1535+Test1_Hand!$B$7*MAX(0,F1535-Test1_Hand!$B$5)</f>
        <v>0</v>
      </c>
      <c r="H1535" s="2" t="n">
        <f aca="false">IF(B1535&lt;Test1_Hand!$B$13,1,0)</f>
        <v>0</v>
      </c>
      <c r="I1535" s="23" t="n">
        <f aca="false">Test1_Hand!$B$4+H1535*D1535</f>
        <v>16</v>
      </c>
      <c r="J1535" s="24" t="n">
        <f aca="false">Test1_Hand!$B$6*H1535*D1535+Test1_Hand!$B$7*MAX(0,I1535-Test1_Hand!$B$5)+Test1_Hand!$B$14</f>
        <v>6000</v>
      </c>
    </row>
    <row r="1536" customFormat="false" ht="15" hidden="false" customHeight="false" outlineLevel="0" collapsed="false">
      <c r="A1536" s="2" t="n">
        <v>1524</v>
      </c>
      <c r="B1536" s="22" t="n">
        <v>0.454700140374255</v>
      </c>
      <c r="C1536" s="22" t="n">
        <v>0.867817662563255</v>
      </c>
      <c r="D1536" s="23" t="n">
        <f aca="false">BETAINV(C1536,Test1_Hand!$B$21,Test1_Hand!$B$22,Test1_Hand!$B$9,Test1_Hand!$B$11)</f>
        <v>5.03318152197482</v>
      </c>
      <c r="E1536" s="2" t="n">
        <f aca="false">IF(B1536&lt;Test1_Hand!$B$12,1,0)</f>
        <v>1</v>
      </c>
      <c r="F1536" s="23" t="n">
        <f aca="false">Test1_Hand!$B$4+E1536*D1536</f>
        <v>21.0331815219748</v>
      </c>
      <c r="G1536" s="24" t="n">
        <f aca="false">Test1_Hand!$B$6*E1536*D1536+Test1_Hand!$B$7*MAX(0,F1536-Test1_Hand!$B$5)</f>
        <v>45431.3597856727</v>
      </c>
      <c r="H1536" s="2" t="n">
        <f aca="false">IF(B1536&lt;Test1_Hand!$B$13,1,0)</f>
        <v>0</v>
      </c>
      <c r="I1536" s="23" t="n">
        <f aca="false">Test1_Hand!$B$4+H1536*D1536</f>
        <v>16</v>
      </c>
      <c r="J1536" s="24" t="n">
        <f aca="false">Test1_Hand!$B$6*H1536*D1536+Test1_Hand!$B$7*MAX(0,I1536-Test1_Hand!$B$5)+Test1_Hand!$B$14</f>
        <v>6000</v>
      </c>
    </row>
    <row r="1537" customFormat="false" ht="15" hidden="false" customHeight="false" outlineLevel="0" collapsed="false">
      <c r="A1537" s="2" t="n">
        <v>1525</v>
      </c>
      <c r="B1537" s="22" t="n">
        <v>0.874604366163193</v>
      </c>
      <c r="C1537" s="22" t="n">
        <v>0.686028863930837</v>
      </c>
      <c r="D1537" s="23" t="n">
        <f aca="false">BETAINV(C1537,Test1_Hand!$B$21,Test1_Hand!$B$22,Test1_Hand!$B$9,Test1_Hand!$B$11)</f>
        <v>4.08990563180248</v>
      </c>
      <c r="E1537" s="2" t="n">
        <f aca="false">IF(B1537&lt;Test1_Hand!$B$12,1,0)</f>
        <v>0</v>
      </c>
      <c r="F1537" s="23" t="n">
        <f aca="false">Test1_Hand!$B$4+E1537*D1537</f>
        <v>16</v>
      </c>
      <c r="G1537" s="24" t="n">
        <f aca="false">Test1_Hand!$B$6*E1537*D1537+Test1_Hand!$B$7*MAX(0,F1537-Test1_Hand!$B$5)</f>
        <v>0</v>
      </c>
      <c r="H1537" s="2" t="n">
        <f aca="false">IF(B1537&lt;Test1_Hand!$B$13,1,0)</f>
        <v>0</v>
      </c>
      <c r="I1537" s="23" t="n">
        <f aca="false">Test1_Hand!$B$4+H1537*D1537</f>
        <v>16</v>
      </c>
      <c r="J1537" s="24" t="n">
        <f aca="false">Test1_Hand!$B$6*H1537*D1537+Test1_Hand!$B$7*MAX(0,I1537-Test1_Hand!$B$5)+Test1_Hand!$B$14</f>
        <v>6000</v>
      </c>
    </row>
    <row r="1538" customFormat="false" ht="15" hidden="false" customHeight="false" outlineLevel="0" collapsed="false">
      <c r="A1538" s="2" t="n">
        <v>1526</v>
      </c>
      <c r="B1538" s="22" t="n">
        <v>0.0381433641212162</v>
      </c>
      <c r="C1538" s="22" t="n">
        <v>0.710685824073863</v>
      </c>
      <c r="D1538" s="23" t="n">
        <f aca="false">BETAINV(C1538,Test1_Hand!$B$21,Test1_Hand!$B$22,Test1_Hand!$B$9,Test1_Hand!$B$11)</f>
        <v>4.19592286074369</v>
      </c>
      <c r="E1538" s="2" t="n">
        <f aca="false">IF(B1538&lt;Test1_Hand!$B$12,1,0)</f>
        <v>1</v>
      </c>
      <c r="F1538" s="23" t="n">
        <f aca="false">Test1_Hand!$B$4+E1538*D1538</f>
        <v>20.1959228607437</v>
      </c>
      <c r="G1538" s="24" t="n">
        <f aca="false">Test1_Hand!$B$6*E1538*D1538+Test1_Hand!$B$7*MAX(0,F1538-Test1_Hand!$B$5)</f>
        <v>34546.997189668</v>
      </c>
      <c r="H1538" s="2" t="n">
        <f aca="false">IF(B1538&lt;Test1_Hand!$B$13,1,0)</f>
        <v>1</v>
      </c>
      <c r="I1538" s="23" t="n">
        <f aca="false">Test1_Hand!$B$4+H1538*D1538</f>
        <v>20.1959228607437</v>
      </c>
      <c r="J1538" s="24" t="n">
        <f aca="false">Test1_Hand!$B$6*H1538*D1538+Test1_Hand!$B$7*MAX(0,I1538-Test1_Hand!$B$5)+Test1_Hand!$B$14</f>
        <v>40546.997189668</v>
      </c>
    </row>
    <row r="1539" customFormat="false" ht="15" hidden="false" customHeight="false" outlineLevel="0" collapsed="false">
      <c r="A1539" s="2" t="n">
        <v>1527</v>
      </c>
      <c r="B1539" s="22" t="n">
        <v>0.981122926014323</v>
      </c>
      <c r="C1539" s="22" t="n">
        <v>0.33836505752838</v>
      </c>
      <c r="D1539" s="23" t="n">
        <f aca="false">BETAINV(C1539,Test1_Hand!$B$21,Test1_Hand!$B$22,Test1_Hand!$B$9,Test1_Hand!$B$11)</f>
        <v>2.82374620790332</v>
      </c>
      <c r="E1539" s="2" t="n">
        <f aca="false">IF(B1539&lt;Test1_Hand!$B$12,1,0)</f>
        <v>0</v>
      </c>
      <c r="F1539" s="23" t="n">
        <f aca="false">Test1_Hand!$B$4+E1539*D1539</f>
        <v>16</v>
      </c>
      <c r="G1539" s="24" t="n">
        <f aca="false">Test1_Hand!$B$6*E1539*D1539+Test1_Hand!$B$7*MAX(0,F1539-Test1_Hand!$B$5)</f>
        <v>0</v>
      </c>
      <c r="H1539" s="2" t="n">
        <f aca="false">IF(B1539&lt;Test1_Hand!$B$13,1,0)</f>
        <v>0</v>
      </c>
      <c r="I1539" s="23" t="n">
        <f aca="false">Test1_Hand!$B$4+H1539*D1539</f>
        <v>16</v>
      </c>
      <c r="J1539" s="24" t="n">
        <f aca="false">Test1_Hand!$B$6*H1539*D1539+Test1_Hand!$B$7*MAX(0,I1539-Test1_Hand!$B$5)+Test1_Hand!$B$14</f>
        <v>6000</v>
      </c>
    </row>
    <row r="1540" customFormat="false" ht="15" hidden="false" customHeight="false" outlineLevel="0" collapsed="false">
      <c r="A1540" s="2" t="n">
        <v>1528</v>
      </c>
      <c r="B1540" s="22" t="n">
        <v>0.126674558280504</v>
      </c>
      <c r="C1540" s="22" t="n">
        <v>0.905416360755742</v>
      </c>
      <c r="D1540" s="23" t="n">
        <f aca="false">BETAINV(C1540,Test1_Hand!$B$21,Test1_Hand!$B$22,Test1_Hand!$B$9,Test1_Hand!$B$11)</f>
        <v>5.3176203392149</v>
      </c>
      <c r="E1540" s="2" t="n">
        <f aca="false">IF(B1540&lt;Test1_Hand!$B$12,1,0)</f>
        <v>1</v>
      </c>
      <c r="F1540" s="23" t="n">
        <f aca="false">Test1_Hand!$B$4+E1540*D1540</f>
        <v>21.3176203392149</v>
      </c>
      <c r="G1540" s="24" t="n">
        <f aca="false">Test1_Hand!$B$6*E1540*D1540+Test1_Hand!$B$7*MAX(0,F1540-Test1_Hand!$B$5)</f>
        <v>49129.0644097937</v>
      </c>
      <c r="H1540" s="2" t="n">
        <f aca="false">IF(B1540&lt;Test1_Hand!$B$13,1,0)</f>
        <v>1</v>
      </c>
      <c r="I1540" s="23" t="n">
        <f aca="false">Test1_Hand!$B$4+H1540*D1540</f>
        <v>21.3176203392149</v>
      </c>
      <c r="J1540" s="24" t="n">
        <f aca="false">Test1_Hand!$B$6*H1540*D1540+Test1_Hand!$B$7*MAX(0,I1540-Test1_Hand!$B$5)+Test1_Hand!$B$14</f>
        <v>55129.0644097937</v>
      </c>
    </row>
    <row r="1541" customFormat="false" ht="15" hidden="false" customHeight="false" outlineLevel="0" collapsed="false">
      <c r="A1541" s="2" t="n">
        <v>1529</v>
      </c>
      <c r="B1541" s="22" t="n">
        <v>0.345561504810287</v>
      </c>
      <c r="C1541" s="22" t="n">
        <v>0.52318877357313</v>
      </c>
      <c r="D1541" s="23" t="n">
        <f aca="false">BETAINV(C1541,Test1_Hand!$B$21,Test1_Hand!$B$22,Test1_Hand!$B$9,Test1_Hand!$B$11)</f>
        <v>3.46491519176504</v>
      </c>
      <c r="E1541" s="2" t="n">
        <f aca="false">IF(B1541&lt;Test1_Hand!$B$12,1,0)</f>
        <v>1</v>
      </c>
      <c r="F1541" s="23" t="n">
        <f aca="false">Test1_Hand!$B$4+E1541*D1541</f>
        <v>19.464915191765</v>
      </c>
      <c r="G1541" s="24" t="n">
        <f aca="false">Test1_Hand!$B$6*E1541*D1541+Test1_Hand!$B$7*MAX(0,F1541-Test1_Hand!$B$5)</f>
        <v>27719.3215341203</v>
      </c>
      <c r="H1541" s="2" t="n">
        <f aca="false">IF(B1541&lt;Test1_Hand!$B$13,1,0)</f>
        <v>0</v>
      </c>
      <c r="I1541" s="23" t="n">
        <f aca="false">Test1_Hand!$B$4+H1541*D1541</f>
        <v>16</v>
      </c>
      <c r="J1541" s="24" t="n">
        <f aca="false">Test1_Hand!$B$6*H1541*D1541+Test1_Hand!$B$7*MAX(0,I1541-Test1_Hand!$B$5)+Test1_Hand!$B$14</f>
        <v>6000</v>
      </c>
    </row>
    <row r="1542" customFormat="false" ht="15" hidden="false" customHeight="false" outlineLevel="0" collapsed="false">
      <c r="A1542" s="2" t="n">
        <v>1530</v>
      </c>
      <c r="B1542" s="22" t="n">
        <v>0.0890180720436511</v>
      </c>
      <c r="C1542" s="22" t="n">
        <v>0.779194644428469</v>
      </c>
      <c r="D1542" s="23" t="n">
        <f aca="false">BETAINV(C1542,Test1_Hand!$B$21,Test1_Hand!$B$22,Test1_Hand!$B$9,Test1_Hand!$B$11)</f>
        <v>4.5176465756973</v>
      </c>
      <c r="E1542" s="2" t="n">
        <f aca="false">IF(B1542&lt;Test1_Hand!$B$12,1,0)</f>
        <v>1</v>
      </c>
      <c r="F1542" s="23" t="n">
        <f aca="false">Test1_Hand!$B$4+E1542*D1542</f>
        <v>20.5176465756973</v>
      </c>
      <c r="G1542" s="24" t="n">
        <f aca="false">Test1_Hand!$B$6*E1542*D1542+Test1_Hand!$B$7*MAX(0,F1542-Test1_Hand!$B$5)</f>
        <v>38729.4054840649</v>
      </c>
      <c r="H1542" s="2" t="n">
        <f aca="false">IF(B1542&lt;Test1_Hand!$B$13,1,0)</f>
        <v>1</v>
      </c>
      <c r="I1542" s="23" t="n">
        <f aca="false">Test1_Hand!$B$4+H1542*D1542</f>
        <v>20.5176465756973</v>
      </c>
      <c r="J1542" s="24" t="n">
        <f aca="false">Test1_Hand!$B$6*H1542*D1542+Test1_Hand!$B$7*MAX(0,I1542-Test1_Hand!$B$5)+Test1_Hand!$B$14</f>
        <v>44729.4054840649</v>
      </c>
    </row>
    <row r="1543" customFormat="false" ht="15" hidden="false" customHeight="false" outlineLevel="0" collapsed="false">
      <c r="A1543" s="2" t="n">
        <v>1531</v>
      </c>
      <c r="B1543" s="22" t="n">
        <v>0.395999422426428</v>
      </c>
      <c r="C1543" s="22" t="n">
        <v>0.412078239858349</v>
      </c>
      <c r="D1543" s="23" t="n">
        <f aca="false">BETAINV(C1543,Test1_Hand!$B$21,Test1_Hand!$B$22,Test1_Hand!$B$9,Test1_Hand!$B$11)</f>
        <v>3.07723454666956</v>
      </c>
      <c r="E1543" s="2" t="n">
        <f aca="false">IF(B1543&lt;Test1_Hand!$B$12,1,0)</f>
        <v>1</v>
      </c>
      <c r="F1543" s="23" t="n">
        <f aca="false">Test1_Hand!$B$4+E1543*D1543</f>
        <v>19.0772345466696</v>
      </c>
      <c r="G1543" s="24" t="n">
        <f aca="false">Test1_Hand!$B$6*E1543*D1543+Test1_Hand!$B$7*MAX(0,F1543-Test1_Hand!$B$5)</f>
        <v>24617.8763733565</v>
      </c>
      <c r="H1543" s="2" t="n">
        <f aca="false">IF(B1543&lt;Test1_Hand!$B$13,1,0)</f>
        <v>0</v>
      </c>
      <c r="I1543" s="23" t="n">
        <f aca="false">Test1_Hand!$B$4+H1543*D1543</f>
        <v>16</v>
      </c>
      <c r="J1543" s="24" t="n">
        <f aca="false">Test1_Hand!$B$6*H1543*D1543+Test1_Hand!$B$7*MAX(0,I1543-Test1_Hand!$B$5)+Test1_Hand!$B$14</f>
        <v>6000</v>
      </c>
    </row>
    <row r="1544" customFormat="false" ht="15" hidden="false" customHeight="false" outlineLevel="0" collapsed="false">
      <c r="A1544" s="2" t="n">
        <v>1532</v>
      </c>
      <c r="B1544" s="22" t="n">
        <v>0.315486309881075</v>
      </c>
      <c r="C1544" s="22" t="n">
        <v>0.915444235325279</v>
      </c>
      <c r="D1544" s="23" t="n">
        <f aca="false">BETAINV(C1544,Test1_Hand!$B$21,Test1_Hand!$B$22,Test1_Hand!$B$9,Test1_Hand!$B$11)</f>
        <v>5.40533928012966</v>
      </c>
      <c r="E1544" s="2" t="n">
        <f aca="false">IF(B1544&lt;Test1_Hand!$B$12,1,0)</f>
        <v>1</v>
      </c>
      <c r="F1544" s="23" t="n">
        <f aca="false">Test1_Hand!$B$4+E1544*D1544</f>
        <v>21.4053392801297</v>
      </c>
      <c r="G1544" s="24" t="n">
        <f aca="false">Test1_Hand!$B$6*E1544*D1544+Test1_Hand!$B$7*MAX(0,F1544-Test1_Hand!$B$5)</f>
        <v>50269.4106416856</v>
      </c>
      <c r="H1544" s="2" t="n">
        <f aca="false">IF(B1544&lt;Test1_Hand!$B$13,1,0)</f>
        <v>0</v>
      </c>
      <c r="I1544" s="23" t="n">
        <f aca="false">Test1_Hand!$B$4+H1544*D1544</f>
        <v>16</v>
      </c>
      <c r="J1544" s="24" t="n">
        <f aca="false">Test1_Hand!$B$6*H1544*D1544+Test1_Hand!$B$7*MAX(0,I1544-Test1_Hand!$B$5)+Test1_Hand!$B$14</f>
        <v>6000</v>
      </c>
    </row>
    <row r="1545" customFormat="false" ht="15" hidden="false" customHeight="false" outlineLevel="0" collapsed="false">
      <c r="A1545" s="2" t="n">
        <v>1533</v>
      </c>
      <c r="B1545" s="22" t="n">
        <v>0.824177797186003</v>
      </c>
      <c r="C1545" s="22" t="n">
        <v>0.315745158246045</v>
      </c>
      <c r="D1545" s="23" t="n">
        <f aca="false">BETAINV(C1545,Test1_Hand!$B$21,Test1_Hand!$B$22,Test1_Hand!$B$9,Test1_Hand!$B$11)</f>
        <v>2.74531562170967</v>
      </c>
      <c r="E1545" s="2" t="n">
        <f aca="false">IF(B1545&lt;Test1_Hand!$B$12,1,0)</f>
        <v>0</v>
      </c>
      <c r="F1545" s="23" t="n">
        <f aca="false">Test1_Hand!$B$4+E1545*D1545</f>
        <v>16</v>
      </c>
      <c r="G1545" s="24" t="n">
        <f aca="false">Test1_Hand!$B$6*E1545*D1545+Test1_Hand!$B$7*MAX(0,F1545-Test1_Hand!$B$5)</f>
        <v>0</v>
      </c>
      <c r="H1545" s="2" t="n">
        <f aca="false">IF(B1545&lt;Test1_Hand!$B$13,1,0)</f>
        <v>0</v>
      </c>
      <c r="I1545" s="23" t="n">
        <f aca="false">Test1_Hand!$B$4+H1545*D1545</f>
        <v>16</v>
      </c>
      <c r="J1545" s="24" t="n">
        <f aca="false">Test1_Hand!$B$6*H1545*D1545+Test1_Hand!$B$7*MAX(0,I1545-Test1_Hand!$B$5)+Test1_Hand!$B$14</f>
        <v>6000</v>
      </c>
    </row>
    <row r="1546" customFormat="false" ht="15" hidden="false" customHeight="false" outlineLevel="0" collapsed="false">
      <c r="A1546" s="2" t="n">
        <v>1534</v>
      </c>
      <c r="B1546" s="22" t="n">
        <v>0.347944157032787</v>
      </c>
      <c r="C1546" s="22" t="n">
        <v>0.729870260777294</v>
      </c>
      <c r="D1546" s="23" t="n">
        <f aca="false">BETAINV(C1546,Test1_Hand!$B$21,Test1_Hand!$B$22,Test1_Hand!$B$9,Test1_Hand!$B$11)</f>
        <v>4.28156396507439</v>
      </c>
      <c r="E1546" s="2" t="n">
        <f aca="false">IF(B1546&lt;Test1_Hand!$B$12,1,0)</f>
        <v>1</v>
      </c>
      <c r="F1546" s="23" t="n">
        <f aca="false">Test1_Hand!$B$4+E1546*D1546</f>
        <v>20.2815639650744</v>
      </c>
      <c r="G1546" s="24" t="n">
        <f aca="false">Test1_Hand!$B$6*E1546*D1546+Test1_Hand!$B$7*MAX(0,F1546-Test1_Hand!$B$5)</f>
        <v>35660.3315459671</v>
      </c>
      <c r="H1546" s="2" t="n">
        <f aca="false">IF(B1546&lt;Test1_Hand!$B$13,1,0)</f>
        <v>0</v>
      </c>
      <c r="I1546" s="23" t="n">
        <f aca="false">Test1_Hand!$B$4+H1546*D1546</f>
        <v>16</v>
      </c>
      <c r="J1546" s="24" t="n">
        <f aca="false">Test1_Hand!$B$6*H1546*D1546+Test1_Hand!$B$7*MAX(0,I1546-Test1_Hand!$B$5)+Test1_Hand!$B$14</f>
        <v>6000</v>
      </c>
    </row>
    <row r="1547" customFormat="false" ht="15" hidden="false" customHeight="false" outlineLevel="0" collapsed="false">
      <c r="A1547" s="2" t="n">
        <v>1535</v>
      </c>
      <c r="B1547" s="22" t="n">
        <v>0.842696177869781</v>
      </c>
      <c r="C1547" s="22" t="n">
        <v>0.138866714278336</v>
      </c>
      <c r="D1547" s="23" t="n">
        <f aca="false">BETAINV(C1547,Test1_Hand!$B$21,Test1_Hand!$B$22,Test1_Hand!$B$9,Test1_Hand!$B$11)</f>
        <v>2.08045080959245</v>
      </c>
      <c r="E1547" s="2" t="n">
        <f aca="false">IF(B1547&lt;Test1_Hand!$B$12,1,0)</f>
        <v>0</v>
      </c>
      <c r="F1547" s="23" t="n">
        <f aca="false">Test1_Hand!$B$4+E1547*D1547</f>
        <v>16</v>
      </c>
      <c r="G1547" s="24" t="n">
        <f aca="false">Test1_Hand!$B$6*E1547*D1547+Test1_Hand!$B$7*MAX(0,F1547-Test1_Hand!$B$5)</f>
        <v>0</v>
      </c>
      <c r="H1547" s="2" t="n">
        <f aca="false">IF(B1547&lt;Test1_Hand!$B$13,1,0)</f>
        <v>0</v>
      </c>
      <c r="I1547" s="23" t="n">
        <f aca="false">Test1_Hand!$B$4+H1547*D1547</f>
        <v>16</v>
      </c>
      <c r="J1547" s="24" t="n">
        <f aca="false">Test1_Hand!$B$6*H1547*D1547+Test1_Hand!$B$7*MAX(0,I1547-Test1_Hand!$B$5)+Test1_Hand!$B$14</f>
        <v>6000</v>
      </c>
    </row>
    <row r="1548" customFormat="false" ht="15" hidden="false" customHeight="false" outlineLevel="0" collapsed="false">
      <c r="A1548" s="2" t="n">
        <v>1536</v>
      </c>
      <c r="B1548" s="22" t="n">
        <v>0.000491312922761278</v>
      </c>
      <c r="C1548" s="22" t="n">
        <v>0.575001943068899</v>
      </c>
      <c r="D1548" s="23" t="n">
        <f aca="false">BETAINV(C1548,Test1_Hand!$B$21,Test1_Hand!$B$22,Test1_Hand!$B$9,Test1_Hand!$B$11)</f>
        <v>3.65333649028733</v>
      </c>
      <c r="E1548" s="2" t="n">
        <f aca="false">IF(B1548&lt;Test1_Hand!$B$12,1,0)</f>
        <v>1</v>
      </c>
      <c r="F1548" s="23" t="n">
        <f aca="false">Test1_Hand!$B$4+E1548*D1548</f>
        <v>19.6533364902873</v>
      </c>
      <c r="G1548" s="24" t="n">
        <f aca="false">Test1_Hand!$B$6*E1548*D1548+Test1_Hand!$B$7*MAX(0,F1548-Test1_Hand!$B$5)</f>
        <v>29226.6919222987</v>
      </c>
      <c r="H1548" s="2" t="n">
        <f aca="false">IF(B1548&lt;Test1_Hand!$B$13,1,0)</f>
        <v>1</v>
      </c>
      <c r="I1548" s="23" t="n">
        <f aca="false">Test1_Hand!$B$4+H1548*D1548</f>
        <v>19.6533364902873</v>
      </c>
      <c r="J1548" s="24" t="n">
        <f aca="false">Test1_Hand!$B$6*H1548*D1548+Test1_Hand!$B$7*MAX(0,I1548-Test1_Hand!$B$5)+Test1_Hand!$B$14</f>
        <v>35226.6919222987</v>
      </c>
    </row>
    <row r="1549" customFormat="false" ht="15" hidden="false" customHeight="false" outlineLevel="0" collapsed="false">
      <c r="A1549" s="2" t="n">
        <v>1537</v>
      </c>
      <c r="B1549" s="22" t="n">
        <v>0.84845912600479</v>
      </c>
      <c r="C1549" s="22" t="n">
        <v>0.992999572959454</v>
      </c>
      <c r="D1549" s="23" t="n">
        <f aca="false">BETAINV(C1549,Test1_Hand!$B$21,Test1_Hand!$B$22,Test1_Hand!$B$9,Test1_Hand!$B$11)</f>
        <v>6.71461371882326</v>
      </c>
      <c r="E1549" s="2" t="n">
        <f aca="false">IF(B1549&lt;Test1_Hand!$B$12,1,0)</f>
        <v>0</v>
      </c>
      <c r="F1549" s="23" t="n">
        <f aca="false">Test1_Hand!$B$4+E1549*D1549</f>
        <v>16</v>
      </c>
      <c r="G1549" s="24" t="n">
        <f aca="false">Test1_Hand!$B$6*E1549*D1549+Test1_Hand!$B$7*MAX(0,F1549-Test1_Hand!$B$5)</f>
        <v>0</v>
      </c>
      <c r="H1549" s="2" t="n">
        <f aca="false">IF(B1549&lt;Test1_Hand!$B$13,1,0)</f>
        <v>0</v>
      </c>
      <c r="I1549" s="23" t="n">
        <f aca="false">Test1_Hand!$B$4+H1549*D1549</f>
        <v>16</v>
      </c>
      <c r="J1549" s="24" t="n">
        <f aca="false">Test1_Hand!$B$6*H1549*D1549+Test1_Hand!$B$7*MAX(0,I1549-Test1_Hand!$B$5)+Test1_Hand!$B$14</f>
        <v>6000</v>
      </c>
    </row>
    <row r="1550" customFormat="false" ht="15" hidden="false" customHeight="false" outlineLevel="0" collapsed="false">
      <c r="A1550" s="2" t="n">
        <v>1538</v>
      </c>
      <c r="B1550" s="22" t="n">
        <v>0.325587845241314</v>
      </c>
      <c r="C1550" s="22" t="n">
        <v>0.416554229009949</v>
      </c>
      <c r="D1550" s="23" t="n">
        <f aca="false">BETAINV(C1550,Test1_Hand!$B$21,Test1_Hand!$B$22,Test1_Hand!$B$9,Test1_Hand!$B$11)</f>
        <v>3.09262407618028</v>
      </c>
      <c r="E1550" s="2" t="n">
        <f aca="false">IF(B1550&lt;Test1_Hand!$B$12,1,0)</f>
        <v>1</v>
      </c>
      <c r="F1550" s="23" t="n">
        <f aca="false">Test1_Hand!$B$4+E1550*D1550</f>
        <v>19.0926240761803</v>
      </c>
      <c r="G1550" s="24" t="n">
        <f aca="false">Test1_Hand!$B$6*E1550*D1550+Test1_Hand!$B$7*MAX(0,F1550-Test1_Hand!$B$5)</f>
        <v>24740.9926094422</v>
      </c>
      <c r="H1550" s="2" t="n">
        <f aca="false">IF(B1550&lt;Test1_Hand!$B$13,1,0)</f>
        <v>0</v>
      </c>
      <c r="I1550" s="23" t="n">
        <f aca="false">Test1_Hand!$B$4+H1550*D1550</f>
        <v>16</v>
      </c>
      <c r="J1550" s="24" t="n">
        <f aca="false">Test1_Hand!$B$6*H1550*D1550+Test1_Hand!$B$7*MAX(0,I1550-Test1_Hand!$B$5)+Test1_Hand!$B$14</f>
        <v>6000</v>
      </c>
    </row>
    <row r="1551" customFormat="false" ht="15" hidden="false" customHeight="false" outlineLevel="0" collapsed="false">
      <c r="A1551" s="2" t="n">
        <v>1539</v>
      </c>
      <c r="B1551" s="22" t="n">
        <v>0.508219073419653</v>
      </c>
      <c r="C1551" s="22" t="n">
        <v>0.907085973198244</v>
      </c>
      <c r="D1551" s="23" t="n">
        <f aca="false">BETAINV(C1551,Test1_Hand!$B$21,Test1_Hand!$B$22,Test1_Hand!$B$9,Test1_Hand!$B$11)</f>
        <v>5.33179643586905</v>
      </c>
      <c r="E1551" s="2" t="n">
        <f aca="false">IF(B1551&lt;Test1_Hand!$B$12,1,0)</f>
        <v>0</v>
      </c>
      <c r="F1551" s="23" t="n">
        <f aca="false">Test1_Hand!$B$4+E1551*D1551</f>
        <v>16</v>
      </c>
      <c r="G1551" s="24" t="n">
        <f aca="false">Test1_Hand!$B$6*E1551*D1551+Test1_Hand!$B$7*MAX(0,F1551-Test1_Hand!$B$5)</f>
        <v>0</v>
      </c>
      <c r="H1551" s="2" t="n">
        <f aca="false">IF(B1551&lt;Test1_Hand!$B$13,1,0)</f>
        <v>0</v>
      </c>
      <c r="I1551" s="23" t="n">
        <f aca="false">Test1_Hand!$B$4+H1551*D1551</f>
        <v>16</v>
      </c>
      <c r="J1551" s="24" t="n">
        <f aca="false">Test1_Hand!$B$6*H1551*D1551+Test1_Hand!$B$7*MAX(0,I1551-Test1_Hand!$B$5)+Test1_Hand!$B$14</f>
        <v>6000</v>
      </c>
    </row>
    <row r="1552" customFormat="false" ht="15" hidden="false" customHeight="false" outlineLevel="0" collapsed="false">
      <c r="A1552" s="2" t="n">
        <v>1540</v>
      </c>
      <c r="B1552" s="22" t="n">
        <v>0.582438983728441</v>
      </c>
      <c r="C1552" s="22" t="n">
        <v>0.238605238200264</v>
      </c>
      <c r="D1552" s="23" t="n">
        <f aca="false">BETAINV(C1552,Test1_Hand!$B$21,Test1_Hand!$B$22,Test1_Hand!$B$9,Test1_Hand!$B$11)</f>
        <v>2.47096870145058</v>
      </c>
      <c r="E1552" s="2" t="n">
        <f aca="false">IF(B1552&lt;Test1_Hand!$B$12,1,0)</f>
        <v>0</v>
      </c>
      <c r="F1552" s="23" t="n">
        <f aca="false">Test1_Hand!$B$4+E1552*D1552</f>
        <v>16</v>
      </c>
      <c r="G1552" s="24" t="n">
        <f aca="false">Test1_Hand!$B$6*E1552*D1552+Test1_Hand!$B$7*MAX(0,F1552-Test1_Hand!$B$5)</f>
        <v>0</v>
      </c>
      <c r="H1552" s="2" t="n">
        <f aca="false">IF(B1552&lt;Test1_Hand!$B$13,1,0)</f>
        <v>0</v>
      </c>
      <c r="I1552" s="23" t="n">
        <f aca="false">Test1_Hand!$B$4+H1552*D1552</f>
        <v>16</v>
      </c>
      <c r="J1552" s="24" t="n">
        <f aca="false">Test1_Hand!$B$6*H1552*D1552+Test1_Hand!$B$7*MAX(0,I1552-Test1_Hand!$B$5)+Test1_Hand!$B$14</f>
        <v>6000</v>
      </c>
    </row>
    <row r="1553" customFormat="false" ht="15" hidden="false" customHeight="false" outlineLevel="0" collapsed="false">
      <c r="A1553" s="2" t="n">
        <v>1541</v>
      </c>
      <c r="B1553" s="22" t="n">
        <v>0.212701364845812</v>
      </c>
      <c r="C1553" s="22" t="n">
        <v>0.229561070058153</v>
      </c>
      <c r="D1553" s="23" t="n">
        <f aca="false">BETAINV(C1553,Test1_Hand!$B$21,Test1_Hand!$B$22,Test1_Hand!$B$9,Test1_Hand!$B$11)</f>
        <v>2.43772539531233</v>
      </c>
      <c r="E1553" s="2" t="n">
        <f aca="false">IF(B1553&lt;Test1_Hand!$B$12,1,0)</f>
        <v>1</v>
      </c>
      <c r="F1553" s="23" t="n">
        <f aca="false">Test1_Hand!$B$4+E1553*D1553</f>
        <v>18.4377253953123</v>
      </c>
      <c r="G1553" s="24" t="n">
        <f aca="false">Test1_Hand!$B$6*E1553*D1553+Test1_Hand!$B$7*MAX(0,F1553-Test1_Hand!$B$5)</f>
        <v>19501.8031624987</v>
      </c>
      <c r="H1553" s="2" t="n">
        <f aca="false">IF(B1553&lt;Test1_Hand!$B$13,1,0)</f>
        <v>0</v>
      </c>
      <c r="I1553" s="23" t="n">
        <f aca="false">Test1_Hand!$B$4+H1553*D1553</f>
        <v>16</v>
      </c>
      <c r="J1553" s="24" t="n">
        <f aca="false">Test1_Hand!$B$6*H1553*D1553+Test1_Hand!$B$7*MAX(0,I1553-Test1_Hand!$B$5)+Test1_Hand!$B$14</f>
        <v>6000</v>
      </c>
    </row>
    <row r="1554" customFormat="false" ht="15" hidden="false" customHeight="false" outlineLevel="0" collapsed="false">
      <c r="A1554" s="2" t="n">
        <v>1542</v>
      </c>
      <c r="B1554" s="22" t="n">
        <v>0.629664694218914</v>
      </c>
      <c r="C1554" s="22" t="n">
        <v>0.709043032417741</v>
      </c>
      <c r="D1554" s="23" t="n">
        <f aca="false">BETAINV(C1554,Test1_Hand!$B$21,Test1_Hand!$B$22,Test1_Hand!$B$9,Test1_Hand!$B$11)</f>
        <v>4.18872436703499</v>
      </c>
      <c r="E1554" s="2" t="n">
        <f aca="false">IF(B1554&lt;Test1_Hand!$B$12,1,0)</f>
        <v>0</v>
      </c>
      <c r="F1554" s="23" t="n">
        <f aca="false">Test1_Hand!$B$4+E1554*D1554</f>
        <v>16</v>
      </c>
      <c r="G1554" s="24" t="n">
        <f aca="false">Test1_Hand!$B$6*E1554*D1554+Test1_Hand!$B$7*MAX(0,F1554-Test1_Hand!$B$5)</f>
        <v>0</v>
      </c>
      <c r="H1554" s="2" t="n">
        <f aca="false">IF(B1554&lt;Test1_Hand!$B$13,1,0)</f>
        <v>0</v>
      </c>
      <c r="I1554" s="23" t="n">
        <f aca="false">Test1_Hand!$B$4+H1554*D1554</f>
        <v>16</v>
      </c>
      <c r="J1554" s="24" t="n">
        <f aca="false">Test1_Hand!$B$6*H1554*D1554+Test1_Hand!$B$7*MAX(0,I1554-Test1_Hand!$B$5)+Test1_Hand!$B$14</f>
        <v>6000</v>
      </c>
    </row>
    <row r="1555" customFormat="false" ht="15" hidden="false" customHeight="false" outlineLevel="0" collapsed="false">
      <c r="A1555" s="2" t="n">
        <v>1543</v>
      </c>
      <c r="B1555" s="22" t="n">
        <v>0.730667287759054</v>
      </c>
      <c r="C1555" s="22" t="n">
        <v>0.567587116025583</v>
      </c>
      <c r="D1555" s="23" t="n">
        <f aca="false">BETAINV(C1555,Test1_Hand!$B$21,Test1_Hand!$B$22,Test1_Hand!$B$9,Test1_Hand!$B$11)</f>
        <v>3.62592444337081</v>
      </c>
      <c r="E1555" s="2" t="n">
        <f aca="false">IF(B1555&lt;Test1_Hand!$B$12,1,0)</f>
        <v>0</v>
      </c>
      <c r="F1555" s="23" t="n">
        <f aca="false">Test1_Hand!$B$4+E1555*D1555</f>
        <v>16</v>
      </c>
      <c r="G1555" s="24" t="n">
        <f aca="false">Test1_Hand!$B$6*E1555*D1555+Test1_Hand!$B$7*MAX(0,F1555-Test1_Hand!$B$5)</f>
        <v>0</v>
      </c>
      <c r="H1555" s="2" t="n">
        <f aca="false">IF(B1555&lt;Test1_Hand!$B$13,1,0)</f>
        <v>0</v>
      </c>
      <c r="I1555" s="23" t="n">
        <f aca="false">Test1_Hand!$B$4+H1555*D1555</f>
        <v>16</v>
      </c>
      <c r="J1555" s="24" t="n">
        <f aca="false">Test1_Hand!$B$6*H1555*D1555+Test1_Hand!$B$7*MAX(0,I1555-Test1_Hand!$B$5)+Test1_Hand!$B$14</f>
        <v>6000</v>
      </c>
    </row>
    <row r="1556" customFormat="false" ht="15" hidden="false" customHeight="false" outlineLevel="0" collapsed="false">
      <c r="A1556" s="2" t="n">
        <v>1544</v>
      </c>
      <c r="B1556" s="22" t="n">
        <v>0.243609854992192</v>
      </c>
      <c r="C1556" s="22" t="n">
        <v>0.961168263672066</v>
      </c>
      <c r="D1556" s="23" t="n">
        <f aca="false">BETAINV(C1556,Test1_Hand!$B$21,Test1_Hand!$B$22,Test1_Hand!$B$9,Test1_Hand!$B$11)</f>
        <v>5.92945992138351</v>
      </c>
      <c r="E1556" s="2" t="n">
        <f aca="false">IF(B1556&lt;Test1_Hand!$B$12,1,0)</f>
        <v>1</v>
      </c>
      <c r="F1556" s="23" t="n">
        <f aca="false">Test1_Hand!$B$4+E1556*D1556</f>
        <v>21.9294599213835</v>
      </c>
      <c r="G1556" s="24" t="n">
        <f aca="false">Test1_Hand!$B$6*E1556*D1556+Test1_Hand!$B$7*MAX(0,F1556-Test1_Hand!$B$5)</f>
        <v>57082.9789779856</v>
      </c>
      <c r="H1556" s="2" t="n">
        <f aca="false">IF(B1556&lt;Test1_Hand!$B$13,1,0)</f>
        <v>0</v>
      </c>
      <c r="I1556" s="23" t="n">
        <f aca="false">Test1_Hand!$B$4+H1556*D1556</f>
        <v>16</v>
      </c>
      <c r="J1556" s="24" t="n">
        <f aca="false">Test1_Hand!$B$6*H1556*D1556+Test1_Hand!$B$7*MAX(0,I1556-Test1_Hand!$B$5)+Test1_Hand!$B$14</f>
        <v>6000</v>
      </c>
    </row>
    <row r="1557" customFormat="false" ht="15" hidden="false" customHeight="false" outlineLevel="0" collapsed="false">
      <c r="A1557" s="2" t="n">
        <v>1545</v>
      </c>
      <c r="B1557" s="22" t="n">
        <v>0.264786218353103</v>
      </c>
      <c r="C1557" s="22" t="n">
        <v>0.308337241178609</v>
      </c>
      <c r="D1557" s="23" t="n">
        <f aca="false">BETAINV(C1557,Test1_Hand!$B$21,Test1_Hand!$B$22,Test1_Hand!$B$9,Test1_Hand!$B$11)</f>
        <v>2.71949184046643</v>
      </c>
      <c r="E1557" s="2" t="n">
        <f aca="false">IF(B1557&lt;Test1_Hand!$B$12,1,0)</f>
        <v>1</v>
      </c>
      <c r="F1557" s="23" t="n">
        <f aca="false">Test1_Hand!$B$4+E1557*D1557</f>
        <v>18.7194918404664</v>
      </c>
      <c r="G1557" s="24" t="n">
        <f aca="false">Test1_Hand!$B$6*E1557*D1557+Test1_Hand!$B$7*MAX(0,F1557-Test1_Hand!$B$5)</f>
        <v>21755.9347237314</v>
      </c>
      <c r="H1557" s="2" t="n">
        <f aca="false">IF(B1557&lt;Test1_Hand!$B$13,1,0)</f>
        <v>0</v>
      </c>
      <c r="I1557" s="23" t="n">
        <f aca="false">Test1_Hand!$B$4+H1557*D1557</f>
        <v>16</v>
      </c>
      <c r="J1557" s="24" t="n">
        <f aca="false">Test1_Hand!$B$6*H1557*D1557+Test1_Hand!$B$7*MAX(0,I1557-Test1_Hand!$B$5)+Test1_Hand!$B$14</f>
        <v>6000</v>
      </c>
    </row>
    <row r="1558" customFormat="false" ht="15" hidden="false" customHeight="false" outlineLevel="0" collapsed="false">
      <c r="A1558" s="2" t="n">
        <v>1546</v>
      </c>
      <c r="B1558" s="22" t="n">
        <v>0.768416477759902</v>
      </c>
      <c r="C1558" s="22" t="n">
        <v>0.0789306601758204</v>
      </c>
      <c r="D1558" s="23" t="n">
        <f aca="false">BETAINV(C1558,Test1_Hand!$B$21,Test1_Hand!$B$22,Test1_Hand!$B$9,Test1_Hand!$B$11)</f>
        <v>1.79795482036067</v>
      </c>
      <c r="E1558" s="2" t="n">
        <f aca="false">IF(B1558&lt;Test1_Hand!$B$12,1,0)</f>
        <v>0</v>
      </c>
      <c r="F1558" s="23" t="n">
        <f aca="false">Test1_Hand!$B$4+E1558*D1558</f>
        <v>16</v>
      </c>
      <c r="G1558" s="24" t="n">
        <f aca="false">Test1_Hand!$B$6*E1558*D1558+Test1_Hand!$B$7*MAX(0,F1558-Test1_Hand!$B$5)</f>
        <v>0</v>
      </c>
      <c r="H1558" s="2" t="n">
        <f aca="false">IF(B1558&lt;Test1_Hand!$B$13,1,0)</f>
        <v>0</v>
      </c>
      <c r="I1558" s="23" t="n">
        <f aca="false">Test1_Hand!$B$4+H1558*D1558</f>
        <v>16</v>
      </c>
      <c r="J1558" s="24" t="n">
        <f aca="false">Test1_Hand!$B$6*H1558*D1558+Test1_Hand!$B$7*MAX(0,I1558-Test1_Hand!$B$5)+Test1_Hand!$B$14</f>
        <v>6000</v>
      </c>
    </row>
    <row r="1559" customFormat="false" ht="15" hidden="false" customHeight="false" outlineLevel="0" collapsed="false">
      <c r="A1559" s="2" t="n">
        <v>1547</v>
      </c>
      <c r="B1559" s="22" t="n">
        <v>0.495199808548561</v>
      </c>
      <c r="C1559" s="22" t="n">
        <v>0.514556403739926</v>
      </c>
      <c r="D1559" s="23" t="n">
        <f aca="false">BETAINV(C1559,Test1_Hand!$B$21,Test1_Hand!$B$22,Test1_Hand!$B$9,Test1_Hand!$B$11)</f>
        <v>3.43414583984842</v>
      </c>
      <c r="E1559" s="2" t="n">
        <f aca="false">IF(B1559&lt;Test1_Hand!$B$12,1,0)</f>
        <v>1</v>
      </c>
      <c r="F1559" s="23" t="n">
        <f aca="false">Test1_Hand!$B$4+E1559*D1559</f>
        <v>19.4341458398484</v>
      </c>
      <c r="G1559" s="24" t="n">
        <f aca="false">Test1_Hand!$B$6*E1559*D1559+Test1_Hand!$B$7*MAX(0,F1559-Test1_Hand!$B$5)</f>
        <v>27473.1667187874</v>
      </c>
      <c r="H1559" s="2" t="n">
        <f aca="false">IF(B1559&lt;Test1_Hand!$B$13,1,0)</f>
        <v>0</v>
      </c>
      <c r="I1559" s="23" t="n">
        <f aca="false">Test1_Hand!$B$4+H1559*D1559</f>
        <v>16</v>
      </c>
      <c r="J1559" s="24" t="n">
        <f aca="false">Test1_Hand!$B$6*H1559*D1559+Test1_Hand!$B$7*MAX(0,I1559-Test1_Hand!$B$5)+Test1_Hand!$B$14</f>
        <v>6000</v>
      </c>
    </row>
    <row r="1560" customFormat="false" ht="15" hidden="false" customHeight="false" outlineLevel="0" collapsed="false">
      <c r="A1560" s="2" t="n">
        <v>1548</v>
      </c>
      <c r="B1560" s="22" t="n">
        <v>0.960348272397665</v>
      </c>
      <c r="C1560" s="22" t="n">
        <v>0.0926962299614317</v>
      </c>
      <c r="D1560" s="23" t="n">
        <f aca="false">BETAINV(C1560,Test1_Hand!$B$21,Test1_Hand!$B$22,Test1_Hand!$B$9,Test1_Hand!$B$11)</f>
        <v>1.86857324554593</v>
      </c>
      <c r="E1560" s="2" t="n">
        <f aca="false">IF(B1560&lt;Test1_Hand!$B$12,1,0)</f>
        <v>0</v>
      </c>
      <c r="F1560" s="23" t="n">
        <f aca="false">Test1_Hand!$B$4+E1560*D1560</f>
        <v>16</v>
      </c>
      <c r="G1560" s="24" t="n">
        <f aca="false">Test1_Hand!$B$6*E1560*D1560+Test1_Hand!$B$7*MAX(0,F1560-Test1_Hand!$B$5)</f>
        <v>0</v>
      </c>
      <c r="H1560" s="2" t="n">
        <f aca="false">IF(B1560&lt;Test1_Hand!$B$13,1,0)</f>
        <v>0</v>
      </c>
      <c r="I1560" s="23" t="n">
        <f aca="false">Test1_Hand!$B$4+H1560*D1560</f>
        <v>16</v>
      </c>
      <c r="J1560" s="24" t="n">
        <f aca="false">Test1_Hand!$B$6*H1560*D1560+Test1_Hand!$B$7*MAX(0,I1560-Test1_Hand!$B$5)+Test1_Hand!$B$14</f>
        <v>6000</v>
      </c>
    </row>
    <row r="1561" customFormat="false" ht="15" hidden="false" customHeight="false" outlineLevel="0" collapsed="false">
      <c r="A1561" s="2" t="n">
        <v>1549</v>
      </c>
      <c r="B1561" s="22" t="n">
        <v>0.574844003835014</v>
      </c>
      <c r="C1561" s="22" t="n">
        <v>0.976287154465365</v>
      </c>
      <c r="D1561" s="23" t="n">
        <f aca="false">BETAINV(C1561,Test1_Hand!$B$21,Test1_Hand!$B$22,Test1_Hand!$B$9,Test1_Hand!$B$11)</f>
        <v>6.19898045655142</v>
      </c>
      <c r="E1561" s="2" t="n">
        <f aca="false">IF(B1561&lt;Test1_Hand!$B$12,1,0)</f>
        <v>0</v>
      </c>
      <c r="F1561" s="23" t="n">
        <f aca="false">Test1_Hand!$B$4+E1561*D1561</f>
        <v>16</v>
      </c>
      <c r="G1561" s="24" t="n">
        <f aca="false">Test1_Hand!$B$6*E1561*D1561+Test1_Hand!$B$7*MAX(0,F1561-Test1_Hand!$B$5)</f>
        <v>0</v>
      </c>
      <c r="H1561" s="2" t="n">
        <f aca="false">IF(B1561&lt;Test1_Hand!$B$13,1,0)</f>
        <v>0</v>
      </c>
      <c r="I1561" s="23" t="n">
        <f aca="false">Test1_Hand!$B$4+H1561*D1561</f>
        <v>16</v>
      </c>
      <c r="J1561" s="24" t="n">
        <f aca="false">Test1_Hand!$B$6*H1561*D1561+Test1_Hand!$B$7*MAX(0,I1561-Test1_Hand!$B$5)+Test1_Hand!$B$14</f>
        <v>6000</v>
      </c>
    </row>
    <row r="1562" customFormat="false" ht="15" hidden="false" customHeight="false" outlineLevel="0" collapsed="false">
      <c r="A1562" s="2" t="n">
        <v>1550</v>
      </c>
      <c r="B1562" s="22" t="n">
        <v>0.346166783055814</v>
      </c>
      <c r="C1562" s="22" t="n">
        <v>0.709819095453361</v>
      </c>
      <c r="D1562" s="23" t="n">
        <f aca="false">BETAINV(C1562,Test1_Hand!$B$21,Test1_Hand!$B$22,Test1_Hand!$B$9,Test1_Hand!$B$11)</f>
        <v>4.19212243820972</v>
      </c>
      <c r="E1562" s="2" t="n">
        <f aca="false">IF(B1562&lt;Test1_Hand!$B$12,1,0)</f>
        <v>1</v>
      </c>
      <c r="F1562" s="23" t="n">
        <f aca="false">Test1_Hand!$B$4+E1562*D1562</f>
        <v>20.1921224382097</v>
      </c>
      <c r="G1562" s="24" t="n">
        <f aca="false">Test1_Hand!$B$6*E1562*D1562+Test1_Hand!$B$7*MAX(0,F1562-Test1_Hand!$B$5)</f>
        <v>34497.5916967264</v>
      </c>
      <c r="H1562" s="2" t="n">
        <f aca="false">IF(B1562&lt;Test1_Hand!$B$13,1,0)</f>
        <v>0</v>
      </c>
      <c r="I1562" s="23" t="n">
        <f aca="false">Test1_Hand!$B$4+H1562*D1562</f>
        <v>16</v>
      </c>
      <c r="J1562" s="24" t="n">
        <f aca="false">Test1_Hand!$B$6*H1562*D1562+Test1_Hand!$B$7*MAX(0,I1562-Test1_Hand!$B$5)+Test1_Hand!$B$14</f>
        <v>6000</v>
      </c>
    </row>
    <row r="1563" customFormat="false" ht="15" hidden="false" customHeight="false" outlineLevel="0" collapsed="false">
      <c r="A1563" s="2" t="n">
        <v>1551</v>
      </c>
      <c r="B1563" s="22" t="n">
        <v>0.980136995562937</v>
      </c>
      <c r="C1563" s="22" t="n">
        <v>0.742349319035573</v>
      </c>
      <c r="D1563" s="23" t="n">
        <f aca="false">BETAINV(C1563,Test1_Hand!$B$21,Test1_Hand!$B$22,Test1_Hand!$B$9,Test1_Hand!$B$11)</f>
        <v>4.33896024896437</v>
      </c>
      <c r="E1563" s="2" t="n">
        <f aca="false">IF(B1563&lt;Test1_Hand!$B$12,1,0)</f>
        <v>0</v>
      </c>
      <c r="F1563" s="23" t="n">
        <f aca="false">Test1_Hand!$B$4+E1563*D1563</f>
        <v>16</v>
      </c>
      <c r="G1563" s="24" t="n">
        <f aca="false">Test1_Hand!$B$6*E1563*D1563+Test1_Hand!$B$7*MAX(0,F1563-Test1_Hand!$B$5)</f>
        <v>0</v>
      </c>
      <c r="H1563" s="2" t="n">
        <f aca="false">IF(B1563&lt;Test1_Hand!$B$13,1,0)</f>
        <v>0</v>
      </c>
      <c r="I1563" s="23" t="n">
        <f aca="false">Test1_Hand!$B$4+H1563*D1563</f>
        <v>16</v>
      </c>
      <c r="J1563" s="24" t="n">
        <f aca="false">Test1_Hand!$B$6*H1563*D1563+Test1_Hand!$B$7*MAX(0,I1563-Test1_Hand!$B$5)+Test1_Hand!$B$14</f>
        <v>6000</v>
      </c>
    </row>
    <row r="1564" customFormat="false" ht="15" hidden="false" customHeight="false" outlineLevel="0" collapsed="false">
      <c r="A1564" s="2" t="n">
        <v>1552</v>
      </c>
      <c r="B1564" s="22" t="n">
        <v>0.182038180222502</v>
      </c>
      <c r="C1564" s="22" t="n">
        <v>0.245535965174583</v>
      </c>
      <c r="D1564" s="23" t="n">
        <f aca="false">BETAINV(C1564,Test1_Hand!$B$21,Test1_Hand!$B$22,Test1_Hand!$B$9,Test1_Hand!$B$11)</f>
        <v>2.49624927441935</v>
      </c>
      <c r="E1564" s="2" t="n">
        <f aca="false">IF(B1564&lt;Test1_Hand!$B$12,1,0)</f>
        <v>1</v>
      </c>
      <c r="F1564" s="23" t="n">
        <f aca="false">Test1_Hand!$B$4+E1564*D1564</f>
        <v>18.4962492744193</v>
      </c>
      <c r="G1564" s="24" t="n">
        <f aca="false">Test1_Hand!$B$6*E1564*D1564+Test1_Hand!$B$7*MAX(0,F1564-Test1_Hand!$B$5)</f>
        <v>19969.9941953548</v>
      </c>
      <c r="H1564" s="2" t="n">
        <f aca="false">IF(B1564&lt;Test1_Hand!$B$13,1,0)</f>
        <v>1</v>
      </c>
      <c r="I1564" s="23" t="n">
        <f aca="false">Test1_Hand!$B$4+H1564*D1564</f>
        <v>18.4962492744193</v>
      </c>
      <c r="J1564" s="24" t="n">
        <f aca="false">Test1_Hand!$B$6*H1564*D1564+Test1_Hand!$B$7*MAX(0,I1564-Test1_Hand!$B$5)+Test1_Hand!$B$14</f>
        <v>25969.9941953548</v>
      </c>
    </row>
    <row r="1565" customFormat="false" ht="15" hidden="false" customHeight="false" outlineLevel="0" collapsed="false">
      <c r="A1565" s="2" t="n">
        <v>1553</v>
      </c>
      <c r="B1565" s="22" t="n">
        <v>0.573678158999114</v>
      </c>
      <c r="C1565" s="22" t="n">
        <v>0.0155275974763234</v>
      </c>
      <c r="D1565" s="23" t="n">
        <f aca="false">BETAINV(C1565,Test1_Hand!$B$21,Test1_Hand!$B$22,Test1_Hand!$B$9,Test1_Hand!$B$11)</f>
        <v>1.3516673544404</v>
      </c>
      <c r="E1565" s="2" t="n">
        <f aca="false">IF(B1565&lt;Test1_Hand!$B$12,1,0)</f>
        <v>0</v>
      </c>
      <c r="F1565" s="23" t="n">
        <f aca="false">Test1_Hand!$B$4+E1565*D1565</f>
        <v>16</v>
      </c>
      <c r="G1565" s="24" t="n">
        <f aca="false">Test1_Hand!$B$6*E1565*D1565+Test1_Hand!$B$7*MAX(0,F1565-Test1_Hand!$B$5)</f>
        <v>0</v>
      </c>
      <c r="H1565" s="2" t="n">
        <f aca="false">IF(B1565&lt;Test1_Hand!$B$13,1,0)</f>
        <v>0</v>
      </c>
      <c r="I1565" s="23" t="n">
        <f aca="false">Test1_Hand!$B$4+H1565*D1565</f>
        <v>16</v>
      </c>
      <c r="J1565" s="24" t="n">
        <f aca="false">Test1_Hand!$B$6*H1565*D1565+Test1_Hand!$B$7*MAX(0,I1565-Test1_Hand!$B$5)+Test1_Hand!$B$14</f>
        <v>6000</v>
      </c>
    </row>
    <row r="1566" customFormat="false" ht="15" hidden="false" customHeight="false" outlineLevel="0" collapsed="false">
      <c r="A1566" s="2" t="n">
        <v>1554</v>
      </c>
      <c r="B1566" s="22" t="n">
        <v>0.892216534842807</v>
      </c>
      <c r="C1566" s="22" t="n">
        <v>0.428214747083227</v>
      </c>
      <c r="D1566" s="23" t="n">
        <f aca="false">BETAINV(C1566,Test1_Hand!$B$21,Test1_Hand!$B$22,Test1_Hand!$B$9,Test1_Hand!$B$11)</f>
        <v>3.13275938588461</v>
      </c>
      <c r="E1566" s="2" t="n">
        <f aca="false">IF(B1566&lt;Test1_Hand!$B$12,1,0)</f>
        <v>0</v>
      </c>
      <c r="F1566" s="23" t="n">
        <f aca="false">Test1_Hand!$B$4+E1566*D1566</f>
        <v>16</v>
      </c>
      <c r="G1566" s="24" t="n">
        <f aca="false">Test1_Hand!$B$6*E1566*D1566+Test1_Hand!$B$7*MAX(0,F1566-Test1_Hand!$B$5)</f>
        <v>0</v>
      </c>
      <c r="H1566" s="2" t="n">
        <f aca="false">IF(B1566&lt;Test1_Hand!$B$13,1,0)</f>
        <v>0</v>
      </c>
      <c r="I1566" s="23" t="n">
        <f aca="false">Test1_Hand!$B$4+H1566*D1566</f>
        <v>16</v>
      </c>
      <c r="J1566" s="24" t="n">
        <f aca="false">Test1_Hand!$B$6*H1566*D1566+Test1_Hand!$B$7*MAX(0,I1566-Test1_Hand!$B$5)+Test1_Hand!$B$14</f>
        <v>6000</v>
      </c>
    </row>
    <row r="1567" customFormat="false" ht="15" hidden="false" customHeight="false" outlineLevel="0" collapsed="false">
      <c r="A1567" s="2" t="n">
        <v>1555</v>
      </c>
      <c r="B1567" s="22" t="n">
        <v>0.847114230303539</v>
      </c>
      <c r="C1567" s="22" t="n">
        <v>0.0910026374398704</v>
      </c>
      <c r="D1567" s="23" t="n">
        <f aca="false">BETAINV(C1567,Test1_Hand!$B$21,Test1_Hand!$B$22,Test1_Hand!$B$9,Test1_Hand!$B$11)</f>
        <v>1.8601215208035</v>
      </c>
      <c r="E1567" s="2" t="n">
        <f aca="false">IF(B1567&lt;Test1_Hand!$B$12,1,0)</f>
        <v>0</v>
      </c>
      <c r="F1567" s="23" t="n">
        <f aca="false">Test1_Hand!$B$4+E1567*D1567</f>
        <v>16</v>
      </c>
      <c r="G1567" s="24" t="n">
        <f aca="false">Test1_Hand!$B$6*E1567*D1567+Test1_Hand!$B$7*MAX(0,F1567-Test1_Hand!$B$5)</f>
        <v>0</v>
      </c>
      <c r="H1567" s="2" t="n">
        <f aca="false">IF(B1567&lt;Test1_Hand!$B$13,1,0)</f>
        <v>0</v>
      </c>
      <c r="I1567" s="23" t="n">
        <f aca="false">Test1_Hand!$B$4+H1567*D1567</f>
        <v>16</v>
      </c>
      <c r="J1567" s="24" t="n">
        <f aca="false">Test1_Hand!$B$6*H1567*D1567+Test1_Hand!$B$7*MAX(0,I1567-Test1_Hand!$B$5)+Test1_Hand!$B$14</f>
        <v>6000</v>
      </c>
    </row>
    <row r="1568" customFormat="false" ht="15" hidden="false" customHeight="false" outlineLevel="0" collapsed="false">
      <c r="A1568" s="2" t="n">
        <v>1556</v>
      </c>
      <c r="B1568" s="22" t="n">
        <v>0.803977271192856</v>
      </c>
      <c r="C1568" s="22" t="n">
        <v>0.480863007970534</v>
      </c>
      <c r="D1568" s="23" t="n">
        <f aca="false">BETAINV(C1568,Test1_Hand!$B$21,Test1_Hand!$B$22,Test1_Hand!$B$9,Test1_Hand!$B$11)</f>
        <v>3.31535801773043</v>
      </c>
      <c r="E1568" s="2" t="n">
        <f aca="false">IF(B1568&lt;Test1_Hand!$B$12,1,0)</f>
        <v>0</v>
      </c>
      <c r="F1568" s="23" t="n">
        <f aca="false">Test1_Hand!$B$4+E1568*D1568</f>
        <v>16</v>
      </c>
      <c r="G1568" s="24" t="n">
        <f aca="false">Test1_Hand!$B$6*E1568*D1568+Test1_Hand!$B$7*MAX(0,F1568-Test1_Hand!$B$5)</f>
        <v>0</v>
      </c>
      <c r="H1568" s="2" t="n">
        <f aca="false">IF(B1568&lt;Test1_Hand!$B$13,1,0)</f>
        <v>0</v>
      </c>
      <c r="I1568" s="23" t="n">
        <f aca="false">Test1_Hand!$B$4+H1568*D1568</f>
        <v>16</v>
      </c>
      <c r="J1568" s="24" t="n">
        <f aca="false">Test1_Hand!$B$6*H1568*D1568+Test1_Hand!$B$7*MAX(0,I1568-Test1_Hand!$B$5)+Test1_Hand!$B$14</f>
        <v>6000</v>
      </c>
    </row>
    <row r="1569" customFormat="false" ht="15" hidden="false" customHeight="false" outlineLevel="0" collapsed="false">
      <c r="A1569" s="2" t="n">
        <v>1557</v>
      </c>
      <c r="B1569" s="22" t="n">
        <v>0.188539951068678</v>
      </c>
      <c r="C1569" s="22" t="n">
        <v>0.688838953802396</v>
      </c>
      <c r="D1569" s="23" t="n">
        <f aca="false">BETAINV(C1569,Test1_Hand!$B$21,Test1_Hand!$B$22,Test1_Hand!$B$9,Test1_Hand!$B$11)</f>
        <v>4.10177868004541</v>
      </c>
      <c r="E1569" s="2" t="n">
        <f aca="false">IF(B1569&lt;Test1_Hand!$B$12,1,0)</f>
        <v>1</v>
      </c>
      <c r="F1569" s="23" t="n">
        <f aca="false">Test1_Hand!$B$4+E1569*D1569</f>
        <v>20.1017786800454</v>
      </c>
      <c r="G1569" s="24" t="n">
        <f aca="false">Test1_Hand!$B$6*E1569*D1569+Test1_Hand!$B$7*MAX(0,F1569-Test1_Hand!$B$5)</f>
        <v>33323.1228405904</v>
      </c>
      <c r="H1569" s="2" t="n">
        <f aca="false">IF(B1569&lt;Test1_Hand!$B$13,1,0)</f>
        <v>1</v>
      </c>
      <c r="I1569" s="23" t="n">
        <f aca="false">Test1_Hand!$B$4+H1569*D1569</f>
        <v>20.1017786800454</v>
      </c>
      <c r="J1569" s="24" t="n">
        <f aca="false">Test1_Hand!$B$6*H1569*D1569+Test1_Hand!$B$7*MAX(0,I1569-Test1_Hand!$B$5)+Test1_Hand!$B$14</f>
        <v>39323.1228405904</v>
      </c>
    </row>
    <row r="1570" customFormat="false" ht="15" hidden="false" customHeight="false" outlineLevel="0" collapsed="false">
      <c r="A1570" s="2" t="n">
        <v>1558</v>
      </c>
      <c r="B1570" s="22" t="n">
        <v>0.508096994726034</v>
      </c>
      <c r="C1570" s="22" t="n">
        <v>0.6676463731529</v>
      </c>
      <c r="D1570" s="23" t="n">
        <f aca="false">BETAINV(C1570,Test1_Hand!$B$21,Test1_Hand!$B$22,Test1_Hand!$B$9,Test1_Hand!$B$11)</f>
        <v>4.01344483247243</v>
      </c>
      <c r="E1570" s="2" t="n">
        <f aca="false">IF(B1570&lt;Test1_Hand!$B$12,1,0)</f>
        <v>0</v>
      </c>
      <c r="F1570" s="23" t="n">
        <f aca="false">Test1_Hand!$B$4+E1570*D1570</f>
        <v>16</v>
      </c>
      <c r="G1570" s="24" t="n">
        <f aca="false">Test1_Hand!$B$6*E1570*D1570+Test1_Hand!$B$7*MAX(0,F1570-Test1_Hand!$B$5)</f>
        <v>0</v>
      </c>
      <c r="H1570" s="2" t="n">
        <f aca="false">IF(B1570&lt;Test1_Hand!$B$13,1,0)</f>
        <v>0</v>
      </c>
      <c r="I1570" s="23" t="n">
        <f aca="false">Test1_Hand!$B$4+H1570*D1570</f>
        <v>16</v>
      </c>
      <c r="J1570" s="24" t="n">
        <f aca="false">Test1_Hand!$B$6*H1570*D1570+Test1_Hand!$B$7*MAX(0,I1570-Test1_Hand!$B$5)+Test1_Hand!$B$14</f>
        <v>6000</v>
      </c>
    </row>
    <row r="1571" customFormat="false" ht="15" hidden="false" customHeight="false" outlineLevel="0" collapsed="false">
      <c r="A1571" s="2" t="n">
        <v>1559</v>
      </c>
      <c r="B1571" s="22" t="n">
        <v>0.358176851988138</v>
      </c>
      <c r="C1571" s="22" t="n">
        <v>0.420763585717294</v>
      </c>
      <c r="D1571" s="23" t="n">
        <f aca="false">BETAINV(C1571,Test1_Hand!$B$21,Test1_Hand!$B$22,Test1_Hand!$B$9,Test1_Hand!$B$11)</f>
        <v>3.10710463379945</v>
      </c>
      <c r="E1571" s="2" t="n">
        <f aca="false">IF(B1571&lt;Test1_Hand!$B$12,1,0)</f>
        <v>1</v>
      </c>
      <c r="F1571" s="23" t="n">
        <f aca="false">Test1_Hand!$B$4+E1571*D1571</f>
        <v>19.1071046337995</v>
      </c>
      <c r="G1571" s="24" t="n">
        <f aca="false">Test1_Hand!$B$6*E1571*D1571+Test1_Hand!$B$7*MAX(0,F1571-Test1_Hand!$B$5)</f>
        <v>24856.8370703956</v>
      </c>
      <c r="H1571" s="2" t="n">
        <f aca="false">IF(B1571&lt;Test1_Hand!$B$13,1,0)</f>
        <v>0</v>
      </c>
      <c r="I1571" s="23" t="n">
        <f aca="false">Test1_Hand!$B$4+H1571*D1571</f>
        <v>16</v>
      </c>
      <c r="J1571" s="24" t="n">
        <f aca="false">Test1_Hand!$B$6*H1571*D1571+Test1_Hand!$B$7*MAX(0,I1571-Test1_Hand!$B$5)+Test1_Hand!$B$14</f>
        <v>6000</v>
      </c>
    </row>
    <row r="1572" customFormat="false" ht="15" hidden="false" customHeight="false" outlineLevel="0" collapsed="false">
      <c r="A1572" s="2" t="n">
        <v>1560</v>
      </c>
      <c r="B1572" s="22" t="n">
        <v>0.724826725873206</v>
      </c>
      <c r="C1572" s="22" t="n">
        <v>0.584582896458107</v>
      </c>
      <c r="D1572" s="23" t="n">
        <f aca="false">BETAINV(C1572,Test1_Hand!$B$21,Test1_Hand!$B$22,Test1_Hand!$B$9,Test1_Hand!$B$11)</f>
        <v>3.68901153471532</v>
      </c>
      <c r="E1572" s="2" t="n">
        <f aca="false">IF(B1572&lt;Test1_Hand!$B$12,1,0)</f>
        <v>0</v>
      </c>
      <c r="F1572" s="23" t="n">
        <f aca="false">Test1_Hand!$B$4+E1572*D1572</f>
        <v>16</v>
      </c>
      <c r="G1572" s="24" t="n">
        <f aca="false">Test1_Hand!$B$6*E1572*D1572+Test1_Hand!$B$7*MAX(0,F1572-Test1_Hand!$B$5)</f>
        <v>0</v>
      </c>
      <c r="H1572" s="2" t="n">
        <f aca="false">IF(B1572&lt;Test1_Hand!$B$13,1,0)</f>
        <v>0</v>
      </c>
      <c r="I1572" s="23" t="n">
        <f aca="false">Test1_Hand!$B$4+H1572*D1572</f>
        <v>16</v>
      </c>
      <c r="J1572" s="24" t="n">
        <f aca="false">Test1_Hand!$B$6*H1572*D1572+Test1_Hand!$B$7*MAX(0,I1572-Test1_Hand!$B$5)+Test1_Hand!$B$14</f>
        <v>6000</v>
      </c>
    </row>
    <row r="1573" customFormat="false" ht="15" hidden="false" customHeight="false" outlineLevel="0" collapsed="false">
      <c r="A1573" s="2" t="n">
        <v>1561</v>
      </c>
      <c r="B1573" s="22" t="n">
        <v>0.298118361584546</v>
      </c>
      <c r="C1573" s="22" t="n">
        <v>0.663731107378738</v>
      </c>
      <c r="D1573" s="23" t="n">
        <f aca="false">BETAINV(C1573,Test1_Hand!$B$21,Test1_Hand!$B$22,Test1_Hand!$B$9,Test1_Hand!$B$11)</f>
        <v>3.99741580317534</v>
      </c>
      <c r="E1573" s="2" t="n">
        <f aca="false">IF(B1573&lt;Test1_Hand!$B$12,1,0)</f>
        <v>1</v>
      </c>
      <c r="F1573" s="23" t="n">
        <f aca="false">Test1_Hand!$B$4+E1573*D1573</f>
        <v>19.9974158031753</v>
      </c>
      <c r="G1573" s="24" t="n">
        <f aca="false">Test1_Hand!$B$6*E1573*D1573+Test1_Hand!$B$7*MAX(0,F1573-Test1_Hand!$B$5)</f>
        <v>31979.3264254027</v>
      </c>
      <c r="H1573" s="2" t="n">
        <f aca="false">IF(B1573&lt;Test1_Hand!$B$13,1,0)</f>
        <v>0</v>
      </c>
      <c r="I1573" s="23" t="n">
        <f aca="false">Test1_Hand!$B$4+H1573*D1573</f>
        <v>16</v>
      </c>
      <c r="J1573" s="24" t="n">
        <f aca="false">Test1_Hand!$B$6*H1573*D1573+Test1_Hand!$B$7*MAX(0,I1573-Test1_Hand!$B$5)+Test1_Hand!$B$14</f>
        <v>6000</v>
      </c>
    </row>
    <row r="1574" customFormat="false" ht="15" hidden="false" customHeight="false" outlineLevel="0" collapsed="false">
      <c r="A1574" s="2" t="n">
        <v>1562</v>
      </c>
      <c r="B1574" s="22" t="n">
        <v>0.633569794258795</v>
      </c>
      <c r="C1574" s="22" t="n">
        <v>0.15212876745903</v>
      </c>
      <c r="D1574" s="23" t="n">
        <f aca="false">BETAINV(C1574,Test1_Hand!$B$21,Test1_Hand!$B$22,Test1_Hand!$B$9,Test1_Hand!$B$11)</f>
        <v>2.13638896730914</v>
      </c>
      <c r="E1574" s="2" t="n">
        <f aca="false">IF(B1574&lt;Test1_Hand!$B$12,1,0)</f>
        <v>0</v>
      </c>
      <c r="F1574" s="23" t="n">
        <f aca="false">Test1_Hand!$B$4+E1574*D1574</f>
        <v>16</v>
      </c>
      <c r="G1574" s="24" t="n">
        <f aca="false">Test1_Hand!$B$6*E1574*D1574+Test1_Hand!$B$7*MAX(0,F1574-Test1_Hand!$B$5)</f>
        <v>0</v>
      </c>
      <c r="H1574" s="2" t="n">
        <f aca="false">IF(B1574&lt;Test1_Hand!$B$13,1,0)</f>
        <v>0</v>
      </c>
      <c r="I1574" s="23" t="n">
        <f aca="false">Test1_Hand!$B$4+H1574*D1574</f>
        <v>16</v>
      </c>
      <c r="J1574" s="24" t="n">
        <f aca="false">Test1_Hand!$B$6*H1574*D1574+Test1_Hand!$B$7*MAX(0,I1574-Test1_Hand!$B$5)+Test1_Hand!$B$14</f>
        <v>6000</v>
      </c>
    </row>
    <row r="1575" customFormat="false" ht="15" hidden="false" customHeight="false" outlineLevel="0" collapsed="false">
      <c r="A1575" s="2" t="n">
        <v>1563</v>
      </c>
      <c r="B1575" s="22" t="n">
        <v>0.581416375859773</v>
      </c>
      <c r="C1575" s="22" t="n">
        <v>0.00206496833056935</v>
      </c>
      <c r="D1575" s="23" t="n">
        <f aca="false">BETAINV(C1575,Test1_Hand!$B$21,Test1_Hand!$B$22,Test1_Hand!$B$9,Test1_Hand!$B$11)</f>
        <v>1.13325749734831</v>
      </c>
      <c r="E1575" s="2" t="n">
        <f aca="false">IF(B1575&lt;Test1_Hand!$B$12,1,0)</f>
        <v>0</v>
      </c>
      <c r="F1575" s="23" t="n">
        <f aca="false">Test1_Hand!$B$4+E1575*D1575</f>
        <v>16</v>
      </c>
      <c r="G1575" s="24" t="n">
        <f aca="false">Test1_Hand!$B$6*E1575*D1575+Test1_Hand!$B$7*MAX(0,F1575-Test1_Hand!$B$5)</f>
        <v>0</v>
      </c>
      <c r="H1575" s="2" t="n">
        <f aca="false">IF(B1575&lt;Test1_Hand!$B$13,1,0)</f>
        <v>0</v>
      </c>
      <c r="I1575" s="23" t="n">
        <f aca="false">Test1_Hand!$B$4+H1575*D1575</f>
        <v>16</v>
      </c>
      <c r="J1575" s="24" t="n">
        <f aca="false">Test1_Hand!$B$6*H1575*D1575+Test1_Hand!$B$7*MAX(0,I1575-Test1_Hand!$B$5)+Test1_Hand!$B$14</f>
        <v>6000</v>
      </c>
    </row>
    <row r="1576" customFormat="false" ht="15" hidden="false" customHeight="false" outlineLevel="0" collapsed="false">
      <c r="A1576" s="2" t="n">
        <v>1564</v>
      </c>
      <c r="B1576" s="22" t="n">
        <v>0.929286987865712</v>
      </c>
      <c r="C1576" s="22" t="n">
        <v>0.783449605768131</v>
      </c>
      <c r="D1576" s="23" t="n">
        <f aca="false">BETAINV(C1576,Test1_Hand!$B$21,Test1_Hand!$B$22,Test1_Hand!$B$9,Test1_Hand!$B$11)</f>
        <v>4.53930108805572</v>
      </c>
      <c r="E1576" s="2" t="n">
        <f aca="false">IF(B1576&lt;Test1_Hand!$B$12,1,0)</f>
        <v>0</v>
      </c>
      <c r="F1576" s="23" t="n">
        <f aca="false">Test1_Hand!$B$4+E1576*D1576</f>
        <v>16</v>
      </c>
      <c r="G1576" s="24" t="n">
        <f aca="false">Test1_Hand!$B$6*E1576*D1576+Test1_Hand!$B$7*MAX(0,F1576-Test1_Hand!$B$5)</f>
        <v>0</v>
      </c>
      <c r="H1576" s="2" t="n">
        <f aca="false">IF(B1576&lt;Test1_Hand!$B$13,1,0)</f>
        <v>0</v>
      </c>
      <c r="I1576" s="23" t="n">
        <f aca="false">Test1_Hand!$B$4+H1576*D1576</f>
        <v>16</v>
      </c>
      <c r="J1576" s="24" t="n">
        <f aca="false">Test1_Hand!$B$6*H1576*D1576+Test1_Hand!$B$7*MAX(0,I1576-Test1_Hand!$B$5)+Test1_Hand!$B$14</f>
        <v>6000</v>
      </c>
    </row>
    <row r="1577" customFormat="false" ht="15" hidden="false" customHeight="false" outlineLevel="0" collapsed="false">
      <c r="A1577" s="2" t="n">
        <v>1565</v>
      </c>
      <c r="B1577" s="22" t="n">
        <v>0.603300886560782</v>
      </c>
      <c r="C1577" s="22" t="n">
        <v>0.929094658923522</v>
      </c>
      <c r="D1577" s="23" t="n">
        <f aca="false">BETAINV(C1577,Test1_Hand!$B$21,Test1_Hand!$B$22,Test1_Hand!$B$9,Test1_Hand!$B$11)</f>
        <v>5.53632038312019</v>
      </c>
      <c r="E1577" s="2" t="n">
        <f aca="false">IF(B1577&lt;Test1_Hand!$B$12,1,0)</f>
        <v>0</v>
      </c>
      <c r="F1577" s="23" t="n">
        <f aca="false">Test1_Hand!$B$4+E1577*D1577</f>
        <v>16</v>
      </c>
      <c r="G1577" s="24" t="n">
        <f aca="false">Test1_Hand!$B$6*E1577*D1577+Test1_Hand!$B$7*MAX(0,F1577-Test1_Hand!$B$5)</f>
        <v>0</v>
      </c>
      <c r="H1577" s="2" t="n">
        <f aca="false">IF(B1577&lt;Test1_Hand!$B$13,1,0)</f>
        <v>0</v>
      </c>
      <c r="I1577" s="23" t="n">
        <f aca="false">Test1_Hand!$B$4+H1577*D1577</f>
        <v>16</v>
      </c>
      <c r="J1577" s="24" t="n">
        <f aca="false">Test1_Hand!$B$6*H1577*D1577+Test1_Hand!$B$7*MAX(0,I1577-Test1_Hand!$B$5)+Test1_Hand!$B$14</f>
        <v>6000</v>
      </c>
    </row>
    <row r="1578" customFormat="false" ht="15" hidden="false" customHeight="false" outlineLevel="0" collapsed="false">
      <c r="A1578" s="2" t="n">
        <v>1566</v>
      </c>
      <c r="B1578" s="22" t="n">
        <v>0.166393257663009</v>
      </c>
      <c r="C1578" s="22" t="n">
        <v>0.754007432124422</v>
      </c>
      <c r="D1578" s="23" t="n">
        <f aca="false">BETAINV(C1578,Test1_Hand!$B$21,Test1_Hand!$B$22,Test1_Hand!$B$9,Test1_Hand!$B$11)</f>
        <v>4.39391606169596</v>
      </c>
      <c r="E1578" s="2" t="n">
        <f aca="false">IF(B1578&lt;Test1_Hand!$B$12,1,0)</f>
        <v>1</v>
      </c>
      <c r="F1578" s="23" t="n">
        <f aca="false">Test1_Hand!$B$4+E1578*D1578</f>
        <v>20.393916061696</v>
      </c>
      <c r="G1578" s="24" t="n">
        <f aca="false">Test1_Hand!$B$6*E1578*D1578+Test1_Hand!$B$7*MAX(0,F1578-Test1_Hand!$B$5)</f>
        <v>37120.9088020475</v>
      </c>
      <c r="H1578" s="2" t="n">
        <f aca="false">IF(B1578&lt;Test1_Hand!$B$13,1,0)</f>
        <v>1</v>
      </c>
      <c r="I1578" s="23" t="n">
        <f aca="false">Test1_Hand!$B$4+H1578*D1578</f>
        <v>20.393916061696</v>
      </c>
      <c r="J1578" s="24" t="n">
        <f aca="false">Test1_Hand!$B$6*H1578*D1578+Test1_Hand!$B$7*MAX(0,I1578-Test1_Hand!$B$5)+Test1_Hand!$B$14</f>
        <v>43120.9088020475</v>
      </c>
    </row>
    <row r="1579" customFormat="false" ht="15" hidden="false" customHeight="false" outlineLevel="0" collapsed="false">
      <c r="A1579" s="2" t="n">
        <v>1567</v>
      </c>
      <c r="B1579" s="22" t="n">
        <v>0.329231245356271</v>
      </c>
      <c r="C1579" s="22" t="n">
        <v>0.51219908590088</v>
      </c>
      <c r="D1579" s="23" t="n">
        <f aca="false">BETAINV(C1579,Test1_Hand!$B$21,Test1_Hand!$B$22,Test1_Hand!$B$9,Test1_Hand!$B$11)</f>
        <v>3.42576943270223</v>
      </c>
      <c r="E1579" s="2" t="n">
        <f aca="false">IF(B1579&lt;Test1_Hand!$B$12,1,0)</f>
        <v>1</v>
      </c>
      <c r="F1579" s="23" t="n">
        <f aca="false">Test1_Hand!$B$4+E1579*D1579</f>
        <v>19.4257694327022</v>
      </c>
      <c r="G1579" s="24" t="n">
        <f aca="false">Test1_Hand!$B$6*E1579*D1579+Test1_Hand!$B$7*MAX(0,F1579-Test1_Hand!$B$5)</f>
        <v>27406.1554616179</v>
      </c>
      <c r="H1579" s="2" t="n">
        <f aca="false">IF(B1579&lt;Test1_Hand!$B$13,1,0)</f>
        <v>0</v>
      </c>
      <c r="I1579" s="23" t="n">
        <f aca="false">Test1_Hand!$B$4+H1579*D1579</f>
        <v>16</v>
      </c>
      <c r="J1579" s="24" t="n">
        <f aca="false">Test1_Hand!$B$6*H1579*D1579+Test1_Hand!$B$7*MAX(0,I1579-Test1_Hand!$B$5)+Test1_Hand!$B$14</f>
        <v>6000</v>
      </c>
    </row>
    <row r="1580" customFormat="false" ht="15" hidden="false" customHeight="false" outlineLevel="0" collapsed="false">
      <c r="A1580" s="2" t="n">
        <v>1568</v>
      </c>
      <c r="B1580" s="22" t="n">
        <v>0.891328192905845</v>
      </c>
      <c r="C1580" s="22" t="n">
        <v>0.206147881362582</v>
      </c>
      <c r="D1580" s="23" t="n">
        <f aca="false">BETAINV(C1580,Test1_Hand!$B$21,Test1_Hand!$B$22,Test1_Hand!$B$9,Test1_Hand!$B$11)</f>
        <v>2.35013015977051</v>
      </c>
      <c r="E1580" s="2" t="n">
        <f aca="false">IF(B1580&lt;Test1_Hand!$B$12,1,0)</f>
        <v>0</v>
      </c>
      <c r="F1580" s="23" t="n">
        <f aca="false">Test1_Hand!$B$4+E1580*D1580</f>
        <v>16</v>
      </c>
      <c r="G1580" s="24" t="n">
        <f aca="false">Test1_Hand!$B$6*E1580*D1580+Test1_Hand!$B$7*MAX(0,F1580-Test1_Hand!$B$5)</f>
        <v>0</v>
      </c>
      <c r="H1580" s="2" t="n">
        <f aca="false">IF(B1580&lt;Test1_Hand!$B$13,1,0)</f>
        <v>0</v>
      </c>
      <c r="I1580" s="23" t="n">
        <f aca="false">Test1_Hand!$B$4+H1580*D1580</f>
        <v>16</v>
      </c>
      <c r="J1580" s="24" t="n">
        <f aca="false">Test1_Hand!$B$6*H1580*D1580+Test1_Hand!$B$7*MAX(0,I1580-Test1_Hand!$B$5)+Test1_Hand!$B$14</f>
        <v>6000</v>
      </c>
    </row>
    <row r="1581" customFormat="false" ht="15" hidden="false" customHeight="false" outlineLevel="0" collapsed="false">
      <c r="A1581" s="2" t="n">
        <v>1569</v>
      </c>
      <c r="B1581" s="22" t="n">
        <v>0.287791140776606</v>
      </c>
      <c r="C1581" s="22" t="n">
        <v>0.358204880651753</v>
      </c>
      <c r="D1581" s="23" t="n">
        <f aca="false">BETAINV(C1581,Test1_Hand!$B$21,Test1_Hand!$B$22,Test1_Hand!$B$9,Test1_Hand!$B$11)</f>
        <v>2.89215297880964</v>
      </c>
      <c r="E1581" s="2" t="n">
        <f aca="false">IF(B1581&lt;Test1_Hand!$B$12,1,0)</f>
        <v>1</v>
      </c>
      <c r="F1581" s="23" t="n">
        <f aca="false">Test1_Hand!$B$4+E1581*D1581</f>
        <v>18.8921529788096</v>
      </c>
      <c r="G1581" s="24" t="n">
        <f aca="false">Test1_Hand!$B$6*E1581*D1581+Test1_Hand!$B$7*MAX(0,F1581-Test1_Hand!$B$5)</f>
        <v>23137.2238304771</v>
      </c>
      <c r="H1581" s="2" t="n">
        <f aca="false">IF(B1581&lt;Test1_Hand!$B$13,1,0)</f>
        <v>0</v>
      </c>
      <c r="I1581" s="23" t="n">
        <f aca="false">Test1_Hand!$B$4+H1581*D1581</f>
        <v>16</v>
      </c>
      <c r="J1581" s="24" t="n">
        <f aca="false">Test1_Hand!$B$6*H1581*D1581+Test1_Hand!$B$7*MAX(0,I1581-Test1_Hand!$B$5)+Test1_Hand!$B$14</f>
        <v>6000</v>
      </c>
    </row>
    <row r="1582" customFormat="false" ht="15" hidden="false" customHeight="false" outlineLevel="0" collapsed="false">
      <c r="A1582" s="2" t="n">
        <v>1570</v>
      </c>
      <c r="B1582" s="22" t="n">
        <v>0.661343110111429</v>
      </c>
      <c r="C1582" s="22" t="n">
        <v>0.485017763501587</v>
      </c>
      <c r="D1582" s="23" t="n">
        <f aca="false">BETAINV(C1582,Test1_Hand!$B$21,Test1_Hand!$B$22,Test1_Hand!$B$9,Test1_Hand!$B$11)</f>
        <v>3.32990601248708</v>
      </c>
      <c r="E1582" s="2" t="n">
        <f aca="false">IF(B1582&lt;Test1_Hand!$B$12,1,0)</f>
        <v>0</v>
      </c>
      <c r="F1582" s="23" t="n">
        <f aca="false">Test1_Hand!$B$4+E1582*D1582</f>
        <v>16</v>
      </c>
      <c r="G1582" s="24" t="n">
        <f aca="false">Test1_Hand!$B$6*E1582*D1582+Test1_Hand!$B$7*MAX(0,F1582-Test1_Hand!$B$5)</f>
        <v>0</v>
      </c>
      <c r="H1582" s="2" t="n">
        <f aca="false">IF(B1582&lt;Test1_Hand!$B$13,1,0)</f>
        <v>0</v>
      </c>
      <c r="I1582" s="23" t="n">
        <f aca="false">Test1_Hand!$B$4+H1582*D1582</f>
        <v>16</v>
      </c>
      <c r="J1582" s="24" t="n">
        <f aca="false">Test1_Hand!$B$6*H1582*D1582+Test1_Hand!$B$7*MAX(0,I1582-Test1_Hand!$B$5)+Test1_Hand!$B$14</f>
        <v>6000</v>
      </c>
    </row>
    <row r="1583" customFormat="false" ht="15" hidden="false" customHeight="false" outlineLevel="0" collapsed="false">
      <c r="A1583" s="2" t="n">
        <v>1571</v>
      </c>
      <c r="B1583" s="22" t="n">
        <v>0.672533074397347</v>
      </c>
      <c r="C1583" s="22" t="n">
        <v>0.387561317988188</v>
      </c>
      <c r="D1583" s="23" t="n">
        <f aca="false">BETAINV(C1583,Test1_Hand!$B$21,Test1_Hand!$B$22,Test1_Hand!$B$9,Test1_Hand!$B$11)</f>
        <v>2.99302892947347</v>
      </c>
      <c r="E1583" s="2" t="n">
        <f aca="false">IF(B1583&lt;Test1_Hand!$B$12,1,0)</f>
        <v>0</v>
      </c>
      <c r="F1583" s="23" t="n">
        <f aca="false">Test1_Hand!$B$4+E1583*D1583</f>
        <v>16</v>
      </c>
      <c r="G1583" s="24" t="n">
        <f aca="false">Test1_Hand!$B$6*E1583*D1583+Test1_Hand!$B$7*MAX(0,F1583-Test1_Hand!$B$5)</f>
        <v>0</v>
      </c>
      <c r="H1583" s="2" t="n">
        <f aca="false">IF(B1583&lt;Test1_Hand!$B$13,1,0)</f>
        <v>0</v>
      </c>
      <c r="I1583" s="23" t="n">
        <f aca="false">Test1_Hand!$B$4+H1583*D1583</f>
        <v>16</v>
      </c>
      <c r="J1583" s="24" t="n">
        <f aca="false">Test1_Hand!$B$6*H1583*D1583+Test1_Hand!$B$7*MAX(0,I1583-Test1_Hand!$B$5)+Test1_Hand!$B$14</f>
        <v>6000</v>
      </c>
    </row>
    <row r="1584" customFormat="false" ht="15" hidden="false" customHeight="false" outlineLevel="0" collapsed="false">
      <c r="A1584" s="2" t="n">
        <v>1572</v>
      </c>
      <c r="B1584" s="22" t="n">
        <v>0.98973413198147</v>
      </c>
      <c r="C1584" s="22" t="n">
        <v>0.103243534802163</v>
      </c>
      <c r="D1584" s="23" t="n">
        <f aca="false">BETAINV(C1584,Test1_Hand!$B$21,Test1_Hand!$B$22,Test1_Hand!$B$9,Test1_Hand!$B$11)</f>
        <v>1.9199184851785</v>
      </c>
      <c r="E1584" s="2" t="n">
        <f aca="false">IF(B1584&lt;Test1_Hand!$B$12,1,0)</f>
        <v>0</v>
      </c>
      <c r="F1584" s="23" t="n">
        <f aca="false">Test1_Hand!$B$4+E1584*D1584</f>
        <v>16</v>
      </c>
      <c r="G1584" s="24" t="n">
        <f aca="false">Test1_Hand!$B$6*E1584*D1584+Test1_Hand!$B$7*MAX(0,F1584-Test1_Hand!$B$5)</f>
        <v>0</v>
      </c>
      <c r="H1584" s="2" t="n">
        <f aca="false">IF(B1584&lt;Test1_Hand!$B$13,1,0)</f>
        <v>0</v>
      </c>
      <c r="I1584" s="23" t="n">
        <f aca="false">Test1_Hand!$B$4+H1584*D1584</f>
        <v>16</v>
      </c>
      <c r="J1584" s="24" t="n">
        <f aca="false">Test1_Hand!$B$6*H1584*D1584+Test1_Hand!$B$7*MAX(0,I1584-Test1_Hand!$B$5)+Test1_Hand!$B$14</f>
        <v>6000</v>
      </c>
    </row>
    <row r="1585" customFormat="false" ht="15" hidden="false" customHeight="false" outlineLevel="0" collapsed="false">
      <c r="A1585" s="2" t="n">
        <v>1573</v>
      </c>
      <c r="B1585" s="22" t="n">
        <v>0.499330348381703</v>
      </c>
      <c r="C1585" s="22" t="n">
        <v>0.0642776763250034</v>
      </c>
      <c r="D1585" s="23" t="n">
        <f aca="false">BETAINV(C1585,Test1_Hand!$B$21,Test1_Hand!$B$22,Test1_Hand!$B$9,Test1_Hand!$B$11)</f>
        <v>1.71699750382579</v>
      </c>
      <c r="E1585" s="2" t="n">
        <f aca="false">IF(B1585&lt;Test1_Hand!$B$12,1,0)</f>
        <v>1</v>
      </c>
      <c r="F1585" s="23" t="n">
        <f aca="false">Test1_Hand!$B$4+E1585*D1585</f>
        <v>17.7169975038258</v>
      </c>
      <c r="G1585" s="24" t="n">
        <f aca="false">Test1_Hand!$B$6*E1585*D1585+Test1_Hand!$B$7*MAX(0,F1585-Test1_Hand!$B$5)</f>
        <v>13735.9800306063</v>
      </c>
      <c r="H1585" s="2" t="n">
        <f aca="false">IF(B1585&lt;Test1_Hand!$B$13,1,0)</f>
        <v>0</v>
      </c>
      <c r="I1585" s="23" t="n">
        <f aca="false">Test1_Hand!$B$4+H1585*D1585</f>
        <v>16</v>
      </c>
      <c r="J1585" s="24" t="n">
        <f aca="false">Test1_Hand!$B$6*H1585*D1585+Test1_Hand!$B$7*MAX(0,I1585-Test1_Hand!$B$5)+Test1_Hand!$B$14</f>
        <v>6000</v>
      </c>
    </row>
    <row r="1586" customFormat="false" ht="15" hidden="false" customHeight="false" outlineLevel="0" collapsed="false">
      <c r="A1586" s="2" t="n">
        <v>1574</v>
      </c>
      <c r="B1586" s="22" t="n">
        <v>0.487013981660359</v>
      </c>
      <c r="C1586" s="22" t="n">
        <v>0.626429409329603</v>
      </c>
      <c r="D1586" s="23" t="n">
        <f aca="false">BETAINV(C1586,Test1_Hand!$B$21,Test1_Hand!$B$22,Test1_Hand!$B$9,Test1_Hand!$B$11)</f>
        <v>3.84867768441228</v>
      </c>
      <c r="E1586" s="2" t="n">
        <f aca="false">IF(B1586&lt;Test1_Hand!$B$12,1,0)</f>
        <v>1</v>
      </c>
      <c r="F1586" s="23" t="n">
        <f aca="false">Test1_Hand!$B$4+E1586*D1586</f>
        <v>19.8486776844123</v>
      </c>
      <c r="G1586" s="24" t="n">
        <f aca="false">Test1_Hand!$B$6*E1586*D1586+Test1_Hand!$B$7*MAX(0,F1586-Test1_Hand!$B$5)</f>
        <v>30789.4214752982</v>
      </c>
      <c r="H1586" s="2" t="n">
        <f aca="false">IF(B1586&lt;Test1_Hand!$B$13,1,0)</f>
        <v>0</v>
      </c>
      <c r="I1586" s="23" t="n">
        <f aca="false">Test1_Hand!$B$4+H1586*D1586</f>
        <v>16</v>
      </c>
      <c r="J1586" s="24" t="n">
        <f aca="false">Test1_Hand!$B$6*H1586*D1586+Test1_Hand!$B$7*MAX(0,I1586-Test1_Hand!$B$5)+Test1_Hand!$B$14</f>
        <v>6000</v>
      </c>
    </row>
    <row r="1587" customFormat="false" ht="15" hidden="false" customHeight="false" outlineLevel="0" collapsed="false">
      <c r="A1587" s="2" t="n">
        <v>1575</v>
      </c>
      <c r="B1587" s="22" t="n">
        <v>0.283301468382723</v>
      </c>
      <c r="C1587" s="22" t="n">
        <v>0.262230768172726</v>
      </c>
      <c r="D1587" s="23" t="n">
        <f aca="false">BETAINV(C1587,Test1_Hand!$B$21,Test1_Hand!$B$22,Test1_Hand!$B$9,Test1_Hand!$B$11)</f>
        <v>2.55652869651979</v>
      </c>
      <c r="E1587" s="2" t="n">
        <f aca="false">IF(B1587&lt;Test1_Hand!$B$12,1,0)</f>
        <v>1</v>
      </c>
      <c r="F1587" s="23" t="n">
        <f aca="false">Test1_Hand!$B$4+E1587*D1587</f>
        <v>18.5565286965198</v>
      </c>
      <c r="G1587" s="24" t="n">
        <f aca="false">Test1_Hand!$B$6*E1587*D1587+Test1_Hand!$B$7*MAX(0,F1587-Test1_Hand!$B$5)</f>
        <v>20452.2295721583</v>
      </c>
      <c r="H1587" s="2" t="n">
        <f aca="false">IF(B1587&lt;Test1_Hand!$B$13,1,0)</f>
        <v>0</v>
      </c>
      <c r="I1587" s="23" t="n">
        <f aca="false">Test1_Hand!$B$4+H1587*D1587</f>
        <v>16</v>
      </c>
      <c r="J1587" s="24" t="n">
        <f aca="false">Test1_Hand!$B$6*H1587*D1587+Test1_Hand!$B$7*MAX(0,I1587-Test1_Hand!$B$5)+Test1_Hand!$B$14</f>
        <v>6000</v>
      </c>
    </row>
    <row r="1588" customFormat="false" ht="15" hidden="false" customHeight="false" outlineLevel="0" collapsed="false">
      <c r="A1588" s="2" t="n">
        <v>1576</v>
      </c>
      <c r="B1588" s="22" t="n">
        <v>0.0710677839935114</v>
      </c>
      <c r="C1588" s="22" t="n">
        <v>0.749073842886142</v>
      </c>
      <c r="D1588" s="23" t="n">
        <f aca="false">BETAINV(C1588,Test1_Hand!$B$21,Test1_Hand!$B$22,Test1_Hand!$B$9,Test1_Hand!$B$11)</f>
        <v>4.37049428048336</v>
      </c>
      <c r="E1588" s="2" t="n">
        <f aca="false">IF(B1588&lt;Test1_Hand!$B$12,1,0)</f>
        <v>1</v>
      </c>
      <c r="F1588" s="23" t="n">
        <f aca="false">Test1_Hand!$B$4+E1588*D1588</f>
        <v>20.3704942804834</v>
      </c>
      <c r="G1588" s="24" t="n">
        <f aca="false">Test1_Hand!$B$6*E1588*D1588+Test1_Hand!$B$7*MAX(0,F1588-Test1_Hand!$B$5)</f>
        <v>36816.4256462837</v>
      </c>
      <c r="H1588" s="2" t="n">
        <f aca="false">IF(B1588&lt;Test1_Hand!$B$13,1,0)</f>
        <v>1</v>
      </c>
      <c r="I1588" s="23" t="n">
        <f aca="false">Test1_Hand!$B$4+H1588*D1588</f>
        <v>20.3704942804834</v>
      </c>
      <c r="J1588" s="24" t="n">
        <f aca="false">Test1_Hand!$B$6*H1588*D1588+Test1_Hand!$B$7*MAX(0,I1588-Test1_Hand!$B$5)+Test1_Hand!$B$14</f>
        <v>42816.4256462837</v>
      </c>
    </row>
    <row r="1589" customFormat="false" ht="15" hidden="false" customHeight="false" outlineLevel="0" collapsed="false">
      <c r="A1589" s="2" t="n">
        <v>1577</v>
      </c>
      <c r="B1589" s="22" t="n">
        <v>0.628460550603754</v>
      </c>
      <c r="C1589" s="22" t="n">
        <v>0.34772937998722</v>
      </c>
      <c r="D1589" s="23" t="n">
        <f aca="false">BETAINV(C1589,Test1_Hand!$B$21,Test1_Hand!$B$22,Test1_Hand!$B$9,Test1_Hand!$B$11)</f>
        <v>2.8560688078016</v>
      </c>
      <c r="E1589" s="2" t="n">
        <f aca="false">IF(B1589&lt;Test1_Hand!$B$12,1,0)</f>
        <v>0</v>
      </c>
      <c r="F1589" s="23" t="n">
        <f aca="false">Test1_Hand!$B$4+E1589*D1589</f>
        <v>16</v>
      </c>
      <c r="G1589" s="24" t="n">
        <f aca="false">Test1_Hand!$B$6*E1589*D1589+Test1_Hand!$B$7*MAX(0,F1589-Test1_Hand!$B$5)</f>
        <v>0</v>
      </c>
      <c r="H1589" s="2" t="n">
        <f aca="false">IF(B1589&lt;Test1_Hand!$B$13,1,0)</f>
        <v>0</v>
      </c>
      <c r="I1589" s="23" t="n">
        <f aca="false">Test1_Hand!$B$4+H1589*D1589</f>
        <v>16</v>
      </c>
      <c r="J1589" s="24" t="n">
        <f aca="false">Test1_Hand!$B$6*H1589*D1589+Test1_Hand!$B$7*MAX(0,I1589-Test1_Hand!$B$5)+Test1_Hand!$B$14</f>
        <v>6000</v>
      </c>
    </row>
    <row r="1590" customFormat="false" ht="15" hidden="false" customHeight="false" outlineLevel="0" collapsed="false">
      <c r="A1590" s="2" t="n">
        <v>1578</v>
      </c>
      <c r="B1590" s="22" t="n">
        <v>0.0785107118192301</v>
      </c>
      <c r="C1590" s="22" t="n">
        <v>0.911881565232054</v>
      </c>
      <c r="D1590" s="23" t="n">
        <f aca="false">BETAINV(C1590,Test1_Hand!$B$21,Test1_Hand!$B$22,Test1_Hand!$B$9,Test1_Hand!$B$11)</f>
        <v>5.37344486916846</v>
      </c>
      <c r="E1590" s="2" t="n">
        <f aca="false">IF(B1590&lt;Test1_Hand!$B$12,1,0)</f>
        <v>1</v>
      </c>
      <c r="F1590" s="23" t="n">
        <f aca="false">Test1_Hand!$B$4+E1590*D1590</f>
        <v>21.3734448691685</v>
      </c>
      <c r="G1590" s="24" t="n">
        <f aca="false">Test1_Hand!$B$6*E1590*D1590+Test1_Hand!$B$7*MAX(0,F1590-Test1_Hand!$B$5)</f>
        <v>49854.78329919</v>
      </c>
      <c r="H1590" s="2" t="n">
        <f aca="false">IF(B1590&lt;Test1_Hand!$B$13,1,0)</f>
        <v>1</v>
      </c>
      <c r="I1590" s="23" t="n">
        <f aca="false">Test1_Hand!$B$4+H1590*D1590</f>
        <v>21.3734448691685</v>
      </c>
      <c r="J1590" s="24" t="n">
        <f aca="false">Test1_Hand!$B$6*H1590*D1590+Test1_Hand!$B$7*MAX(0,I1590-Test1_Hand!$B$5)+Test1_Hand!$B$14</f>
        <v>55854.78329919</v>
      </c>
    </row>
    <row r="1591" customFormat="false" ht="15" hidden="false" customHeight="false" outlineLevel="0" collapsed="false">
      <c r="A1591" s="2" t="n">
        <v>1579</v>
      </c>
      <c r="B1591" s="22" t="n">
        <v>0.481098168404586</v>
      </c>
      <c r="C1591" s="22" t="n">
        <v>0.839072595878354</v>
      </c>
      <c r="D1591" s="23" t="n">
        <f aca="false">BETAINV(C1591,Test1_Hand!$B$21,Test1_Hand!$B$22,Test1_Hand!$B$9,Test1_Hand!$B$11)</f>
        <v>4.84817056201646</v>
      </c>
      <c r="E1591" s="2" t="n">
        <f aca="false">IF(B1591&lt;Test1_Hand!$B$12,1,0)</f>
        <v>1</v>
      </c>
      <c r="F1591" s="23" t="n">
        <f aca="false">Test1_Hand!$B$4+E1591*D1591</f>
        <v>20.8481705620165</v>
      </c>
      <c r="G1591" s="24" t="n">
        <f aca="false">Test1_Hand!$B$6*E1591*D1591+Test1_Hand!$B$7*MAX(0,F1591-Test1_Hand!$B$5)</f>
        <v>43026.217306214</v>
      </c>
      <c r="H1591" s="2" t="n">
        <f aca="false">IF(B1591&lt;Test1_Hand!$B$13,1,0)</f>
        <v>0</v>
      </c>
      <c r="I1591" s="23" t="n">
        <f aca="false">Test1_Hand!$B$4+H1591*D1591</f>
        <v>16</v>
      </c>
      <c r="J1591" s="24" t="n">
        <f aca="false">Test1_Hand!$B$6*H1591*D1591+Test1_Hand!$B$7*MAX(0,I1591-Test1_Hand!$B$5)+Test1_Hand!$B$14</f>
        <v>6000</v>
      </c>
    </row>
    <row r="1592" customFormat="false" ht="15" hidden="false" customHeight="false" outlineLevel="0" collapsed="false">
      <c r="A1592" s="2" t="n">
        <v>1580</v>
      </c>
      <c r="B1592" s="22" t="n">
        <v>0.758398842725368</v>
      </c>
      <c r="C1592" s="22" t="n">
        <v>0.805382408069709</v>
      </c>
      <c r="D1592" s="23" t="n">
        <f aca="false">BETAINV(C1592,Test1_Hand!$B$21,Test1_Hand!$B$22,Test1_Hand!$B$9,Test1_Hand!$B$11)</f>
        <v>4.65490606487988</v>
      </c>
      <c r="E1592" s="2" t="n">
        <f aca="false">IF(B1592&lt;Test1_Hand!$B$12,1,0)</f>
        <v>0</v>
      </c>
      <c r="F1592" s="23" t="n">
        <f aca="false">Test1_Hand!$B$4+E1592*D1592</f>
        <v>16</v>
      </c>
      <c r="G1592" s="24" t="n">
        <f aca="false">Test1_Hand!$B$6*E1592*D1592+Test1_Hand!$B$7*MAX(0,F1592-Test1_Hand!$B$5)</f>
        <v>0</v>
      </c>
      <c r="H1592" s="2" t="n">
        <f aca="false">IF(B1592&lt;Test1_Hand!$B$13,1,0)</f>
        <v>0</v>
      </c>
      <c r="I1592" s="23" t="n">
        <f aca="false">Test1_Hand!$B$4+H1592*D1592</f>
        <v>16</v>
      </c>
      <c r="J1592" s="24" t="n">
        <f aca="false">Test1_Hand!$B$6*H1592*D1592+Test1_Hand!$B$7*MAX(0,I1592-Test1_Hand!$B$5)+Test1_Hand!$B$14</f>
        <v>6000</v>
      </c>
    </row>
    <row r="1593" customFormat="false" ht="15" hidden="false" customHeight="false" outlineLevel="0" collapsed="false">
      <c r="A1593" s="2" t="n">
        <v>1581</v>
      </c>
      <c r="B1593" s="22" t="n">
        <v>0.267379022805775</v>
      </c>
      <c r="C1593" s="22" t="n">
        <v>0.686599306561121</v>
      </c>
      <c r="D1593" s="23" t="n">
        <f aca="false">BETAINV(C1593,Test1_Hand!$B$21,Test1_Hand!$B$22,Test1_Hand!$B$9,Test1_Hand!$B$11)</f>
        <v>4.09231170883012</v>
      </c>
      <c r="E1593" s="2" t="n">
        <f aca="false">IF(B1593&lt;Test1_Hand!$B$12,1,0)</f>
        <v>1</v>
      </c>
      <c r="F1593" s="23" t="n">
        <f aca="false">Test1_Hand!$B$4+E1593*D1593</f>
        <v>20.0923117088301</v>
      </c>
      <c r="G1593" s="24" t="n">
        <f aca="false">Test1_Hand!$B$6*E1593*D1593+Test1_Hand!$B$7*MAX(0,F1593-Test1_Hand!$B$5)</f>
        <v>33200.0522147916</v>
      </c>
      <c r="H1593" s="2" t="n">
        <f aca="false">IF(B1593&lt;Test1_Hand!$B$13,1,0)</f>
        <v>0</v>
      </c>
      <c r="I1593" s="23" t="n">
        <f aca="false">Test1_Hand!$B$4+H1593*D1593</f>
        <v>16</v>
      </c>
      <c r="J1593" s="24" t="n">
        <f aca="false">Test1_Hand!$B$6*H1593*D1593+Test1_Hand!$B$7*MAX(0,I1593-Test1_Hand!$B$5)+Test1_Hand!$B$14</f>
        <v>6000</v>
      </c>
    </row>
    <row r="1594" customFormat="false" ht="15" hidden="false" customHeight="false" outlineLevel="0" collapsed="false">
      <c r="A1594" s="2" t="n">
        <v>1582</v>
      </c>
      <c r="B1594" s="22" t="n">
        <v>0.785046558882157</v>
      </c>
      <c r="C1594" s="22" t="n">
        <v>0.484056215595979</v>
      </c>
      <c r="D1594" s="23" t="n">
        <f aca="false">BETAINV(C1594,Test1_Hand!$B$21,Test1_Hand!$B$22,Test1_Hand!$B$9,Test1_Hand!$B$11)</f>
        <v>3.32653688007028</v>
      </c>
      <c r="E1594" s="2" t="n">
        <f aca="false">IF(B1594&lt;Test1_Hand!$B$12,1,0)</f>
        <v>0</v>
      </c>
      <c r="F1594" s="23" t="n">
        <f aca="false">Test1_Hand!$B$4+E1594*D1594</f>
        <v>16</v>
      </c>
      <c r="G1594" s="24" t="n">
        <f aca="false">Test1_Hand!$B$6*E1594*D1594+Test1_Hand!$B$7*MAX(0,F1594-Test1_Hand!$B$5)</f>
        <v>0</v>
      </c>
      <c r="H1594" s="2" t="n">
        <f aca="false">IF(B1594&lt;Test1_Hand!$B$13,1,0)</f>
        <v>0</v>
      </c>
      <c r="I1594" s="23" t="n">
        <f aca="false">Test1_Hand!$B$4+H1594*D1594</f>
        <v>16</v>
      </c>
      <c r="J1594" s="24" t="n">
        <f aca="false">Test1_Hand!$B$6*H1594*D1594+Test1_Hand!$B$7*MAX(0,I1594-Test1_Hand!$B$5)+Test1_Hand!$B$14</f>
        <v>6000</v>
      </c>
    </row>
    <row r="1595" customFormat="false" ht="15" hidden="false" customHeight="false" outlineLevel="0" collapsed="false">
      <c r="A1595" s="2" t="n">
        <v>1583</v>
      </c>
      <c r="B1595" s="22" t="n">
        <v>0.622853408878973</v>
      </c>
      <c r="C1595" s="22" t="n">
        <v>0.572715799350607</v>
      </c>
      <c r="D1595" s="23" t="n">
        <f aca="false">BETAINV(C1595,Test1_Hand!$B$21,Test1_Hand!$B$22,Test1_Hand!$B$9,Test1_Hand!$B$11)</f>
        <v>3.64486692380239</v>
      </c>
      <c r="E1595" s="2" t="n">
        <f aca="false">IF(B1595&lt;Test1_Hand!$B$12,1,0)</f>
        <v>0</v>
      </c>
      <c r="F1595" s="23" t="n">
        <f aca="false">Test1_Hand!$B$4+E1595*D1595</f>
        <v>16</v>
      </c>
      <c r="G1595" s="24" t="n">
        <f aca="false">Test1_Hand!$B$6*E1595*D1595+Test1_Hand!$B$7*MAX(0,F1595-Test1_Hand!$B$5)</f>
        <v>0</v>
      </c>
      <c r="H1595" s="2" t="n">
        <f aca="false">IF(B1595&lt;Test1_Hand!$B$13,1,0)</f>
        <v>0</v>
      </c>
      <c r="I1595" s="23" t="n">
        <f aca="false">Test1_Hand!$B$4+H1595*D1595</f>
        <v>16</v>
      </c>
      <c r="J1595" s="24" t="n">
        <f aca="false">Test1_Hand!$B$6*H1595*D1595+Test1_Hand!$B$7*MAX(0,I1595-Test1_Hand!$B$5)+Test1_Hand!$B$14</f>
        <v>6000</v>
      </c>
    </row>
    <row r="1596" customFormat="false" ht="15" hidden="false" customHeight="false" outlineLevel="0" collapsed="false">
      <c r="A1596" s="2" t="n">
        <v>1584</v>
      </c>
      <c r="B1596" s="22" t="n">
        <v>0.332489467149642</v>
      </c>
      <c r="C1596" s="22" t="n">
        <v>0.697394017131408</v>
      </c>
      <c r="D1596" s="23" t="n">
        <f aca="false">BETAINV(C1596,Test1_Hand!$B$21,Test1_Hand!$B$22,Test1_Hand!$B$9,Test1_Hand!$B$11)</f>
        <v>4.13824691583174</v>
      </c>
      <c r="E1596" s="2" t="n">
        <f aca="false">IF(B1596&lt;Test1_Hand!$B$12,1,0)</f>
        <v>1</v>
      </c>
      <c r="F1596" s="23" t="n">
        <f aca="false">Test1_Hand!$B$4+E1596*D1596</f>
        <v>20.1382469158317</v>
      </c>
      <c r="G1596" s="24" t="n">
        <f aca="false">Test1_Hand!$B$6*E1596*D1596+Test1_Hand!$B$7*MAX(0,F1596-Test1_Hand!$B$5)</f>
        <v>33797.2099058127</v>
      </c>
      <c r="H1596" s="2" t="n">
        <f aca="false">IF(B1596&lt;Test1_Hand!$B$13,1,0)</f>
        <v>0</v>
      </c>
      <c r="I1596" s="23" t="n">
        <f aca="false">Test1_Hand!$B$4+H1596*D1596</f>
        <v>16</v>
      </c>
      <c r="J1596" s="24" t="n">
        <f aca="false">Test1_Hand!$B$6*H1596*D1596+Test1_Hand!$B$7*MAX(0,I1596-Test1_Hand!$B$5)+Test1_Hand!$B$14</f>
        <v>6000</v>
      </c>
    </row>
    <row r="1597" customFormat="false" ht="15" hidden="false" customHeight="false" outlineLevel="0" collapsed="false">
      <c r="A1597" s="2" t="n">
        <v>1585</v>
      </c>
      <c r="B1597" s="22" t="n">
        <v>0.0868634917817253</v>
      </c>
      <c r="C1597" s="22" t="n">
        <v>0.649632530832249</v>
      </c>
      <c r="D1597" s="23" t="n">
        <f aca="false">BETAINV(C1597,Test1_Hand!$B$21,Test1_Hand!$B$22,Test1_Hand!$B$9,Test1_Hand!$B$11)</f>
        <v>3.94038543923734</v>
      </c>
      <c r="E1597" s="2" t="n">
        <f aca="false">IF(B1597&lt;Test1_Hand!$B$12,1,0)</f>
        <v>1</v>
      </c>
      <c r="F1597" s="23" t="n">
        <f aca="false">Test1_Hand!$B$4+E1597*D1597</f>
        <v>19.9403854392373</v>
      </c>
      <c r="G1597" s="24" t="n">
        <f aca="false">Test1_Hand!$B$6*E1597*D1597+Test1_Hand!$B$7*MAX(0,F1597-Test1_Hand!$B$5)</f>
        <v>31523.0835138987</v>
      </c>
      <c r="H1597" s="2" t="n">
        <f aca="false">IF(B1597&lt;Test1_Hand!$B$13,1,0)</f>
        <v>1</v>
      </c>
      <c r="I1597" s="23" t="n">
        <f aca="false">Test1_Hand!$B$4+H1597*D1597</f>
        <v>19.9403854392373</v>
      </c>
      <c r="J1597" s="24" t="n">
        <f aca="false">Test1_Hand!$B$6*H1597*D1597+Test1_Hand!$B$7*MAX(0,I1597-Test1_Hand!$B$5)+Test1_Hand!$B$14</f>
        <v>37523.0835138987</v>
      </c>
    </row>
    <row r="1598" customFormat="false" ht="15" hidden="false" customHeight="false" outlineLevel="0" collapsed="false">
      <c r="A1598" s="2" t="n">
        <v>1586</v>
      </c>
      <c r="B1598" s="22" t="n">
        <v>0.36802388078023</v>
      </c>
      <c r="C1598" s="22" t="n">
        <v>0.408737523264305</v>
      </c>
      <c r="D1598" s="23" t="n">
        <f aca="false">BETAINV(C1598,Test1_Hand!$B$21,Test1_Hand!$B$22,Test1_Hand!$B$9,Test1_Hand!$B$11)</f>
        <v>3.06575309558885</v>
      </c>
      <c r="E1598" s="2" t="n">
        <f aca="false">IF(B1598&lt;Test1_Hand!$B$12,1,0)</f>
        <v>1</v>
      </c>
      <c r="F1598" s="23" t="n">
        <f aca="false">Test1_Hand!$B$4+E1598*D1598</f>
        <v>19.0657530955888</v>
      </c>
      <c r="G1598" s="24" t="n">
        <f aca="false">Test1_Hand!$B$6*E1598*D1598+Test1_Hand!$B$7*MAX(0,F1598-Test1_Hand!$B$5)</f>
        <v>24526.0247647108</v>
      </c>
      <c r="H1598" s="2" t="n">
        <f aca="false">IF(B1598&lt;Test1_Hand!$B$13,1,0)</f>
        <v>0</v>
      </c>
      <c r="I1598" s="23" t="n">
        <f aca="false">Test1_Hand!$B$4+H1598*D1598</f>
        <v>16</v>
      </c>
      <c r="J1598" s="24" t="n">
        <f aca="false">Test1_Hand!$B$6*H1598*D1598+Test1_Hand!$B$7*MAX(0,I1598-Test1_Hand!$B$5)+Test1_Hand!$B$14</f>
        <v>6000</v>
      </c>
    </row>
    <row r="1599" customFormat="false" ht="15" hidden="false" customHeight="false" outlineLevel="0" collapsed="false">
      <c r="A1599" s="2" t="n">
        <v>1587</v>
      </c>
      <c r="B1599" s="22" t="n">
        <v>0.537790488924571</v>
      </c>
      <c r="C1599" s="22" t="n">
        <v>0.166819557501628</v>
      </c>
      <c r="D1599" s="23" t="n">
        <f aca="false">BETAINV(C1599,Test1_Hand!$B$21,Test1_Hand!$B$22,Test1_Hand!$B$9,Test1_Hand!$B$11)</f>
        <v>2.19652025934932</v>
      </c>
      <c r="E1599" s="2" t="n">
        <f aca="false">IF(B1599&lt;Test1_Hand!$B$12,1,0)</f>
        <v>0</v>
      </c>
      <c r="F1599" s="23" t="n">
        <f aca="false">Test1_Hand!$B$4+E1599*D1599</f>
        <v>16</v>
      </c>
      <c r="G1599" s="24" t="n">
        <f aca="false">Test1_Hand!$B$6*E1599*D1599+Test1_Hand!$B$7*MAX(0,F1599-Test1_Hand!$B$5)</f>
        <v>0</v>
      </c>
      <c r="H1599" s="2" t="n">
        <f aca="false">IF(B1599&lt;Test1_Hand!$B$13,1,0)</f>
        <v>0</v>
      </c>
      <c r="I1599" s="23" t="n">
        <f aca="false">Test1_Hand!$B$4+H1599*D1599</f>
        <v>16</v>
      </c>
      <c r="J1599" s="24" t="n">
        <f aca="false">Test1_Hand!$B$6*H1599*D1599+Test1_Hand!$B$7*MAX(0,I1599-Test1_Hand!$B$5)+Test1_Hand!$B$14</f>
        <v>6000</v>
      </c>
    </row>
    <row r="1600" customFormat="false" ht="15" hidden="false" customHeight="false" outlineLevel="0" collapsed="false">
      <c r="A1600" s="2" t="n">
        <v>1588</v>
      </c>
      <c r="B1600" s="22" t="n">
        <v>0.0648895529510501</v>
      </c>
      <c r="C1600" s="22" t="n">
        <v>0.399201763519696</v>
      </c>
      <c r="D1600" s="23" t="n">
        <f aca="false">BETAINV(C1600,Test1_Hand!$B$21,Test1_Hand!$B$22,Test1_Hand!$B$9,Test1_Hand!$B$11)</f>
        <v>3.03299708883175</v>
      </c>
      <c r="E1600" s="2" t="n">
        <f aca="false">IF(B1600&lt;Test1_Hand!$B$12,1,0)</f>
        <v>1</v>
      </c>
      <c r="F1600" s="23" t="n">
        <f aca="false">Test1_Hand!$B$4+E1600*D1600</f>
        <v>19.0329970888318</v>
      </c>
      <c r="G1600" s="24" t="n">
        <f aca="false">Test1_Hand!$B$6*E1600*D1600+Test1_Hand!$B$7*MAX(0,F1600-Test1_Hand!$B$5)</f>
        <v>24263.976710654</v>
      </c>
      <c r="H1600" s="2" t="n">
        <f aca="false">IF(B1600&lt;Test1_Hand!$B$13,1,0)</f>
        <v>1</v>
      </c>
      <c r="I1600" s="23" t="n">
        <f aca="false">Test1_Hand!$B$4+H1600*D1600</f>
        <v>19.0329970888318</v>
      </c>
      <c r="J1600" s="24" t="n">
        <f aca="false">Test1_Hand!$B$6*H1600*D1600+Test1_Hand!$B$7*MAX(0,I1600-Test1_Hand!$B$5)+Test1_Hand!$B$14</f>
        <v>30263.976710654</v>
      </c>
    </row>
    <row r="1601" customFormat="false" ht="15" hidden="false" customHeight="false" outlineLevel="0" collapsed="false">
      <c r="A1601" s="2" t="n">
        <v>1589</v>
      </c>
      <c r="B1601" s="22" t="n">
        <v>0.552040705920787</v>
      </c>
      <c r="C1601" s="22" t="n">
        <v>0.614036965718429</v>
      </c>
      <c r="D1601" s="23" t="n">
        <f aca="false">BETAINV(C1601,Test1_Hand!$B$21,Test1_Hand!$B$22,Test1_Hand!$B$9,Test1_Hand!$B$11)</f>
        <v>3.80068404655153</v>
      </c>
      <c r="E1601" s="2" t="n">
        <f aca="false">IF(B1601&lt;Test1_Hand!$B$12,1,0)</f>
        <v>0</v>
      </c>
      <c r="F1601" s="23" t="n">
        <f aca="false">Test1_Hand!$B$4+E1601*D1601</f>
        <v>16</v>
      </c>
      <c r="G1601" s="24" t="n">
        <f aca="false">Test1_Hand!$B$6*E1601*D1601+Test1_Hand!$B$7*MAX(0,F1601-Test1_Hand!$B$5)</f>
        <v>0</v>
      </c>
      <c r="H1601" s="2" t="n">
        <f aca="false">IF(B1601&lt;Test1_Hand!$B$13,1,0)</f>
        <v>0</v>
      </c>
      <c r="I1601" s="23" t="n">
        <f aca="false">Test1_Hand!$B$4+H1601*D1601</f>
        <v>16</v>
      </c>
      <c r="J1601" s="24" t="n">
        <f aca="false">Test1_Hand!$B$6*H1601*D1601+Test1_Hand!$B$7*MAX(0,I1601-Test1_Hand!$B$5)+Test1_Hand!$B$14</f>
        <v>6000</v>
      </c>
    </row>
    <row r="1602" customFormat="false" ht="15" hidden="false" customHeight="false" outlineLevel="0" collapsed="false">
      <c r="A1602" s="2" t="n">
        <v>1590</v>
      </c>
      <c r="B1602" s="22" t="n">
        <v>0.858237124686026</v>
      </c>
      <c r="C1602" s="22" t="n">
        <v>0.0846596341569509</v>
      </c>
      <c r="D1602" s="23" t="n">
        <f aca="false">BETAINV(C1602,Test1_Hand!$B$21,Test1_Hand!$B$22,Test1_Hand!$B$9,Test1_Hand!$B$11)</f>
        <v>1.82789906426039</v>
      </c>
      <c r="E1602" s="2" t="n">
        <f aca="false">IF(B1602&lt;Test1_Hand!$B$12,1,0)</f>
        <v>0</v>
      </c>
      <c r="F1602" s="23" t="n">
        <f aca="false">Test1_Hand!$B$4+E1602*D1602</f>
        <v>16</v>
      </c>
      <c r="G1602" s="24" t="n">
        <f aca="false">Test1_Hand!$B$6*E1602*D1602+Test1_Hand!$B$7*MAX(0,F1602-Test1_Hand!$B$5)</f>
        <v>0</v>
      </c>
      <c r="H1602" s="2" t="n">
        <f aca="false">IF(B1602&lt;Test1_Hand!$B$13,1,0)</f>
        <v>0</v>
      </c>
      <c r="I1602" s="23" t="n">
        <f aca="false">Test1_Hand!$B$4+H1602*D1602</f>
        <v>16</v>
      </c>
      <c r="J1602" s="24" t="n">
        <f aca="false">Test1_Hand!$B$6*H1602*D1602+Test1_Hand!$B$7*MAX(0,I1602-Test1_Hand!$B$5)+Test1_Hand!$B$14</f>
        <v>6000</v>
      </c>
    </row>
    <row r="1603" customFormat="false" ht="15" hidden="false" customHeight="false" outlineLevel="0" collapsed="false">
      <c r="A1603" s="2" t="n">
        <v>1591</v>
      </c>
      <c r="B1603" s="22" t="n">
        <v>0.208074272513038</v>
      </c>
      <c r="C1603" s="22" t="n">
        <v>0.24112799049273</v>
      </c>
      <c r="D1603" s="23" t="n">
        <f aca="false">BETAINV(C1603,Test1_Hand!$B$21,Test1_Hand!$B$22,Test1_Hand!$B$9,Test1_Hand!$B$11)</f>
        <v>2.48018944603452</v>
      </c>
      <c r="E1603" s="2" t="n">
        <f aca="false">IF(B1603&lt;Test1_Hand!$B$12,1,0)</f>
        <v>1</v>
      </c>
      <c r="F1603" s="23" t="n">
        <f aca="false">Test1_Hand!$B$4+E1603*D1603</f>
        <v>18.4801894460345</v>
      </c>
      <c r="G1603" s="24" t="n">
        <f aca="false">Test1_Hand!$B$6*E1603*D1603+Test1_Hand!$B$7*MAX(0,F1603-Test1_Hand!$B$5)</f>
        <v>19841.5155682762</v>
      </c>
      <c r="H1603" s="2" t="n">
        <f aca="false">IF(B1603&lt;Test1_Hand!$B$13,1,0)</f>
        <v>0</v>
      </c>
      <c r="I1603" s="23" t="n">
        <f aca="false">Test1_Hand!$B$4+H1603*D1603</f>
        <v>16</v>
      </c>
      <c r="J1603" s="24" t="n">
        <f aca="false">Test1_Hand!$B$6*H1603*D1603+Test1_Hand!$B$7*MAX(0,I1603-Test1_Hand!$B$5)+Test1_Hand!$B$14</f>
        <v>6000</v>
      </c>
    </row>
    <row r="1604" customFormat="false" ht="15" hidden="false" customHeight="false" outlineLevel="0" collapsed="false">
      <c r="A1604" s="2" t="n">
        <v>1592</v>
      </c>
      <c r="B1604" s="22" t="n">
        <v>0.913951008327053</v>
      </c>
      <c r="C1604" s="22" t="n">
        <v>0.27098987820967</v>
      </c>
      <c r="D1604" s="23" t="n">
        <f aca="false">BETAINV(C1604,Test1_Hand!$B$21,Test1_Hand!$B$22,Test1_Hand!$B$9,Test1_Hand!$B$11)</f>
        <v>2.58784529501249</v>
      </c>
      <c r="E1604" s="2" t="n">
        <f aca="false">IF(B1604&lt;Test1_Hand!$B$12,1,0)</f>
        <v>0</v>
      </c>
      <c r="F1604" s="23" t="n">
        <f aca="false">Test1_Hand!$B$4+E1604*D1604</f>
        <v>16</v>
      </c>
      <c r="G1604" s="24" t="n">
        <f aca="false">Test1_Hand!$B$6*E1604*D1604+Test1_Hand!$B$7*MAX(0,F1604-Test1_Hand!$B$5)</f>
        <v>0</v>
      </c>
      <c r="H1604" s="2" t="n">
        <f aca="false">IF(B1604&lt;Test1_Hand!$B$13,1,0)</f>
        <v>0</v>
      </c>
      <c r="I1604" s="23" t="n">
        <f aca="false">Test1_Hand!$B$4+H1604*D1604</f>
        <v>16</v>
      </c>
      <c r="J1604" s="24" t="n">
        <f aca="false">Test1_Hand!$B$6*H1604*D1604+Test1_Hand!$B$7*MAX(0,I1604-Test1_Hand!$B$5)+Test1_Hand!$B$14</f>
        <v>6000</v>
      </c>
    </row>
    <row r="1605" customFormat="false" ht="15" hidden="false" customHeight="false" outlineLevel="0" collapsed="false">
      <c r="A1605" s="2" t="n">
        <v>1593</v>
      </c>
      <c r="B1605" s="22" t="n">
        <v>0.547153097941848</v>
      </c>
      <c r="C1605" s="22" t="n">
        <v>0.486248785438461</v>
      </c>
      <c r="D1605" s="23" t="n">
        <f aca="false">BETAINV(C1605,Test1_Hand!$B$21,Test1_Hand!$B$22,Test1_Hand!$B$9,Test1_Hand!$B$11)</f>
        <v>3.33422135724554</v>
      </c>
      <c r="E1605" s="2" t="n">
        <f aca="false">IF(B1605&lt;Test1_Hand!$B$12,1,0)</f>
        <v>0</v>
      </c>
      <c r="F1605" s="23" t="n">
        <f aca="false">Test1_Hand!$B$4+E1605*D1605</f>
        <v>16</v>
      </c>
      <c r="G1605" s="24" t="n">
        <f aca="false">Test1_Hand!$B$6*E1605*D1605+Test1_Hand!$B$7*MAX(0,F1605-Test1_Hand!$B$5)</f>
        <v>0</v>
      </c>
      <c r="H1605" s="2" t="n">
        <f aca="false">IF(B1605&lt;Test1_Hand!$B$13,1,0)</f>
        <v>0</v>
      </c>
      <c r="I1605" s="23" t="n">
        <f aca="false">Test1_Hand!$B$4+H1605*D1605</f>
        <v>16</v>
      </c>
      <c r="J1605" s="24" t="n">
        <f aca="false">Test1_Hand!$B$6*H1605*D1605+Test1_Hand!$B$7*MAX(0,I1605-Test1_Hand!$B$5)+Test1_Hand!$B$14</f>
        <v>6000</v>
      </c>
    </row>
    <row r="1606" customFormat="false" ht="15" hidden="false" customHeight="false" outlineLevel="0" collapsed="false">
      <c r="A1606" s="2" t="n">
        <v>1594</v>
      </c>
      <c r="B1606" s="22" t="n">
        <v>0.384083556471113</v>
      </c>
      <c r="C1606" s="22" t="n">
        <v>0.563634658953178</v>
      </c>
      <c r="D1606" s="23" t="n">
        <f aca="false">BETAINV(C1606,Test1_Hand!$B$21,Test1_Hand!$B$22,Test1_Hand!$B$9,Test1_Hand!$B$11)</f>
        <v>3.61137957331611</v>
      </c>
      <c r="E1606" s="2" t="n">
        <f aca="false">IF(B1606&lt;Test1_Hand!$B$12,1,0)</f>
        <v>1</v>
      </c>
      <c r="F1606" s="23" t="n">
        <f aca="false">Test1_Hand!$B$4+E1606*D1606</f>
        <v>19.6113795733161</v>
      </c>
      <c r="G1606" s="24" t="n">
        <f aca="false">Test1_Hand!$B$6*E1606*D1606+Test1_Hand!$B$7*MAX(0,F1606-Test1_Hand!$B$5)</f>
        <v>28891.0365865289</v>
      </c>
      <c r="H1606" s="2" t="n">
        <f aca="false">IF(B1606&lt;Test1_Hand!$B$13,1,0)</f>
        <v>0</v>
      </c>
      <c r="I1606" s="23" t="n">
        <f aca="false">Test1_Hand!$B$4+H1606*D1606</f>
        <v>16</v>
      </c>
      <c r="J1606" s="24" t="n">
        <f aca="false">Test1_Hand!$B$6*H1606*D1606+Test1_Hand!$B$7*MAX(0,I1606-Test1_Hand!$B$5)+Test1_Hand!$B$14</f>
        <v>6000</v>
      </c>
    </row>
    <row r="1607" customFormat="false" ht="15" hidden="false" customHeight="false" outlineLevel="0" collapsed="false">
      <c r="A1607" s="2" t="n">
        <v>1595</v>
      </c>
      <c r="B1607" s="22" t="n">
        <v>0.837582676106963</v>
      </c>
      <c r="C1607" s="22" t="n">
        <v>0.283741825758573</v>
      </c>
      <c r="D1607" s="23" t="n">
        <f aca="false">BETAINV(C1607,Test1_Hand!$B$21,Test1_Hand!$B$22,Test1_Hand!$B$9,Test1_Hand!$B$11)</f>
        <v>2.63310814617472</v>
      </c>
      <c r="E1607" s="2" t="n">
        <f aca="false">IF(B1607&lt;Test1_Hand!$B$12,1,0)</f>
        <v>0</v>
      </c>
      <c r="F1607" s="23" t="n">
        <f aca="false">Test1_Hand!$B$4+E1607*D1607</f>
        <v>16</v>
      </c>
      <c r="G1607" s="24" t="n">
        <f aca="false">Test1_Hand!$B$6*E1607*D1607+Test1_Hand!$B$7*MAX(0,F1607-Test1_Hand!$B$5)</f>
        <v>0</v>
      </c>
      <c r="H1607" s="2" t="n">
        <f aca="false">IF(B1607&lt;Test1_Hand!$B$13,1,0)</f>
        <v>0</v>
      </c>
      <c r="I1607" s="23" t="n">
        <f aca="false">Test1_Hand!$B$4+H1607*D1607</f>
        <v>16</v>
      </c>
      <c r="J1607" s="24" t="n">
        <f aca="false">Test1_Hand!$B$6*H1607*D1607+Test1_Hand!$B$7*MAX(0,I1607-Test1_Hand!$B$5)+Test1_Hand!$B$14</f>
        <v>6000</v>
      </c>
    </row>
    <row r="1608" customFormat="false" ht="15" hidden="false" customHeight="false" outlineLevel="0" collapsed="false">
      <c r="A1608" s="2" t="n">
        <v>1596</v>
      </c>
      <c r="B1608" s="22" t="n">
        <v>0.251933810704649</v>
      </c>
      <c r="C1608" s="22" t="n">
        <v>0.784912283634457</v>
      </c>
      <c r="D1608" s="23" t="n">
        <f aca="false">BETAINV(C1608,Test1_Hand!$B$21,Test1_Hand!$B$22,Test1_Hand!$B$9,Test1_Hand!$B$11)</f>
        <v>4.54679961219885</v>
      </c>
      <c r="E1608" s="2" t="n">
        <f aca="false">IF(B1608&lt;Test1_Hand!$B$12,1,0)</f>
        <v>1</v>
      </c>
      <c r="F1608" s="23" t="n">
        <f aca="false">Test1_Hand!$B$4+E1608*D1608</f>
        <v>20.5467996121988</v>
      </c>
      <c r="G1608" s="24" t="n">
        <f aca="false">Test1_Hand!$B$6*E1608*D1608+Test1_Hand!$B$7*MAX(0,F1608-Test1_Hand!$B$5)</f>
        <v>39108.394958585</v>
      </c>
      <c r="H1608" s="2" t="n">
        <f aca="false">IF(B1608&lt;Test1_Hand!$B$13,1,0)</f>
        <v>0</v>
      </c>
      <c r="I1608" s="23" t="n">
        <f aca="false">Test1_Hand!$B$4+H1608*D1608</f>
        <v>16</v>
      </c>
      <c r="J1608" s="24" t="n">
        <f aca="false">Test1_Hand!$B$6*H1608*D1608+Test1_Hand!$B$7*MAX(0,I1608-Test1_Hand!$B$5)+Test1_Hand!$B$14</f>
        <v>6000</v>
      </c>
    </row>
    <row r="1609" customFormat="false" ht="15" hidden="false" customHeight="false" outlineLevel="0" collapsed="false">
      <c r="A1609" s="2" t="n">
        <v>1597</v>
      </c>
      <c r="B1609" s="22" t="n">
        <v>0.300021169782918</v>
      </c>
      <c r="C1609" s="22" t="n">
        <v>0.458657220984959</v>
      </c>
      <c r="D1609" s="23" t="n">
        <f aca="false">BETAINV(C1609,Test1_Hand!$B$21,Test1_Hand!$B$22,Test1_Hand!$B$9,Test1_Hand!$B$11)</f>
        <v>3.23799271727935</v>
      </c>
      <c r="E1609" s="2" t="n">
        <f aca="false">IF(B1609&lt;Test1_Hand!$B$12,1,0)</f>
        <v>1</v>
      </c>
      <c r="F1609" s="23" t="n">
        <f aca="false">Test1_Hand!$B$4+E1609*D1609</f>
        <v>19.2379927172793</v>
      </c>
      <c r="G1609" s="24" t="n">
        <f aca="false">Test1_Hand!$B$6*E1609*D1609+Test1_Hand!$B$7*MAX(0,F1609-Test1_Hand!$B$5)</f>
        <v>25903.9417382348</v>
      </c>
      <c r="H1609" s="2" t="n">
        <f aca="false">IF(B1609&lt;Test1_Hand!$B$13,1,0)</f>
        <v>0</v>
      </c>
      <c r="I1609" s="23" t="n">
        <f aca="false">Test1_Hand!$B$4+H1609*D1609</f>
        <v>16</v>
      </c>
      <c r="J1609" s="24" t="n">
        <f aca="false">Test1_Hand!$B$6*H1609*D1609+Test1_Hand!$B$7*MAX(0,I1609-Test1_Hand!$B$5)+Test1_Hand!$B$14</f>
        <v>6000</v>
      </c>
    </row>
    <row r="1610" customFormat="false" ht="15" hidden="false" customHeight="false" outlineLevel="0" collapsed="false">
      <c r="A1610" s="2" t="n">
        <v>1598</v>
      </c>
      <c r="B1610" s="22" t="n">
        <v>0.314897176398212</v>
      </c>
      <c r="C1610" s="22" t="n">
        <v>0.397671165594214</v>
      </c>
      <c r="D1610" s="23" t="n">
        <f aca="false">BETAINV(C1610,Test1_Hand!$B$21,Test1_Hand!$B$22,Test1_Hand!$B$9,Test1_Hand!$B$11)</f>
        <v>3.02774104053567</v>
      </c>
      <c r="E1610" s="2" t="n">
        <f aca="false">IF(B1610&lt;Test1_Hand!$B$12,1,0)</f>
        <v>1</v>
      </c>
      <c r="F1610" s="23" t="n">
        <f aca="false">Test1_Hand!$B$4+E1610*D1610</f>
        <v>19.0277410405357</v>
      </c>
      <c r="G1610" s="24" t="n">
        <f aca="false">Test1_Hand!$B$6*E1610*D1610+Test1_Hand!$B$7*MAX(0,F1610-Test1_Hand!$B$5)</f>
        <v>24221.9283242853</v>
      </c>
      <c r="H1610" s="2" t="n">
        <f aca="false">IF(B1610&lt;Test1_Hand!$B$13,1,0)</f>
        <v>0</v>
      </c>
      <c r="I1610" s="23" t="n">
        <f aca="false">Test1_Hand!$B$4+H1610*D1610</f>
        <v>16</v>
      </c>
      <c r="J1610" s="24" t="n">
        <f aca="false">Test1_Hand!$B$6*H1610*D1610+Test1_Hand!$B$7*MAX(0,I1610-Test1_Hand!$B$5)+Test1_Hand!$B$14</f>
        <v>6000</v>
      </c>
    </row>
    <row r="1611" customFormat="false" ht="15" hidden="false" customHeight="false" outlineLevel="0" collapsed="false">
      <c r="A1611" s="2" t="n">
        <v>1599</v>
      </c>
      <c r="B1611" s="22" t="n">
        <v>0.847802799952829</v>
      </c>
      <c r="C1611" s="22" t="n">
        <v>0.729434783186842</v>
      </c>
      <c r="D1611" s="23" t="n">
        <f aca="false">BETAINV(C1611,Test1_Hand!$B$21,Test1_Hand!$B$22,Test1_Hand!$B$9,Test1_Hand!$B$11)</f>
        <v>4.27958614088162</v>
      </c>
      <c r="E1611" s="2" t="n">
        <f aca="false">IF(B1611&lt;Test1_Hand!$B$12,1,0)</f>
        <v>0</v>
      </c>
      <c r="F1611" s="23" t="n">
        <f aca="false">Test1_Hand!$B$4+E1611*D1611</f>
        <v>16</v>
      </c>
      <c r="G1611" s="24" t="n">
        <f aca="false">Test1_Hand!$B$6*E1611*D1611+Test1_Hand!$B$7*MAX(0,F1611-Test1_Hand!$B$5)</f>
        <v>0</v>
      </c>
      <c r="H1611" s="2" t="n">
        <f aca="false">IF(B1611&lt;Test1_Hand!$B$13,1,0)</f>
        <v>0</v>
      </c>
      <c r="I1611" s="23" t="n">
        <f aca="false">Test1_Hand!$B$4+H1611*D1611</f>
        <v>16</v>
      </c>
      <c r="J1611" s="24" t="n">
        <f aca="false">Test1_Hand!$B$6*H1611*D1611+Test1_Hand!$B$7*MAX(0,I1611-Test1_Hand!$B$5)+Test1_Hand!$B$14</f>
        <v>6000</v>
      </c>
    </row>
    <row r="1612" customFormat="false" ht="15" hidden="false" customHeight="false" outlineLevel="0" collapsed="false">
      <c r="A1612" s="2" t="n">
        <v>1600</v>
      </c>
      <c r="B1612" s="22" t="n">
        <v>0.352330673877227</v>
      </c>
      <c r="C1612" s="22" t="n">
        <v>0.159880808767138</v>
      </c>
      <c r="D1612" s="23" t="n">
        <f aca="false">BETAINV(C1612,Test1_Hand!$B$21,Test1_Hand!$B$22,Test1_Hand!$B$9,Test1_Hand!$B$11)</f>
        <v>2.16833949589244</v>
      </c>
      <c r="E1612" s="2" t="n">
        <f aca="false">IF(B1612&lt;Test1_Hand!$B$12,1,0)</f>
        <v>1</v>
      </c>
      <c r="F1612" s="23" t="n">
        <f aca="false">Test1_Hand!$B$4+E1612*D1612</f>
        <v>18.1683394958924</v>
      </c>
      <c r="G1612" s="24" t="n">
        <f aca="false">Test1_Hand!$B$6*E1612*D1612+Test1_Hand!$B$7*MAX(0,F1612-Test1_Hand!$B$5)</f>
        <v>17346.7159671395</v>
      </c>
      <c r="H1612" s="2" t="n">
        <f aca="false">IF(B1612&lt;Test1_Hand!$B$13,1,0)</f>
        <v>0</v>
      </c>
      <c r="I1612" s="23" t="n">
        <f aca="false">Test1_Hand!$B$4+H1612*D1612</f>
        <v>16</v>
      </c>
      <c r="J1612" s="24" t="n">
        <f aca="false">Test1_Hand!$B$6*H1612*D1612+Test1_Hand!$B$7*MAX(0,I1612-Test1_Hand!$B$5)+Test1_Hand!$B$14</f>
        <v>6000</v>
      </c>
    </row>
    <row r="1613" customFormat="false" ht="15" hidden="false" customHeight="false" outlineLevel="0" collapsed="false">
      <c r="A1613" s="2" t="n">
        <v>1601</v>
      </c>
      <c r="B1613" s="22" t="n">
        <v>0.945636554379748</v>
      </c>
      <c r="C1613" s="22" t="n">
        <v>0.138663143831044</v>
      </c>
      <c r="D1613" s="23" t="n">
        <f aca="false">BETAINV(C1613,Test1_Hand!$B$21,Test1_Hand!$B$22,Test1_Hand!$B$9,Test1_Hand!$B$11)</f>
        <v>2.0795784633501</v>
      </c>
      <c r="E1613" s="2" t="n">
        <f aca="false">IF(B1613&lt;Test1_Hand!$B$12,1,0)</f>
        <v>0</v>
      </c>
      <c r="F1613" s="23" t="n">
        <f aca="false">Test1_Hand!$B$4+E1613*D1613</f>
        <v>16</v>
      </c>
      <c r="G1613" s="24" t="n">
        <f aca="false">Test1_Hand!$B$6*E1613*D1613+Test1_Hand!$B$7*MAX(0,F1613-Test1_Hand!$B$5)</f>
        <v>0</v>
      </c>
      <c r="H1613" s="2" t="n">
        <f aca="false">IF(B1613&lt;Test1_Hand!$B$13,1,0)</f>
        <v>0</v>
      </c>
      <c r="I1613" s="23" t="n">
        <f aca="false">Test1_Hand!$B$4+H1613*D1613</f>
        <v>16</v>
      </c>
      <c r="J1613" s="24" t="n">
        <f aca="false">Test1_Hand!$B$6*H1613*D1613+Test1_Hand!$B$7*MAX(0,I1613-Test1_Hand!$B$5)+Test1_Hand!$B$14</f>
        <v>6000</v>
      </c>
    </row>
    <row r="1614" customFormat="false" ht="15" hidden="false" customHeight="false" outlineLevel="0" collapsed="false">
      <c r="A1614" s="2" t="n">
        <v>1602</v>
      </c>
      <c r="B1614" s="22" t="n">
        <v>0.665417068801348</v>
      </c>
      <c r="C1614" s="22" t="n">
        <v>0.823398195479983</v>
      </c>
      <c r="D1614" s="23" t="n">
        <f aca="false">BETAINV(C1614,Test1_Hand!$B$21,Test1_Hand!$B$22,Test1_Hand!$B$9,Test1_Hand!$B$11)</f>
        <v>4.75557539994944</v>
      </c>
      <c r="E1614" s="2" t="n">
        <f aca="false">IF(B1614&lt;Test1_Hand!$B$12,1,0)</f>
        <v>0</v>
      </c>
      <c r="F1614" s="23" t="n">
        <f aca="false">Test1_Hand!$B$4+E1614*D1614</f>
        <v>16</v>
      </c>
      <c r="G1614" s="24" t="n">
        <f aca="false">Test1_Hand!$B$6*E1614*D1614+Test1_Hand!$B$7*MAX(0,F1614-Test1_Hand!$B$5)</f>
        <v>0</v>
      </c>
      <c r="H1614" s="2" t="n">
        <f aca="false">IF(B1614&lt;Test1_Hand!$B$13,1,0)</f>
        <v>0</v>
      </c>
      <c r="I1614" s="23" t="n">
        <f aca="false">Test1_Hand!$B$4+H1614*D1614</f>
        <v>16</v>
      </c>
      <c r="J1614" s="24" t="n">
        <f aca="false">Test1_Hand!$B$6*H1614*D1614+Test1_Hand!$B$7*MAX(0,I1614-Test1_Hand!$B$5)+Test1_Hand!$B$14</f>
        <v>6000</v>
      </c>
    </row>
    <row r="1615" customFormat="false" ht="15" hidden="false" customHeight="false" outlineLevel="0" collapsed="false">
      <c r="A1615" s="2" t="n">
        <v>1603</v>
      </c>
      <c r="B1615" s="22" t="n">
        <v>0.33962964883111</v>
      </c>
      <c r="C1615" s="22" t="n">
        <v>0.597432699158316</v>
      </c>
      <c r="D1615" s="23" t="n">
        <f aca="false">BETAINV(C1615,Test1_Hand!$B$21,Test1_Hand!$B$22,Test1_Hand!$B$9,Test1_Hand!$B$11)</f>
        <v>3.7373409629275</v>
      </c>
      <c r="E1615" s="2" t="n">
        <f aca="false">IF(B1615&lt;Test1_Hand!$B$12,1,0)</f>
        <v>1</v>
      </c>
      <c r="F1615" s="23" t="n">
        <f aca="false">Test1_Hand!$B$4+E1615*D1615</f>
        <v>19.7373409629275</v>
      </c>
      <c r="G1615" s="24" t="n">
        <f aca="false">Test1_Hand!$B$6*E1615*D1615+Test1_Hand!$B$7*MAX(0,F1615-Test1_Hand!$B$5)</f>
        <v>29898.72770342</v>
      </c>
      <c r="H1615" s="2" t="n">
        <f aca="false">IF(B1615&lt;Test1_Hand!$B$13,1,0)</f>
        <v>0</v>
      </c>
      <c r="I1615" s="23" t="n">
        <f aca="false">Test1_Hand!$B$4+H1615*D1615</f>
        <v>16</v>
      </c>
      <c r="J1615" s="24" t="n">
        <f aca="false">Test1_Hand!$B$6*H1615*D1615+Test1_Hand!$B$7*MAX(0,I1615-Test1_Hand!$B$5)+Test1_Hand!$B$14</f>
        <v>6000</v>
      </c>
    </row>
    <row r="1616" customFormat="false" ht="15" hidden="false" customHeight="false" outlineLevel="0" collapsed="false">
      <c r="A1616" s="2" t="n">
        <v>1604</v>
      </c>
      <c r="B1616" s="22" t="n">
        <v>0.948511753407376</v>
      </c>
      <c r="C1616" s="22" t="n">
        <v>0.775372422810744</v>
      </c>
      <c r="D1616" s="23" t="n">
        <f aca="false">BETAINV(C1616,Test1_Hand!$B$21,Test1_Hand!$B$22,Test1_Hand!$B$9,Test1_Hand!$B$11)</f>
        <v>4.49839065271912</v>
      </c>
      <c r="E1616" s="2" t="n">
        <f aca="false">IF(B1616&lt;Test1_Hand!$B$12,1,0)</f>
        <v>0</v>
      </c>
      <c r="F1616" s="23" t="n">
        <f aca="false">Test1_Hand!$B$4+E1616*D1616</f>
        <v>16</v>
      </c>
      <c r="G1616" s="24" t="n">
        <f aca="false">Test1_Hand!$B$6*E1616*D1616+Test1_Hand!$B$7*MAX(0,F1616-Test1_Hand!$B$5)</f>
        <v>0</v>
      </c>
      <c r="H1616" s="2" t="n">
        <f aca="false">IF(B1616&lt;Test1_Hand!$B$13,1,0)</f>
        <v>0</v>
      </c>
      <c r="I1616" s="23" t="n">
        <f aca="false">Test1_Hand!$B$4+H1616*D1616</f>
        <v>16</v>
      </c>
      <c r="J1616" s="24" t="n">
        <f aca="false">Test1_Hand!$B$6*H1616*D1616+Test1_Hand!$B$7*MAX(0,I1616-Test1_Hand!$B$5)+Test1_Hand!$B$14</f>
        <v>6000</v>
      </c>
    </row>
    <row r="1617" customFormat="false" ht="15" hidden="false" customHeight="false" outlineLevel="0" collapsed="false">
      <c r="A1617" s="2" t="n">
        <v>1605</v>
      </c>
      <c r="B1617" s="22" t="n">
        <v>0.343474161563508</v>
      </c>
      <c r="C1617" s="22" t="n">
        <v>0.966623025763427</v>
      </c>
      <c r="D1617" s="23" t="n">
        <f aca="false">BETAINV(C1617,Test1_Hand!$B$21,Test1_Hand!$B$22,Test1_Hand!$B$9,Test1_Hand!$B$11)</f>
        <v>6.01669167178057</v>
      </c>
      <c r="E1617" s="2" t="n">
        <f aca="false">IF(B1617&lt;Test1_Hand!$B$12,1,0)</f>
        <v>1</v>
      </c>
      <c r="F1617" s="23" t="n">
        <f aca="false">Test1_Hand!$B$4+E1617*D1617</f>
        <v>22.0166916717806</v>
      </c>
      <c r="G1617" s="24" t="n">
        <f aca="false">Test1_Hand!$B$6*E1617*D1617+Test1_Hand!$B$7*MAX(0,F1617-Test1_Hand!$B$5)</f>
        <v>58216.9917331474</v>
      </c>
      <c r="H1617" s="2" t="n">
        <f aca="false">IF(B1617&lt;Test1_Hand!$B$13,1,0)</f>
        <v>0</v>
      </c>
      <c r="I1617" s="23" t="n">
        <f aca="false">Test1_Hand!$B$4+H1617*D1617</f>
        <v>16</v>
      </c>
      <c r="J1617" s="24" t="n">
        <f aca="false">Test1_Hand!$B$6*H1617*D1617+Test1_Hand!$B$7*MAX(0,I1617-Test1_Hand!$B$5)+Test1_Hand!$B$14</f>
        <v>6000</v>
      </c>
    </row>
    <row r="1618" customFormat="false" ht="15" hidden="false" customHeight="false" outlineLevel="0" collapsed="false">
      <c r="A1618" s="2" t="n">
        <v>1606</v>
      </c>
      <c r="B1618" s="22" t="n">
        <v>0.328937669185292</v>
      </c>
      <c r="C1618" s="22" t="n">
        <v>0.0738136859129386</v>
      </c>
      <c r="D1618" s="23" t="n">
        <f aca="false">BETAINV(C1618,Test1_Hand!$B$21,Test1_Hand!$B$22,Test1_Hand!$B$9,Test1_Hand!$B$11)</f>
        <v>1.77045342226534</v>
      </c>
      <c r="E1618" s="2" t="n">
        <f aca="false">IF(B1618&lt;Test1_Hand!$B$12,1,0)</f>
        <v>1</v>
      </c>
      <c r="F1618" s="23" t="n">
        <f aca="false">Test1_Hand!$B$4+E1618*D1618</f>
        <v>17.7704534222653</v>
      </c>
      <c r="G1618" s="24" t="n">
        <f aca="false">Test1_Hand!$B$6*E1618*D1618+Test1_Hand!$B$7*MAX(0,F1618-Test1_Hand!$B$5)</f>
        <v>14163.6273781227</v>
      </c>
      <c r="H1618" s="2" t="n">
        <f aca="false">IF(B1618&lt;Test1_Hand!$B$13,1,0)</f>
        <v>0</v>
      </c>
      <c r="I1618" s="23" t="n">
        <f aca="false">Test1_Hand!$B$4+H1618*D1618</f>
        <v>16</v>
      </c>
      <c r="J1618" s="24" t="n">
        <f aca="false">Test1_Hand!$B$6*H1618*D1618+Test1_Hand!$B$7*MAX(0,I1618-Test1_Hand!$B$5)+Test1_Hand!$B$14</f>
        <v>6000</v>
      </c>
    </row>
    <row r="1619" customFormat="false" ht="15" hidden="false" customHeight="false" outlineLevel="0" collapsed="false">
      <c r="A1619" s="2" t="n">
        <v>1607</v>
      </c>
      <c r="B1619" s="22" t="n">
        <v>0.526834288202425</v>
      </c>
      <c r="C1619" s="22" t="n">
        <v>0.738797782628988</v>
      </c>
      <c r="D1619" s="23" t="n">
        <f aca="false">BETAINV(C1619,Test1_Hand!$B$21,Test1_Hand!$B$22,Test1_Hand!$B$9,Test1_Hand!$B$11)</f>
        <v>4.32248043863774</v>
      </c>
      <c r="E1619" s="2" t="n">
        <f aca="false">IF(B1619&lt;Test1_Hand!$B$12,1,0)</f>
        <v>0</v>
      </c>
      <c r="F1619" s="23" t="n">
        <f aca="false">Test1_Hand!$B$4+E1619*D1619</f>
        <v>16</v>
      </c>
      <c r="G1619" s="24" t="n">
        <f aca="false">Test1_Hand!$B$6*E1619*D1619+Test1_Hand!$B$7*MAX(0,F1619-Test1_Hand!$B$5)</f>
        <v>0</v>
      </c>
      <c r="H1619" s="2" t="n">
        <f aca="false">IF(B1619&lt;Test1_Hand!$B$13,1,0)</f>
        <v>0</v>
      </c>
      <c r="I1619" s="23" t="n">
        <f aca="false">Test1_Hand!$B$4+H1619*D1619</f>
        <v>16</v>
      </c>
      <c r="J1619" s="24" t="n">
        <f aca="false">Test1_Hand!$B$6*H1619*D1619+Test1_Hand!$B$7*MAX(0,I1619-Test1_Hand!$B$5)+Test1_Hand!$B$14</f>
        <v>6000</v>
      </c>
    </row>
    <row r="1620" customFormat="false" ht="15" hidden="false" customHeight="false" outlineLevel="0" collapsed="false">
      <c r="A1620" s="2" t="n">
        <v>1608</v>
      </c>
      <c r="B1620" s="22" t="n">
        <v>0.197174909893802</v>
      </c>
      <c r="C1620" s="22" t="n">
        <v>0.0118703556952915</v>
      </c>
      <c r="D1620" s="23" t="n">
        <f aca="false">BETAINV(C1620,Test1_Hand!$B$21,Test1_Hand!$B$22,Test1_Hand!$B$9,Test1_Hand!$B$11)</f>
        <v>1.308460852467</v>
      </c>
      <c r="E1620" s="2" t="n">
        <f aca="false">IF(B1620&lt;Test1_Hand!$B$12,1,0)</f>
        <v>1</v>
      </c>
      <c r="F1620" s="23" t="n">
        <f aca="false">Test1_Hand!$B$4+E1620*D1620</f>
        <v>17.308460852467</v>
      </c>
      <c r="G1620" s="24" t="n">
        <f aca="false">Test1_Hand!$B$6*E1620*D1620+Test1_Hand!$B$7*MAX(0,F1620-Test1_Hand!$B$5)</f>
        <v>10467.686819736</v>
      </c>
      <c r="H1620" s="2" t="n">
        <f aca="false">IF(B1620&lt;Test1_Hand!$B$13,1,0)</f>
        <v>1</v>
      </c>
      <c r="I1620" s="23" t="n">
        <f aca="false">Test1_Hand!$B$4+H1620*D1620</f>
        <v>17.308460852467</v>
      </c>
      <c r="J1620" s="24" t="n">
        <f aca="false">Test1_Hand!$B$6*H1620*D1620+Test1_Hand!$B$7*MAX(0,I1620-Test1_Hand!$B$5)+Test1_Hand!$B$14</f>
        <v>16467.686819736</v>
      </c>
    </row>
    <row r="1621" customFormat="false" ht="15" hidden="false" customHeight="false" outlineLevel="0" collapsed="false">
      <c r="A1621" s="2" t="n">
        <v>1609</v>
      </c>
      <c r="B1621" s="22" t="n">
        <v>0.90300800469354</v>
      </c>
      <c r="C1621" s="22" t="n">
        <v>0.8050213487358</v>
      </c>
      <c r="D1621" s="23" t="n">
        <f aca="false">BETAINV(C1621,Test1_Hand!$B$21,Test1_Hand!$B$22,Test1_Hand!$B$9,Test1_Hand!$B$11)</f>
        <v>4.65294468688542</v>
      </c>
      <c r="E1621" s="2" t="n">
        <f aca="false">IF(B1621&lt;Test1_Hand!$B$12,1,0)</f>
        <v>0</v>
      </c>
      <c r="F1621" s="23" t="n">
        <f aca="false">Test1_Hand!$B$4+E1621*D1621</f>
        <v>16</v>
      </c>
      <c r="G1621" s="24" t="n">
        <f aca="false">Test1_Hand!$B$6*E1621*D1621+Test1_Hand!$B$7*MAX(0,F1621-Test1_Hand!$B$5)</f>
        <v>0</v>
      </c>
      <c r="H1621" s="2" t="n">
        <f aca="false">IF(B1621&lt;Test1_Hand!$B$13,1,0)</f>
        <v>0</v>
      </c>
      <c r="I1621" s="23" t="n">
        <f aca="false">Test1_Hand!$B$4+H1621*D1621</f>
        <v>16</v>
      </c>
      <c r="J1621" s="24" t="n">
        <f aca="false">Test1_Hand!$B$6*H1621*D1621+Test1_Hand!$B$7*MAX(0,I1621-Test1_Hand!$B$5)+Test1_Hand!$B$14</f>
        <v>6000</v>
      </c>
    </row>
    <row r="1622" customFormat="false" ht="15" hidden="false" customHeight="false" outlineLevel="0" collapsed="false">
      <c r="A1622" s="2" t="n">
        <v>1610</v>
      </c>
      <c r="B1622" s="22" t="n">
        <v>0.75119068391271</v>
      </c>
      <c r="C1622" s="22" t="n">
        <v>0.800304402605511</v>
      </c>
      <c r="D1622" s="23" t="n">
        <f aca="false">BETAINV(C1622,Test1_Hand!$B$21,Test1_Hand!$B$22,Test1_Hand!$B$9,Test1_Hand!$B$11)</f>
        <v>4.62750926164411</v>
      </c>
      <c r="E1622" s="2" t="n">
        <f aca="false">IF(B1622&lt;Test1_Hand!$B$12,1,0)</f>
        <v>0</v>
      </c>
      <c r="F1622" s="23" t="n">
        <f aca="false">Test1_Hand!$B$4+E1622*D1622</f>
        <v>16</v>
      </c>
      <c r="G1622" s="24" t="n">
        <f aca="false">Test1_Hand!$B$6*E1622*D1622+Test1_Hand!$B$7*MAX(0,F1622-Test1_Hand!$B$5)</f>
        <v>0</v>
      </c>
      <c r="H1622" s="2" t="n">
        <f aca="false">IF(B1622&lt;Test1_Hand!$B$13,1,0)</f>
        <v>0</v>
      </c>
      <c r="I1622" s="23" t="n">
        <f aca="false">Test1_Hand!$B$4+H1622*D1622</f>
        <v>16</v>
      </c>
      <c r="J1622" s="24" t="n">
        <f aca="false">Test1_Hand!$B$6*H1622*D1622+Test1_Hand!$B$7*MAX(0,I1622-Test1_Hand!$B$5)+Test1_Hand!$B$14</f>
        <v>6000</v>
      </c>
    </row>
    <row r="1623" customFormat="false" ht="15" hidden="false" customHeight="false" outlineLevel="0" collapsed="false">
      <c r="A1623" s="2" t="n">
        <v>1611</v>
      </c>
      <c r="B1623" s="22" t="n">
        <v>0.266703319275508</v>
      </c>
      <c r="C1623" s="22" t="n">
        <v>0.757644898415283</v>
      </c>
      <c r="D1623" s="23" t="n">
        <f aca="false">BETAINV(C1623,Test1_Hand!$B$21,Test1_Hand!$B$22,Test1_Hand!$B$9,Test1_Hand!$B$11)</f>
        <v>4.41134586425358</v>
      </c>
      <c r="E1623" s="2" t="n">
        <f aca="false">IF(B1623&lt;Test1_Hand!$B$12,1,0)</f>
        <v>1</v>
      </c>
      <c r="F1623" s="23" t="n">
        <f aca="false">Test1_Hand!$B$4+E1623*D1623</f>
        <v>20.4113458642536</v>
      </c>
      <c r="G1623" s="24" t="n">
        <f aca="false">Test1_Hand!$B$6*E1623*D1623+Test1_Hand!$B$7*MAX(0,F1623-Test1_Hand!$B$5)</f>
        <v>37347.4962352965</v>
      </c>
      <c r="H1623" s="2" t="n">
        <f aca="false">IF(B1623&lt;Test1_Hand!$B$13,1,0)</f>
        <v>0</v>
      </c>
      <c r="I1623" s="23" t="n">
        <f aca="false">Test1_Hand!$B$4+H1623*D1623</f>
        <v>16</v>
      </c>
      <c r="J1623" s="24" t="n">
        <f aca="false">Test1_Hand!$B$6*H1623*D1623+Test1_Hand!$B$7*MAX(0,I1623-Test1_Hand!$B$5)+Test1_Hand!$B$14</f>
        <v>6000</v>
      </c>
    </row>
    <row r="1624" customFormat="false" ht="15" hidden="false" customHeight="false" outlineLevel="0" collapsed="false">
      <c r="A1624" s="2" t="n">
        <v>1612</v>
      </c>
      <c r="B1624" s="22" t="n">
        <v>0.206242840476365</v>
      </c>
      <c r="C1624" s="22" t="n">
        <v>0.103515090883194</v>
      </c>
      <c r="D1624" s="23" t="n">
        <f aca="false">BETAINV(C1624,Test1_Hand!$B$21,Test1_Hand!$B$22,Test1_Hand!$B$9,Test1_Hand!$B$11)</f>
        <v>1.92121309992601</v>
      </c>
      <c r="E1624" s="2" t="n">
        <f aca="false">IF(B1624&lt;Test1_Hand!$B$12,1,0)</f>
        <v>1</v>
      </c>
      <c r="F1624" s="23" t="n">
        <f aca="false">Test1_Hand!$B$4+E1624*D1624</f>
        <v>17.921213099926</v>
      </c>
      <c r="G1624" s="24" t="n">
        <f aca="false">Test1_Hand!$B$6*E1624*D1624+Test1_Hand!$B$7*MAX(0,F1624-Test1_Hand!$B$5)</f>
        <v>15369.7047994081</v>
      </c>
      <c r="H1624" s="2" t="n">
        <f aca="false">IF(B1624&lt;Test1_Hand!$B$13,1,0)</f>
        <v>0</v>
      </c>
      <c r="I1624" s="23" t="n">
        <f aca="false">Test1_Hand!$B$4+H1624*D1624</f>
        <v>16</v>
      </c>
      <c r="J1624" s="24" t="n">
        <f aca="false">Test1_Hand!$B$6*H1624*D1624+Test1_Hand!$B$7*MAX(0,I1624-Test1_Hand!$B$5)+Test1_Hand!$B$14</f>
        <v>6000</v>
      </c>
    </row>
    <row r="1625" customFormat="false" ht="15" hidden="false" customHeight="false" outlineLevel="0" collapsed="false">
      <c r="A1625" s="2" t="n">
        <v>1613</v>
      </c>
      <c r="B1625" s="22" t="n">
        <v>0.150244934371052</v>
      </c>
      <c r="C1625" s="22" t="n">
        <v>0.654332653004761</v>
      </c>
      <c r="D1625" s="23" t="n">
        <f aca="false">BETAINV(C1625,Test1_Hand!$B$21,Test1_Hand!$B$22,Test1_Hand!$B$9,Test1_Hand!$B$11)</f>
        <v>3.95928153491011</v>
      </c>
      <c r="E1625" s="2" t="n">
        <f aca="false">IF(B1625&lt;Test1_Hand!$B$12,1,0)</f>
        <v>1</v>
      </c>
      <c r="F1625" s="23" t="n">
        <f aca="false">Test1_Hand!$B$4+E1625*D1625</f>
        <v>19.9592815349101</v>
      </c>
      <c r="G1625" s="24" t="n">
        <f aca="false">Test1_Hand!$B$6*E1625*D1625+Test1_Hand!$B$7*MAX(0,F1625-Test1_Hand!$B$5)</f>
        <v>31674.2522792809</v>
      </c>
      <c r="H1625" s="2" t="n">
        <f aca="false">IF(B1625&lt;Test1_Hand!$B$13,1,0)</f>
        <v>1</v>
      </c>
      <c r="I1625" s="23" t="n">
        <f aca="false">Test1_Hand!$B$4+H1625*D1625</f>
        <v>19.9592815349101</v>
      </c>
      <c r="J1625" s="24" t="n">
        <f aca="false">Test1_Hand!$B$6*H1625*D1625+Test1_Hand!$B$7*MAX(0,I1625-Test1_Hand!$B$5)+Test1_Hand!$B$14</f>
        <v>37674.2522792809</v>
      </c>
    </row>
    <row r="1626" customFormat="false" ht="15" hidden="false" customHeight="false" outlineLevel="0" collapsed="false">
      <c r="A1626" s="2" t="n">
        <v>1614</v>
      </c>
      <c r="B1626" s="22" t="n">
        <v>0.903326400029378</v>
      </c>
      <c r="C1626" s="22" t="n">
        <v>0.898218595261119</v>
      </c>
      <c r="D1626" s="23" t="n">
        <f aca="false">BETAINV(C1626,Test1_Hand!$B$21,Test1_Hand!$B$22,Test1_Hand!$B$9,Test1_Hand!$B$11)</f>
        <v>5.25826900978554</v>
      </c>
      <c r="E1626" s="2" t="n">
        <f aca="false">IF(B1626&lt;Test1_Hand!$B$12,1,0)</f>
        <v>0</v>
      </c>
      <c r="F1626" s="23" t="n">
        <f aca="false">Test1_Hand!$B$4+E1626*D1626</f>
        <v>16</v>
      </c>
      <c r="G1626" s="24" t="n">
        <f aca="false">Test1_Hand!$B$6*E1626*D1626+Test1_Hand!$B$7*MAX(0,F1626-Test1_Hand!$B$5)</f>
        <v>0</v>
      </c>
      <c r="H1626" s="2" t="n">
        <f aca="false">IF(B1626&lt;Test1_Hand!$B$13,1,0)</f>
        <v>0</v>
      </c>
      <c r="I1626" s="23" t="n">
        <f aca="false">Test1_Hand!$B$4+H1626*D1626</f>
        <v>16</v>
      </c>
      <c r="J1626" s="24" t="n">
        <f aca="false">Test1_Hand!$B$6*H1626*D1626+Test1_Hand!$B$7*MAX(0,I1626-Test1_Hand!$B$5)+Test1_Hand!$B$14</f>
        <v>6000</v>
      </c>
    </row>
    <row r="1627" customFormat="false" ht="15" hidden="false" customHeight="false" outlineLevel="0" collapsed="false">
      <c r="A1627" s="2" t="n">
        <v>1615</v>
      </c>
      <c r="B1627" s="22" t="n">
        <v>0.430493844722012</v>
      </c>
      <c r="C1627" s="22" t="n">
        <v>0.111290137543118</v>
      </c>
      <c r="D1627" s="23" t="n">
        <f aca="false">BETAINV(C1627,Test1_Hand!$B$21,Test1_Hand!$B$22,Test1_Hand!$B$9,Test1_Hand!$B$11)</f>
        <v>1.95775361283691</v>
      </c>
      <c r="E1627" s="2" t="n">
        <f aca="false">IF(B1627&lt;Test1_Hand!$B$12,1,0)</f>
        <v>1</v>
      </c>
      <c r="F1627" s="23" t="n">
        <f aca="false">Test1_Hand!$B$4+E1627*D1627</f>
        <v>17.9577536128369</v>
      </c>
      <c r="G1627" s="24" t="n">
        <f aca="false">Test1_Hand!$B$6*E1627*D1627+Test1_Hand!$B$7*MAX(0,F1627-Test1_Hand!$B$5)</f>
        <v>15662.0289026953</v>
      </c>
      <c r="H1627" s="2" t="n">
        <f aca="false">IF(B1627&lt;Test1_Hand!$B$13,1,0)</f>
        <v>0</v>
      </c>
      <c r="I1627" s="23" t="n">
        <f aca="false">Test1_Hand!$B$4+H1627*D1627</f>
        <v>16</v>
      </c>
      <c r="J1627" s="24" t="n">
        <f aca="false">Test1_Hand!$B$6*H1627*D1627+Test1_Hand!$B$7*MAX(0,I1627-Test1_Hand!$B$5)+Test1_Hand!$B$14</f>
        <v>6000</v>
      </c>
    </row>
    <row r="1628" customFormat="false" ht="15" hidden="false" customHeight="false" outlineLevel="0" collapsed="false">
      <c r="A1628" s="2" t="n">
        <v>1616</v>
      </c>
      <c r="B1628" s="22" t="n">
        <v>0.446557129446354</v>
      </c>
      <c r="C1628" s="22" t="n">
        <v>0.301764485151634</v>
      </c>
      <c r="D1628" s="23" t="n">
        <f aca="false">BETAINV(C1628,Test1_Hand!$B$21,Test1_Hand!$B$22,Test1_Hand!$B$9,Test1_Hand!$B$11)</f>
        <v>2.69651045633704</v>
      </c>
      <c r="E1628" s="2" t="n">
        <f aca="false">IF(B1628&lt;Test1_Hand!$B$12,1,0)</f>
        <v>1</v>
      </c>
      <c r="F1628" s="23" t="n">
        <f aca="false">Test1_Hand!$B$4+E1628*D1628</f>
        <v>18.696510456337</v>
      </c>
      <c r="G1628" s="24" t="n">
        <f aca="false">Test1_Hand!$B$6*E1628*D1628+Test1_Hand!$B$7*MAX(0,F1628-Test1_Hand!$B$5)</f>
        <v>21572.0836506963</v>
      </c>
      <c r="H1628" s="2" t="n">
        <f aca="false">IF(B1628&lt;Test1_Hand!$B$13,1,0)</f>
        <v>0</v>
      </c>
      <c r="I1628" s="23" t="n">
        <f aca="false">Test1_Hand!$B$4+H1628*D1628</f>
        <v>16</v>
      </c>
      <c r="J1628" s="24" t="n">
        <f aca="false">Test1_Hand!$B$6*H1628*D1628+Test1_Hand!$B$7*MAX(0,I1628-Test1_Hand!$B$5)+Test1_Hand!$B$14</f>
        <v>6000</v>
      </c>
    </row>
    <row r="1629" customFormat="false" ht="15" hidden="false" customHeight="false" outlineLevel="0" collapsed="false">
      <c r="A1629" s="2" t="n">
        <v>1617</v>
      </c>
      <c r="B1629" s="22" t="n">
        <v>0.177782500521236</v>
      </c>
      <c r="C1629" s="22" t="n">
        <v>0.878749161678086</v>
      </c>
      <c r="D1629" s="23" t="n">
        <f aca="false">BETAINV(C1629,Test1_Hand!$B$21,Test1_Hand!$B$22,Test1_Hand!$B$9,Test1_Hand!$B$11)</f>
        <v>5.1099833421739</v>
      </c>
      <c r="E1629" s="2" t="n">
        <f aca="false">IF(B1629&lt;Test1_Hand!$B$12,1,0)</f>
        <v>1</v>
      </c>
      <c r="F1629" s="23" t="n">
        <f aca="false">Test1_Hand!$B$4+E1629*D1629</f>
        <v>21.1099833421739</v>
      </c>
      <c r="G1629" s="24" t="n">
        <f aca="false">Test1_Hand!$B$6*E1629*D1629+Test1_Hand!$B$7*MAX(0,F1629-Test1_Hand!$B$5)</f>
        <v>46429.7834482608</v>
      </c>
      <c r="H1629" s="2" t="n">
        <f aca="false">IF(B1629&lt;Test1_Hand!$B$13,1,0)</f>
        <v>1</v>
      </c>
      <c r="I1629" s="23" t="n">
        <f aca="false">Test1_Hand!$B$4+H1629*D1629</f>
        <v>21.1099833421739</v>
      </c>
      <c r="J1629" s="24" t="n">
        <f aca="false">Test1_Hand!$B$6*H1629*D1629+Test1_Hand!$B$7*MAX(0,I1629-Test1_Hand!$B$5)+Test1_Hand!$B$14</f>
        <v>52429.7834482608</v>
      </c>
    </row>
    <row r="1630" customFormat="false" ht="15" hidden="false" customHeight="false" outlineLevel="0" collapsed="false">
      <c r="A1630" s="2" t="n">
        <v>1618</v>
      </c>
      <c r="B1630" s="22" t="n">
        <v>0.0656389363357031</v>
      </c>
      <c r="C1630" s="22" t="n">
        <v>0.275146578817255</v>
      </c>
      <c r="D1630" s="23" t="n">
        <f aca="false">BETAINV(C1630,Test1_Hand!$B$21,Test1_Hand!$B$22,Test1_Hand!$B$9,Test1_Hand!$B$11)</f>
        <v>2.60264020443232</v>
      </c>
      <c r="E1630" s="2" t="n">
        <f aca="false">IF(B1630&lt;Test1_Hand!$B$12,1,0)</f>
        <v>1</v>
      </c>
      <c r="F1630" s="23" t="n">
        <f aca="false">Test1_Hand!$B$4+E1630*D1630</f>
        <v>18.6026402044323</v>
      </c>
      <c r="G1630" s="24" t="n">
        <f aca="false">Test1_Hand!$B$6*E1630*D1630+Test1_Hand!$B$7*MAX(0,F1630-Test1_Hand!$B$5)</f>
        <v>20821.1216354585</v>
      </c>
      <c r="H1630" s="2" t="n">
        <f aca="false">IF(B1630&lt;Test1_Hand!$B$13,1,0)</f>
        <v>1</v>
      </c>
      <c r="I1630" s="23" t="n">
        <f aca="false">Test1_Hand!$B$4+H1630*D1630</f>
        <v>18.6026402044323</v>
      </c>
      <c r="J1630" s="24" t="n">
        <f aca="false">Test1_Hand!$B$6*H1630*D1630+Test1_Hand!$B$7*MAX(0,I1630-Test1_Hand!$B$5)+Test1_Hand!$B$14</f>
        <v>26821.1216354585</v>
      </c>
    </row>
    <row r="1631" customFormat="false" ht="15" hidden="false" customHeight="false" outlineLevel="0" collapsed="false">
      <c r="A1631" s="2" t="n">
        <v>1619</v>
      </c>
      <c r="B1631" s="22" t="n">
        <v>0.100427551515167</v>
      </c>
      <c r="C1631" s="22" t="n">
        <v>0.0338234640581524</v>
      </c>
      <c r="D1631" s="23" t="n">
        <f aca="false">BETAINV(C1631,Test1_Hand!$B$21,Test1_Hand!$B$22,Test1_Hand!$B$9,Test1_Hand!$B$11)</f>
        <v>1.5170905637173</v>
      </c>
      <c r="E1631" s="2" t="n">
        <f aca="false">IF(B1631&lt;Test1_Hand!$B$12,1,0)</f>
        <v>1</v>
      </c>
      <c r="F1631" s="23" t="n">
        <f aca="false">Test1_Hand!$B$4+E1631*D1631</f>
        <v>17.5170905637173</v>
      </c>
      <c r="G1631" s="24" t="n">
        <f aca="false">Test1_Hand!$B$6*E1631*D1631+Test1_Hand!$B$7*MAX(0,F1631-Test1_Hand!$B$5)</f>
        <v>12136.7245097384</v>
      </c>
      <c r="H1631" s="2" t="n">
        <f aca="false">IF(B1631&lt;Test1_Hand!$B$13,1,0)</f>
        <v>1</v>
      </c>
      <c r="I1631" s="23" t="n">
        <f aca="false">Test1_Hand!$B$4+H1631*D1631</f>
        <v>17.5170905637173</v>
      </c>
      <c r="J1631" s="24" t="n">
        <f aca="false">Test1_Hand!$B$6*H1631*D1631+Test1_Hand!$B$7*MAX(0,I1631-Test1_Hand!$B$5)+Test1_Hand!$B$14</f>
        <v>18136.7245097384</v>
      </c>
    </row>
    <row r="1632" customFormat="false" ht="15" hidden="false" customHeight="false" outlineLevel="0" collapsed="false">
      <c r="A1632" s="2" t="n">
        <v>1620</v>
      </c>
      <c r="B1632" s="22" t="n">
        <v>0.0363960055574112</v>
      </c>
      <c r="C1632" s="22" t="n">
        <v>0.936234550455004</v>
      </c>
      <c r="D1632" s="23" t="n">
        <f aca="false">BETAINV(C1632,Test1_Hand!$B$21,Test1_Hand!$B$22,Test1_Hand!$B$9,Test1_Hand!$B$11)</f>
        <v>5.6115036184959</v>
      </c>
      <c r="E1632" s="2" t="n">
        <f aca="false">IF(B1632&lt;Test1_Hand!$B$12,1,0)</f>
        <v>1</v>
      </c>
      <c r="F1632" s="23" t="n">
        <f aca="false">Test1_Hand!$B$4+E1632*D1632</f>
        <v>21.6115036184959</v>
      </c>
      <c r="G1632" s="24" t="n">
        <f aca="false">Test1_Hand!$B$6*E1632*D1632+Test1_Hand!$B$7*MAX(0,F1632-Test1_Hand!$B$5)</f>
        <v>52949.5470404467</v>
      </c>
      <c r="H1632" s="2" t="n">
        <f aca="false">IF(B1632&lt;Test1_Hand!$B$13,1,0)</f>
        <v>1</v>
      </c>
      <c r="I1632" s="23" t="n">
        <f aca="false">Test1_Hand!$B$4+H1632*D1632</f>
        <v>21.6115036184959</v>
      </c>
      <c r="J1632" s="24" t="n">
        <f aca="false">Test1_Hand!$B$6*H1632*D1632+Test1_Hand!$B$7*MAX(0,I1632-Test1_Hand!$B$5)+Test1_Hand!$B$14</f>
        <v>58949.5470404467</v>
      </c>
    </row>
    <row r="1633" customFormat="false" ht="15" hidden="false" customHeight="false" outlineLevel="0" collapsed="false">
      <c r="A1633" s="2" t="n">
        <v>1621</v>
      </c>
      <c r="B1633" s="22" t="n">
        <v>0.460918292679838</v>
      </c>
      <c r="C1633" s="22" t="n">
        <v>0.281575589659447</v>
      </c>
      <c r="D1633" s="23" t="n">
        <f aca="false">BETAINV(C1633,Test1_Hand!$B$21,Test1_Hand!$B$22,Test1_Hand!$B$9,Test1_Hand!$B$11)</f>
        <v>2.62544462397355</v>
      </c>
      <c r="E1633" s="2" t="n">
        <f aca="false">IF(B1633&lt;Test1_Hand!$B$12,1,0)</f>
        <v>1</v>
      </c>
      <c r="F1633" s="23" t="n">
        <f aca="false">Test1_Hand!$B$4+E1633*D1633</f>
        <v>18.6254446239736</v>
      </c>
      <c r="G1633" s="24" t="n">
        <f aca="false">Test1_Hand!$B$6*E1633*D1633+Test1_Hand!$B$7*MAX(0,F1633-Test1_Hand!$B$5)</f>
        <v>21003.5569917884</v>
      </c>
      <c r="H1633" s="2" t="n">
        <f aca="false">IF(B1633&lt;Test1_Hand!$B$13,1,0)</f>
        <v>0</v>
      </c>
      <c r="I1633" s="23" t="n">
        <f aca="false">Test1_Hand!$B$4+H1633*D1633</f>
        <v>16</v>
      </c>
      <c r="J1633" s="24" t="n">
        <f aca="false">Test1_Hand!$B$6*H1633*D1633+Test1_Hand!$B$7*MAX(0,I1633-Test1_Hand!$B$5)+Test1_Hand!$B$14</f>
        <v>6000</v>
      </c>
    </row>
    <row r="1634" customFormat="false" ht="15" hidden="false" customHeight="false" outlineLevel="0" collapsed="false">
      <c r="A1634" s="2" t="n">
        <v>1622</v>
      </c>
      <c r="B1634" s="22" t="n">
        <v>0.828129750020137</v>
      </c>
      <c r="C1634" s="22" t="n">
        <v>0.854632580989315</v>
      </c>
      <c r="D1634" s="23" t="n">
        <f aca="false">BETAINV(C1634,Test1_Hand!$B$21,Test1_Hand!$B$22,Test1_Hand!$B$9,Test1_Hand!$B$11)</f>
        <v>4.94557283060669</v>
      </c>
      <c r="E1634" s="2" t="n">
        <f aca="false">IF(B1634&lt;Test1_Hand!$B$12,1,0)</f>
        <v>0</v>
      </c>
      <c r="F1634" s="23" t="n">
        <f aca="false">Test1_Hand!$B$4+E1634*D1634</f>
        <v>16</v>
      </c>
      <c r="G1634" s="24" t="n">
        <f aca="false">Test1_Hand!$B$6*E1634*D1634+Test1_Hand!$B$7*MAX(0,F1634-Test1_Hand!$B$5)</f>
        <v>0</v>
      </c>
      <c r="H1634" s="2" t="n">
        <f aca="false">IF(B1634&lt;Test1_Hand!$B$13,1,0)</f>
        <v>0</v>
      </c>
      <c r="I1634" s="23" t="n">
        <f aca="false">Test1_Hand!$B$4+H1634*D1634</f>
        <v>16</v>
      </c>
      <c r="J1634" s="24" t="n">
        <f aca="false">Test1_Hand!$B$6*H1634*D1634+Test1_Hand!$B$7*MAX(0,I1634-Test1_Hand!$B$5)+Test1_Hand!$B$14</f>
        <v>6000</v>
      </c>
    </row>
    <row r="1635" customFormat="false" ht="15" hidden="false" customHeight="false" outlineLevel="0" collapsed="false">
      <c r="A1635" s="2" t="n">
        <v>1623</v>
      </c>
      <c r="B1635" s="22" t="n">
        <v>0.0738414892466641</v>
      </c>
      <c r="C1635" s="22" t="n">
        <v>0.130786574883204</v>
      </c>
      <c r="D1635" s="23" t="n">
        <f aca="false">BETAINV(C1635,Test1_Hand!$B$21,Test1_Hand!$B$22,Test1_Hand!$B$9,Test1_Hand!$B$11)</f>
        <v>2.04547731453805</v>
      </c>
      <c r="E1635" s="2" t="n">
        <f aca="false">IF(B1635&lt;Test1_Hand!$B$12,1,0)</f>
        <v>1</v>
      </c>
      <c r="F1635" s="23" t="n">
        <f aca="false">Test1_Hand!$B$4+E1635*D1635</f>
        <v>18.0454773145381</v>
      </c>
      <c r="G1635" s="24" t="n">
        <f aca="false">Test1_Hand!$B$6*E1635*D1635+Test1_Hand!$B$7*MAX(0,F1635-Test1_Hand!$B$5)</f>
        <v>16363.8185163044</v>
      </c>
      <c r="H1635" s="2" t="n">
        <f aca="false">IF(B1635&lt;Test1_Hand!$B$13,1,0)</f>
        <v>1</v>
      </c>
      <c r="I1635" s="23" t="n">
        <f aca="false">Test1_Hand!$B$4+H1635*D1635</f>
        <v>18.0454773145381</v>
      </c>
      <c r="J1635" s="24" t="n">
        <f aca="false">Test1_Hand!$B$6*H1635*D1635+Test1_Hand!$B$7*MAX(0,I1635-Test1_Hand!$B$5)+Test1_Hand!$B$14</f>
        <v>22363.8185163044</v>
      </c>
    </row>
    <row r="1636" customFormat="false" ht="15" hidden="false" customHeight="false" outlineLevel="0" collapsed="false">
      <c r="A1636" s="2" t="n">
        <v>1624</v>
      </c>
      <c r="B1636" s="22" t="n">
        <v>0.792095992032543</v>
      </c>
      <c r="C1636" s="22" t="n">
        <v>0.721329704001014</v>
      </c>
      <c r="D1636" s="23" t="n">
        <f aca="false">BETAINV(C1636,Test1_Hand!$B$21,Test1_Hand!$B$22,Test1_Hand!$B$9,Test1_Hand!$B$11)</f>
        <v>4.24306885210119</v>
      </c>
      <c r="E1636" s="2" t="n">
        <f aca="false">IF(B1636&lt;Test1_Hand!$B$12,1,0)</f>
        <v>0</v>
      </c>
      <c r="F1636" s="23" t="n">
        <f aca="false">Test1_Hand!$B$4+E1636*D1636</f>
        <v>16</v>
      </c>
      <c r="G1636" s="24" t="n">
        <f aca="false">Test1_Hand!$B$6*E1636*D1636+Test1_Hand!$B$7*MAX(0,F1636-Test1_Hand!$B$5)</f>
        <v>0</v>
      </c>
      <c r="H1636" s="2" t="n">
        <f aca="false">IF(B1636&lt;Test1_Hand!$B$13,1,0)</f>
        <v>0</v>
      </c>
      <c r="I1636" s="23" t="n">
        <f aca="false">Test1_Hand!$B$4+H1636*D1636</f>
        <v>16</v>
      </c>
      <c r="J1636" s="24" t="n">
        <f aca="false">Test1_Hand!$B$6*H1636*D1636+Test1_Hand!$B$7*MAX(0,I1636-Test1_Hand!$B$5)+Test1_Hand!$B$14</f>
        <v>6000</v>
      </c>
    </row>
    <row r="1637" customFormat="false" ht="15" hidden="false" customHeight="false" outlineLevel="0" collapsed="false">
      <c r="A1637" s="2" t="n">
        <v>1625</v>
      </c>
      <c r="B1637" s="22" t="n">
        <v>0.90558622224222</v>
      </c>
      <c r="C1637" s="22" t="n">
        <v>0.796382955245872</v>
      </c>
      <c r="D1637" s="23" t="n">
        <f aca="false">BETAINV(C1637,Test1_Hand!$B$21,Test1_Hand!$B$22,Test1_Hand!$B$9,Test1_Hand!$B$11)</f>
        <v>4.60662265823192</v>
      </c>
      <c r="E1637" s="2" t="n">
        <f aca="false">IF(B1637&lt;Test1_Hand!$B$12,1,0)</f>
        <v>0</v>
      </c>
      <c r="F1637" s="23" t="n">
        <f aca="false">Test1_Hand!$B$4+E1637*D1637</f>
        <v>16</v>
      </c>
      <c r="G1637" s="24" t="n">
        <f aca="false">Test1_Hand!$B$6*E1637*D1637+Test1_Hand!$B$7*MAX(0,F1637-Test1_Hand!$B$5)</f>
        <v>0</v>
      </c>
      <c r="H1637" s="2" t="n">
        <f aca="false">IF(B1637&lt;Test1_Hand!$B$13,1,0)</f>
        <v>0</v>
      </c>
      <c r="I1637" s="23" t="n">
        <f aca="false">Test1_Hand!$B$4+H1637*D1637</f>
        <v>16</v>
      </c>
      <c r="J1637" s="24" t="n">
        <f aca="false">Test1_Hand!$B$6*H1637*D1637+Test1_Hand!$B$7*MAX(0,I1637-Test1_Hand!$B$5)+Test1_Hand!$B$14</f>
        <v>6000</v>
      </c>
    </row>
    <row r="1638" customFormat="false" ht="15" hidden="false" customHeight="false" outlineLevel="0" collapsed="false">
      <c r="A1638" s="2" t="n">
        <v>1626</v>
      </c>
      <c r="B1638" s="22" t="n">
        <v>0.691554912713455</v>
      </c>
      <c r="C1638" s="22" t="n">
        <v>0.210968167301237</v>
      </c>
      <c r="D1638" s="23" t="n">
        <f aca="false">BETAINV(C1638,Test1_Hand!$B$21,Test1_Hand!$B$22,Test1_Hand!$B$9,Test1_Hand!$B$11)</f>
        <v>2.36836356813595</v>
      </c>
      <c r="E1638" s="2" t="n">
        <f aca="false">IF(B1638&lt;Test1_Hand!$B$12,1,0)</f>
        <v>0</v>
      </c>
      <c r="F1638" s="23" t="n">
        <f aca="false">Test1_Hand!$B$4+E1638*D1638</f>
        <v>16</v>
      </c>
      <c r="G1638" s="24" t="n">
        <f aca="false">Test1_Hand!$B$6*E1638*D1638+Test1_Hand!$B$7*MAX(0,F1638-Test1_Hand!$B$5)</f>
        <v>0</v>
      </c>
      <c r="H1638" s="2" t="n">
        <f aca="false">IF(B1638&lt;Test1_Hand!$B$13,1,0)</f>
        <v>0</v>
      </c>
      <c r="I1638" s="23" t="n">
        <f aca="false">Test1_Hand!$B$4+H1638*D1638</f>
        <v>16</v>
      </c>
      <c r="J1638" s="24" t="n">
        <f aca="false">Test1_Hand!$B$6*H1638*D1638+Test1_Hand!$B$7*MAX(0,I1638-Test1_Hand!$B$5)+Test1_Hand!$B$14</f>
        <v>6000</v>
      </c>
    </row>
    <row r="1639" customFormat="false" ht="15" hidden="false" customHeight="false" outlineLevel="0" collapsed="false">
      <c r="A1639" s="2" t="n">
        <v>1627</v>
      </c>
      <c r="B1639" s="22" t="n">
        <v>0.13173882449086</v>
      </c>
      <c r="C1639" s="22" t="n">
        <v>0.284734997598708</v>
      </c>
      <c r="D1639" s="23" t="n">
        <f aca="false">BETAINV(C1639,Test1_Hand!$B$21,Test1_Hand!$B$22,Test1_Hand!$B$9,Test1_Hand!$B$11)</f>
        <v>2.63661840391583</v>
      </c>
      <c r="E1639" s="2" t="n">
        <f aca="false">IF(B1639&lt;Test1_Hand!$B$12,1,0)</f>
        <v>1</v>
      </c>
      <c r="F1639" s="23" t="n">
        <f aca="false">Test1_Hand!$B$4+E1639*D1639</f>
        <v>18.6366184039158</v>
      </c>
      <c r="G1639" s="24" t="n">
        <f aca="false">Test1_Hand!$B$6*E1639*D1639+Test1_Hand!$B$7*MAX(0,F1639-Test1_Hand!$B$5)</f>
        <v>21092.9472313267</v>
      </c>
      <c r="H1639" s="2" t="n">
        <f aca="false">IF(B1639&lt;Test1_Hand!$B$13,1,0)</f>
        <v>1</v>
      </c>
      <c r="I1639" s="23" t="n">
        <f aca="false">Test1_Hand!$B$4+H1639*D1639</f>
        <v>18.6366184039158</v>
      </c>
      <c r="J1639" s="24" t="n">
        <f aca="false">Test1_Hand!$B$6*H1639*D1639+Test1_Hand!$B$7*MAX(0,I1639-Test1_Hand!$B$5)+Test1_Hand!$B$14</f>
        <v>27092.9472313267</v>
      </c>
    </row>
    <row r="1640" customFormat="false" ht="15" hidden="false" customHeight="false" outlineLevel="0" collapsed="false">
      <c r="A1640" s="2" t="n">
        <v>1628</v>
      </c>
      <c r="B1640" s="22" t="n">
        <v>0.0622597255688661</v>
      </c>
      <c r="C1640" s="22" t="n">
        <v>0.306282624484534</v>
      </c>
      <c r="D1640" s="23" t="n">
        <f aca="false">BETAINV(C1640,Test1_Hand!$B$21,Test1_Hand!$B$22,Test1_Hand!$B$9,Test1_Hand!$B$11)</f>
        <v>2.71231524338734</v>
      </c>
      <c r="E1640" s="2" t="n">
        <f aca="false">IF(B1640&lt;Test1_Hand!$B$12,1,0)</f>
        <v>1</v>
      </c>
      <c r="F1640" s="23" t="n">
        <f aca="false">Test1_Hand!$B$4+E1640*D1640</f>
        <v>18.7123152433873</v>
      </c>
      <c r="G1640" s="24" t="n">
        <f aca="false">Test1_Hand!$B$6*E1640*D1640+Test1_Hand!$B$7*MAX(0,F1640-Test1_Hand!$B$5)</f>
        <v>21698.5219470987</v>
      </c>
      <c r="H1640" s="2" t="n">
        <f aca="false">IF(B1640&lt;Test1_Hand!$B$13,1,0)</f>
        <v>1</v>
      </c>
      <c r="I1640" s="23" t="n">
        <f aca="false">Test1_Hand!$B$4+H1640*D1640</f>
        <v>18.7123152433873</v>
      </c>
      <c r="J1640" s="24" t="n">
        <f aca="false">Test1_Hand!$B$6*H1640*D1640+Test1_Hand!$B$7*MAX(0,I1640-Test1_Hand!$B$5)+Test1_Hand!$B$14</f>
        <v>27698.5219470987</v>
      </c>
    </row>
    <row r="1641" customFormat="false" ht="15" hidden="false" customHeight="false" outlineLevel="0" collapsed="false">
      <c r="A1641" s="2" t="n">
        <v>1629</v>
      </c>
      <c r="B1641" s="22" t="n">
        <v>0.209087428500281</v>
      </c>
      <c r="C1641" s="22" t="n">
        <v>0.929642540829572</v>
      </c>
      <c r="D1641" s="23" t="n">
        <f aca="false">BETAINV(C1641,Test1_Hand!$B$21,Test1_Hand!$B$22,Test1_Hand!$B$9,Test1_Hand!$B$11)</f>
        <v>5.541908537973</v>
      </c>
      <c r="E1641" s="2" t="n">
        <f aca="false">IF(B1641&lt;Test1_Hand!$B$12,1,0)</f>
        <v>1</v>
      </c>
      <c r="F1641" s="23" t="n">
        <f aca="false">Test1_Hand!$B$4+E1641*D1641</f>
        <v>21.541908537973</v>
      </c>
      <c r="G1641" s="24" t="n">
        <f aca="false">Test1_Hand!$B$6*E1641*D1641+Test1_Hand!$B$7*MAX(0,F1641-Test1_Hand!$B$5)</f>
        <v>52044.810993649</v>
      </c>
      <c r="H1641" s="2" t="n">
        <f aca="false">IF(B1641&lt;Test1_Hand!$B$13,1,0)</f>
        <v>0</v>
      </c>
      <c r="I1641" s="23" t="n">
        <f aca="false">Test1_Hand!$B$4+H1641*D1641</f>
        <v>16</v>
      </c>
      <c r="J1641" s="24" t="n">
        <f aca="false">Test1_Hand!$B$6*H1641*D1641+Test1_Hand!$B$7*MAX(0,I1641-Test1_Hand!$B$5)+Test1_Hand!$B$14</f>
        <v>6000</v>
      </c>
    </row>
    <row r="1642" customFormat="false" ht="15" hidden="false" customHeight="false" outlineLevel="0" collapsed="false">
      <c r="A1642" s="2" t="n">
        <v>1630</v>
      </c>
      <c r="B1642" s="22" t="n">
        <v>0.182941658744284</v>
      </c>
      <c r="C1642" s="22" t="n">
        <v>0.867665695316713</v>
      </c>
      <c r="D1642" s="23" t="n">
        <f aca="false">BETAINV(C1642,Test1_Hand!$B$21,Test1_Hand!$B$22,Test1_Hand!$B$9,Test1_Hand!$B$11)</f>
        <v>5.03214199738314</v>
      </c>
      <c r="E1642" s="2" t="n">
        <f aca="false">IF(B1642&lt;Test1_Hand!$B$12,1,0)</f>
        <v>1</v>
      </c>
      <c r="F1642" s="23" t="n">
        <f aca="false">Test1_Hand!$B$4+E1642*D1642</f>
        <v>21.0321419973831</v>
      </c>
      <c r="G1642" s="24" t="n">
        <f aca="false">Test1_Hand!$B$6*E1642*D1642+Test1_Hand!$B$7*MAX(0,F1642-Test1_Hand!$B$5)</f>
        <v>45417.8459659808</v>
      </c>
      <c r="H1642" s="2" t="n">
        <f aca="false">IF(B1642&lt;Test1_Hand!$B$13,1,0)</f>
        <v>1</v>
      </c>
      <c r="I1642" s="23" t="n">
        <f aca="false">Test1_Hand!$B$4+H1642*D1642</f>
        <v>21.0321419973831</v>
      </c>
      <c r="J1642" s="24" t="n">
        <f aca="false">Test1_Hand!$B$6*H1642*D1642+Test1_Hand!$B$7*MAX(0,I1642-Test1_Hand!$B$5)+Test1_Hand!$B$14</f>
        <v>51417.8459659808</v>
      </c>
    </row>
    <row r="1643" customFormat="false" ht="15" hidden="false" customHeight="false" outlineLevel="0" collapsed="false">
      <c r="A1643" s="2" t="n">
        <v>1631</v>
      </c>
      <c r="B1643" s="22" t="n">
        <v>0.875115235321351</v>
      </c>
      <c r="C1643" s="22" t="n">
        <v>0.787950304445591</v>
      </c>
      <c r="D1643" s="23" t="n">
        <f aca="false">BETAINV(C1643,Test1_Hand!$B$21,Test1_Hand!$B$22,Test1_Hand!$B$9,Test1_Hand!$B$11)</f>
        <v>4.56246577238411</v>
      </c>
      <c r="E1643" s="2" t="n">
        <f aca="false">IF(B1643&lt;Test1_Hand!$B$12,1,0)</f>
        <v>0</v>
      </c>
      <c r="F1643" s="23" t="n">
        <f aca="false">Test1_Hand!$B$4+E1643*D1643</f>
        <v>16</v>
      </c>
      <c r="G1643" s="24" t="n">
        <f aca="false">Test1_Hand!$B$6*E1643*D1643+Test1_Hand!$B$7*MAX(0,F1643-Test1_Hand!$B$5)</f>
        <v>0</v>
      </c>
      <c r="H1643" s="2" t="n">
        <f aca="false">IF(B1643&lt;Test1_Hand!$B$13,1,0)</f>
        <v>0</v>
      </c>
      <c r="I1643" s="23" t="n">
        <f aca="false">Test1_Hand!$B$4+H1643*D1643</f>
        <v>16</v>
      </c>
      <c r="J1643" s="24" t="n">
        <f aca="false">Test1_Hand!$B$6*H1643*D1643+Test1_Hand!$B$7*MAX(0,I1643-Test1_Hand!$B$5)+Test1_Hand!$B$14</f>
        <v>6000</v>
      </c>
    </row>
    <row r="1644" customFormat="false" ht="15" hidden="false" customHeight="false" outlineLevel="0" collapsed="false">
      <c r="A1644" s="2" t="n">
        <v>1632</v>
      </c>
      <c r="B1644" s="22" t="n">
        <v>0.798552612171035</v>
      </c>
      <c r="C1644" s="22" t="n">
        <v>0.53627262732607</v>
      </c>
      <c r="D1644" s="23" t="n">
        <f aca="false">BETAINV(C1644,Test1_Hand!$B$21,Test1_Hand!$B$22,Test1_Hand!$B$9,Test1_Hand!$B$11)</f>
        <v>3.51185702352326</v>
      </c>
      <c r="E1644" s="2" t="n">
        <f aca="false">IF(B1644&lt;Test1_Hand!$B$12,1,0)</f>
        <v>0</v>
      </c>
      <c r="F1644" s="23" t="n">
        <f aca="false">Test1_Hand!$B$4+E1644*D1644</f>
        <v>16</v>
      </c>
      <c r="G1644" s="24" t="n">
        <f aca="false">Test1_Hand!$B$6*E1644*D1644+Test1_Hand!$B$7*MAX(0,F1644-Test1_Hand!$B$5)</f>
        <v>0</v>
      </c>
      <c r="H1644" s="2" t="n">
        <f aca="false">IF(B1644&lt;Test1_Hand!$B$13,1,0)</f>
        <v>0</v>
      </c>
      <c r="I1644" s="23" t="n">
        <f aca="false">Test1_Hand!$B$4+H1644*D1644</f>
        <v>16</v>
      </c>
      <c r="J1644" s="24" t="n">
        <f aca="false">Test1_Hand!$B$6*H1644*D1644+Test1_Hand!$B$7*MAX(0,I1644-Test1_Hand!$B$5)+Test1_Hand!$B$14</f>
        <v>6000</v>
      </c>
    </row>
    <row r="1645" customFormat="false" ht="15" hidden="false" customHeight="false" outlineLevel="0" collapsed="false">
      <c r="A1645" s="2" t="n">
        <v>1633</v>
      </c>
      <c r="B1645" s="22" t="n">
        <v>0.728086290774225</v>
      </c>
      <c r="C1645" s="22" t="n">
        <v>0.162033544197116</v>
      </c>
      <c r="D1645" s="23" t="n">
        <f aca="false">BETAINV(C1645,Test1_Hand!$B$21,Test1_Hand!$B$22,Test1_Hand!$B$9,Test1_Hand!$B$11)</f>
        <v>2.1771231341394</v>
      </c>
      <c r="E1645" s="2" t="n">
        <f aca="false">IF(B1645&lt;Test1_Hand!$B$12,1,0)</f>
        <v>0</v>
      </c>
      <c r="F1645" s="23" t="n">
        <f aca="false">Test1_Hand!$B$4+E1645*D1645</f>
        <v>16</v>
      </c>
      <c r="G1645" s="24" t="n">
        <f aca="false">Test1_Hand!$B$6*E1645*D1645+Test1_Hand!$B$7*MAX(0,F1645-Test1_Hand!$B$5)</f>
        <v>0</v>
      </c>
      <c r="H1645" s="2" t="n">
        <f aca="false">IF(B1645&lt;Test1_Hand!$B$13,1,0)</f>
        <v>0</v>
      </c>
      <c r="I1645" s="23" t="n">
        <f aca="false">Test1_Hand!$B$4+H1645*D1645</f>
        <v>16</v>
      </c>
      <c r="J1645" s="24" t="n">
        <f aca="false">Test1_Hand!$B$6*H1645*D1645+Test1_Hand!$B$7*MAX(0,I1645-Test1_Hand!$B$5)+Test1_Hand!$B$14</f>
        <v>6000</v>
      </c>
    </row>
    <row r="1646" customFormat="false" ht="15" hidden="false" customHeight="false" outlineLevel="0" collapsed="false">
      <c r="A1646" s="2" t="n">
        <v>1634</v>
      </c>
      <c r="B1646" s="22" t="n">
        <v>0.065305023321935</v>
      </c>
      <c r="C1646" s="22" t="n">
        <v>0.424859401810155</v>
      </c>
      <c r="D1646" s="23" t="n">
        <f aca="false">BETAINV(C1646,Test1_Hand!$B$21,Test1_Hand!$B$22,Test1_Hand!$B$9,Test1_Hand!$B$11)</f>
        <v>3.12120296026598</v>
      </c>
      <c r="E1646" s="2" t="n">
        <f aca="false">IF(B1646&lt;Test1_Hand!$B$12,1,0)</f>
        <v>1</v>
      </c>
      <c r="F1646" s="23" t="n">
        <f aca="false">Test1_Hand!$B$4+E1646*D1646</f>
        <v>19.121202960266</v>
      </c>
      <c r="G1646" s="24" t="n">
        <f aca="false">Test1_Hand!$B$6*E1646*D1646+Test1_Hand!$B$7*MAX(0,F1646-Test1_Hand!$B$5)</f>
        <v>24969.6236821278</v>
      </c>
      <c r="H1646" s="2" t="n">
        <f aca="false">IF(B1646&lt;Test1_Hand!$B$13,1,0)</f>
        <v>1</v>
      </c>
      <c r="I1646" s="23" t="n">
        <f aca="false">Test1_Hand!$B$4+H1646*D1646</f>
        <v>19.121202960266</v>
      </c>
      <c r="J1646" s="24" t="n">
        <f aca="false">Test1_Hand!$B$6*H1646*D1646+Test1_Hand!$B$7*MAX(0,I1646-Test1_Hand!$B$5)+Test1_Hand!$B$14</f>
        <v>30969.6236821278</v>
      </c>
    </row>
    <row r="1647" customFormat="false" ht="15" hidden="false" customHeight="false" outlineLevel="0" collapsed="false">
      <c r="A1647" s="2" t="n">
        <v>1635</v>
      </c>
      <c r="B1647" s="22" t="n">
        <v>0.911019295218394</v>
      </c>
      <c r="C1647" s="22" t="n">
        <v>0.495617279503963</v>
      </c>
      <c r="D1647" s="23" t="n">
        <f aca="false">BETAINV(C1647,Test1_Hand!$B$21,Test1_Hand!$B$22,Test1_Hand!$B$9,Test1_Hand!$B$11)</f>
        <v>3.36713969170151</v>
      </c>
      <c r="E1647" s="2" t="n">
        <f aca="false">IF(B1647&lt;Test1_Hand!$B$12,1,0)</f>
        <v>0</v>
      </c>
      <c r="F1647" s="23" t="n">
        <f aca="false">Test1_Hand!$B$4+E1647*D1647</f>
        <v>16</v>
      </c>
      <c r="G1647" s="24" t="n">
        <f aca="false">Test1_Hand!$B$6*E1647*D1647+Test1_Hand!$B$7*MAX(0,F1647-Test1_Hand!$B$5)</f>
        <v>0</v>
      </c>
      <c r="H1647" s="2" t="n">
        <f aca="false">IF(B1647&lt;Test1_Hand!$B$13,1,0)</f>
        <v>0</v>
      </c>
      <c r="I1647" s="23" t="n">
        <f aca="false">Test1_Hand!$B$4+H1647*D1647</f>
        <v>16</v>
      </c>
      <c r="J1647" s="24" t="n">
        <f aca="false">Test1_Hand!$B$6*H1647*D1647+Test1_Hand!$B$7*MAX(0,I1647-Test1_Hand!$B$5)+Test1_Hand!$B$14</f>
        <v>6000</v>
      </c>
    </row>
    <row r="1648" customFormat="false" ht="15" hidden="false" customHeight="false" outlineLevel="0" collapsed="false">
      <c r="A1648" s="2" t="n">
        <v>1636</v>
      </c>
      <c r="B1648" s="22" t="n">
        <v>0.427328594459169</v>
      </c>
      <c r="C1648" s="22" t="n">
        <v>0.672106755497759</v>
      </c>
      <c r="D1648" s="23" t="n">
        <f aca="false">BETAINV(C1648,Test1_Hand!$B$21,Test1_Hand!$B$22,Test1_Hand!$B$9,Test1_Hand!$B$11)</f>
        <v>4.03181190828909</v>
      </c>
      <c r="E1648" s="2" t="n">
        <f aca="false">IF(B1648&lt;Test1_Hand!$B$12,1,0)</f>
        <v>1</v>
      </c>
      <c r="F1648" s="23" t="n">
        <f aca="false">Test1_Hand!$B$4+E1648*D1648</f>
        <v>20.0318119082891</v>
      </c>
      <c r="G1648" s="24" t="n">
        <f aca="false">Test1_Hand!$B$6*E1648*D1648+Test1_Hand!$B$7*MAX(0,F1648-Test1_Hand!$B$5)</f>
        <v>32413.5548077582</v>
      </c>
      <c r="H1648" s="2" t="n">
        <f aca="false">IF(B1648&lt;Test1_Hand!$B$13,1,0)</f>
        <v>0</v>
      </c>
      <c r="I1648" s="23" t="n">
        <f aca="false">Test1_Hand!$B$4+H1648*D1648</f>
        <v>16</v>
      </c>
      <c r="J1648" s="24" t="n">
        <f aca="false">Test1_Hand!$B$6*H1648*D1648+Test1_Hand!$B$7*MAX(0,I1648-Test1_Hand!$B$5)+Test1_Hand!$B$14</f>
        <v>6000</v>
      </c>
    </row>
    <row r="1649" customFormat="false" ht="15" hidden="false" customHeight="false" outlineLevel="0" collapsed="false">
      <c r="A1649" s="2" t="n">
        <v>1637</v>
      </c>
      <c r="B1649" s="22" t="n">
        <v>0.773571883931351</v>
      </c>
      <c r="C1649" s="22" t="n">
        <v>0.307005017202162</v>
      </c>
      <c r="D1649" s="23" t="n">
        <f aca="false">BETAINV(C1649,Test1_Hand!$B$21,Test1_Hand!$B$22,Test1_Hand!$B$9,Test1_Hand!$B$11)</f>
        <v>2.71483923508997</v>
      </c>
      <c r="E1649" s="2" t="n">
        <f aca="false">IF(B1649&lt;Test1_Hand!$B$12,1,0)</f>
        <v>0</v>
      </c>
      <c r="F1649" s="23" t="n">
        <f aca="false">Test1_Hand!$B$4+E1649*D1649</f>
        <v>16</v>
      </c>
      <c r="G1649" s="24" t="n">
        <f aca="false">Test1_Hand!$B$6*E1649*D1649+Test1_Hand!$B$7*MAX(0,F1649-Test1_Hand!$B$5)</f>
        <v>0</v>
      </c>
      <c r="H1649" s="2" t="n">
        <f aca="false">IF(B1649&lt;Test1_Hand!$B$13,1,0)</f>
        <v>0</v>
      </c>
      <c r="I1649" s="23" t="n">
        <f aca="false">Test1_Hand!$B$4+H1649*D1649</f>
        <v>16</v>
      </c>
      <c r="J1649" s="24" t="n">
        <f aca="false">Test1_Hand!$B$6*H1649*D1649+Test1_Hand!$B$7*MAX(0,I1649-Test1_Hand!$B$5)+Test1_Hand!$B$14</f>
        <v>6000</v>
      </c>
    </row>
    <row r="1650" customFormat="false" ht="15" hidden="false" customHeight="false" outlineLevel="0" collapsed="false">
      <c r="A1650" s="2" t="n">
        <v>1638</v>
      </c>
      <c r="B1650" s="22" t="n">
        <v>0.35904243331146</v>
      </c>
      <c r="C1650" s="22" t="n">
        <v>0.2813009057568</v>
      </c>
      <c r="D1650" s="23" t="n">
        <f aca="false">BETAINV(C1650,Test1_Hand!$B$21,Test1_Hand!$B$22,Test1_Hand!$B$9,Test1_Hand!$B$11)</f>
        <v>2.62447215610647</v>
      </c>
      <c r="E1650" s="2" t="n">
        <f aca="false">IF(B1650&lt;Test1_Hand!$B$12,1,0)</f>
        <v>1</v>
      </c>
      <c r="F1650" s="23" t="n">
        <f aca="false">Test1_Hand!$B$4+E1650*D1650</f>
        <v>18.6244721561065</v>
      </c>
      <c r="G1650" s="24" t="n">
        <f aca="false">Test1_Hand!$B$6*E1650*D1650+Test1_Hand!$B$7*MAX(0,F1650-Test1_Hand!$B$5)</f>
        <v>20995.7772488517</v>
      </c>
      <c r="H1650" s="2" t="n">
        <f aca="false">IF(B1650&lt;Test1_Hand!$B$13,1,0)</f>
        <v>0</v>
      </c>
      <c r="I1650" s="23" t="n">
        <f aca="false">Test1_Hand!$B$4+H1650*D1650</f>
        <v>16</v>
      </c>
      <c r="J1650" s="24" t="n">
        <f aca="false">Test1_Hand!$B$6*H1650*D1650+Test1_Hand!$B$7*MAX(0,I1650-Test1_Hand!$B$5)+Test1_Hand!$B$14</f>
        <v>6000</v>
      </c>
    </row>
    <row r="1651" customFormat="false" ht="15" hidden="false" customHeight="false" outlineLevel="0" collapsed="false">
      <c r="A1651" s="2" t="n">
        <v>1639</v>
      </c>
      <c r="B1651" s="22" t="n">
        <v>0.85611095157246</v>
      </c>
      <c r="C1651" s="22" t="n">
        <v>0.485883863572314</v>
      </c>
      <c r="D1651" s="23" t="n">
        <f aca="false">BETAINV(C1651,Test1_Hand!$B$21,Test1_Hand!$B$22,Test1_Hand!$B$9,Test1_Hand!$B$11)</f>
        <v>3.33294188726771</v>
      </c>
      <c r="E1651" s="2" t="n">
        <f aca="false">IF(B1651&lt;Test1_Hand!$B$12,1,0)</f>
        <v>0</v>
      </c>
      <c r="F1651" s="23" t="n">
        <f aca="false">Test1_Hand!$B$4+E1651*D1651</f>
        <v>16</v>
      </c>
      <c r="G1651" s="24" t="n">
        <f aca="false">Test1_Hand!$B$6*E1651*D1651+Test1_Hand!$B$7*MAX(0,F1651-Test1_Hand!$B$5)</f>
        <v>0</v>
      </c>
      <c r="H1651" s="2" t="n">
        <f aca="false">IF(B1651&lt;Test1_Hand!$B$13,1,0)</f>
        <v>0</v>
      </c>
      <c r="I1651" s="23" t="n">
        <f aca="false">Test1_Hand!$B$4+H1651*D1651</f>
        <v>16</v>
      </c>
      <c r="J1651" s="24" t="n">
        <f aca="false">Test1_Hand!$B$6*H1651*D1651+Test1_Hand!$B$7*MAX(0,I1651-Test1_Hand!$B$5)+Test1_Hand!$B$14</f>
        <v>6000</v>
      </c>
    </row>
    <row r="1652" customFormat="false" ht="15" hidden="false" customHeight="false" outlineLevel="0" collapsed="false">
      <c r="A1652" s="2" t="n">
        <v>1640</v>
      </c>
      <c r="B1652" s="22" t="n">
        <v>0.0217144538259729</v>
      </c>
      <c r="C1652" s="22" t="n">
        <v>0.685493445385342</v>
      </c>
      <c r="D1652" s="23" t="n">
        <f aca="false">BETAINV(C1652,Test1_Hand!$B$21,Test1_Hand!$B$22,Test1_Hand!$B$9,Test1_Hand!$B$11)</f>
        <v>4.08764918232812</v>
      </c>
      <c r="E1652" s="2" t="n">
        <f aca="false">IF(B1652&lt;Test1_Hand!$B$12,1,0)</f>
        <v>1</v>
      </c>
      <c r="F1652" s="23" t="n">
        <f aca="false">Test1_Hand!$B$4+E1652*D1652</f>
        <v>20.0876491823281</v>
      </c>
      <c r="G1652" s="24" t="n">
        <f aca="false">Test1_Hand!$B$6*E1652*D1652+Test1_Hand!$B$7*MAX(0,F1652-Test1_Hand!$B$5)</f>
        <v>33139.4393702656</v>
      </c>
      <c r="H1652" s="2" t="n">
        <f aca="false">IF(B1652&lt;Test1_Hand!$B$13,1,0)</f>
        <v>1</v>
      </c>
      <c r="I1652" s="23" t="n">
        <f aca="false">Test1_Hand!$B$4+H1652*D1652</f>
        <v>20.0876491823281</v>
      </c>
      <c r="J1652" s="24" t="n">
        <f aca="false">Test1_Hand!$B$6*H1652*D1652+Test1_Hand!$B$7*MAX(0,I1652-Test1_Hand!$B$5)+Test1_Hand!$B$14</f>
        <v>39139.4393702656</v>
      </c>
    </row>
    <row r="1653" customFormat="false" ht="15" hidden="false" customHeight="false" outlineLevel="0" collapsed="false">
      <c r="A1653" s="2" t="n">
        <v>1641</v>
      </c>
      <c r="B1653" s="22" t="n">
        <v>0.384812640631596</v>
      </c>
      <c r="C1653" s="22" t="n">
        <v>0.226153866153177</v>
      </c>
      <c r="D1653" s="23" t="n">
        <f aca="false">BETAINV(C1653,Test1_Hand!$B$21,Test1_Hand!$B$22,Test1_Hand!$B$9,Test1_Hand!$B$11)</f>
        <v>2.42512189555004</v>
      </c>
      <c r="E1653" s="2" t="n">
        <f aca="false">IF(B1653&lt;Test1_Hand!$B$12,1,0)</f>
        <v>1</v>
      </c>
      <c r="F1653" s="23" t="n">
        <f aca="false">Test1_Hand!$B$4+E1653*D1653</f>
        <v>18.42512189555</v>
      </c>
      <c r="G1653" s="24" t="n">
        <f aca="false">Test1_Hand!$B$6*E1653*D1653+Test1_Hand!$B$7*MAX(0,F1653-Test1_Hand!$B$5)</f>
        <v>19400.9751644003</v>
      </c>
      <c r="H1653" s="2" t="n">
        <f aca="false">IF(B1653&lt;Test1_Hand!$B$13,1,0)</f>
        <v>0</v>
      </c>
      <c r="I1653" s="23" t="n">
        <f aca="false">Test1_Hand!$B$4+H1653*D1653</f>
        <v>16</v>
      </c>
      <c r="J1653" s="24" t="n">
        <f aca="false">Test1_Hand!$B$6*H1653*D1653+Test1_Hand!$B$7*MAX(0,I1653-Test1_Hand!$B$5)+Test1_Hand!$B$14</f>
        <v>6000</v>
      </c>
    </row>
    <row r="1654" customFormat="false" ht="15" hidden="false" customHeight="false" outlineLevel="0" collapsed="false">
      <c r="A1654" s="2" t="n">
        <v>1642</v>
      </c>
      <c r="B1654" s="22" t="n">
        <v>0.885776716442616</v>
      </c>
      <c r="C1654" s="22" t="n">
        <v>0.246942138110353</v>
      </c>
      <c r="D1654" s="23" t="n">
        <f aca="false">BETAINV(C1654,Test1_Hand!$B$21,Test1_Hand!$B$22,Test1_Hand!$B$9,Test1_Hand!$B$11)</f>
        <v>2.50135909667222</v>
      </c>
      <c r="E1654" s="2" t="n">
        <f aca="false">IF(B1654&lt;Test1_Hand!$B$12,1,0)</f>
        <v>0</v>
      </c>
      <c r="F1654" s="23" t="n">
        <f aca="false">Test1_Hand!$B$4+E1654*D1654</f>
        <v>16</v>
      </c>
      <c r="G1654" s="24" t="n">
        <f aca="false">Test1_Hand!$B$6*E1654*D1654+Test1_Hand!$B$7*MAX(0,F1654-Test1_Hand!$B$5)</f>
        <v>0</v>
      </c>
      <c r="H1654" s="2" t="n">
        <f aca="false">IF(B1654&lt;Test1_Hand!$B$13,1,0)</f>
        <v>0</v>
      </c>
      <c r="I1654" s="23" t="n">
        <f aca="false">Test1_Hand!$B$4+H1654*D1654</f>
        <v>16</v>
      </c>
      <c r="J1654" s="24" t="n">
        <f aca="false">Test1_Hand!$B$6*H1654*D1654+Test1_Hand!$B$7*MAX(0,I1654-Test1_Hand!$B$5)+Test1_Hand!$B$14</f>
        <v>6000</v>
      </c>
    </row>
    <row r="1655" customFormat="false" ht="15" hidden="false" customHeight="false" outlineLevel="0" collapsed="false">
      <c r="A1655" s="2" t="n">
        <v>1643</v>
      </c>
      <c r="B1655" s="22" t="n">
        <v>0.983211190155805</v>
      </c>
      <c r="C1655" s="22" t="n">
        <v>0.671054838397442</v>
      </c>
      <c r="D1655" s="23" t="n">
        <f aca="false">BETAINV(C1655,Test1_Hand!$B$21,Test1_Hand!$B$22,Test1_Hand!$B$9,Test1_Hand!$B$11)</f>
        <v>4.02746992800232</v>
      </c>
      <c r="E1655" s="2" t="n">
        <f aca="false">IF(B1655&lt;Test1_Hand!$B$12,1,0)</f>
        <v>0</v>
      </c>
      <c r="F1655" s="23" t="n">
        <f aca="false">Test1_Hand!$B$4+E1655*D1655</f>
        <v>16</v>
      </c>
      <c r="G1655" s="24" t="n">
        <f aca="false">Test1_Hand!$B$6*E1655*D1655+Test1_Hand!$B$7*MAX(0,F1655-Test1_Hand!$B$5)</f>
        <v>0</v>
      </c>
      <c r="H1655" s="2" t="n">
        <f aca="false">IF(B1655&lt;Test1_Hand!$B$13,1,0)</f>
        <v>0</v>
      </c>
      <c r="I1655" s="23" t="n">
        <f aca="false">Test1_Hand!$B$4+H1655*D1655</f>
        <v>16</v>
      </c>
      <c r="J1655" s="24" t="n">
        <f aca="false">Test1_Hand!$B$6*H1655*D1655+Test1_Hand!$B$7*MAX(0,I1655-Test1_Hand!$B$5)+Test1_Hand!$B$14</f>
        <v>6000</v>
      </c>
    </row>
    <row r="1656" customFormat="false" ht="15" hidden="false" customHeight="false" outlineLevel="0" collapsed="false">
      <c r="A1656" s="2" t="n">
        <v>1644</v>
      </c>
      <c r="B1656" s="22" t="n">
        <v>0.879255440111498</v>
      </c>
      <c r="C1656" s="22" t="n">
        <v>0.782599825601269</v>
      </c>
      <c r="D1656" s="23" t="n">
        <f aca="false">BETAINV(C1656,Test1_Hand!$B$21,Test1_Hand!$B$22,Test1_Hand!$B$9,Test1_Hand!$B$11)</f>
        <v>4.53495758311463</v>
      </c>
      <c r="E1656" s="2" t="n">
        <f aca="false">IF(B1656&lt;Test1_Hand!$B$12,1,0)</f>
        <v>0</v>
      </c>
      <c r="F1656" s="23" t="n">
        <f aca="false">Test1_Hand!$B$4+E1656*D1656</f>
        <v>16</v>
      </c>
      <c r="G1656" s="24" t="n">
        <f aca="false">Test1_Hand!$B$6*E1656*D1656+Test1_Hand!$B$7*MAX(0,F1656-Test1_Hand!$B$5)</f>
        <v>0</v>
      </c>
      <c r="H1656" s="2" t="n">
        <f aca="false">IF(B1656&lt;Test1_Hand!$B$13,1,0)</f>
        <v>0</v>
      </c>
      <c r="I1656" s="23" t="n">
        <f aca="false">Test1_Hand!$B$4+H1656*D1656</f>
        <v>16</v>
      </c>
      <c r="J1656" s="24" t="n">
        <f aca="false">Test1_Hand!$B$6*H1656*D1656+Test1_Hand!$B$7*MAX(0,I1656-Test1_Hand!$B$5)+Test1_Hand!$B$14</f>
        <v>6000</v>
      </c>
    </row>
    <row r="1657" customFormat="false" ht="15" hidden="false" customHeight="false" outlineLevel="0" collapsed="false">
      <c r="A1657" s="2" t="n">
        <v>1645</v>
      </c>
      <c r="B1657" s="22" t="n">
        <v>0.0359764516847647</v>
      </c>
      <c r="C1657" s="22" t="n">
        <v>0.974476949331617</v>
      </c>
      <c r="D1657" s="23" t="n">
        <f aca="false">BETAINV(C1657,Test1_Hand!$B$21,Test1_Hand!$B$22,Test1_Hand!$B$9,Test1_Hand!$B$11)</f>
        <v>6.1613809517627</v>
      </c>
      <c r="E1657" s="2" t="n">
        <f aca="false">IF(B1657&lt;Test1_Hand!$B$12,1,0)</f>
        <v>1</v>
      </c>
      <c r="F1657" s="23" t="n">
        <f aca="false">Test1_Hand!$B$4+E1657*D1657</f>
        <v>22.1613809517627</v>
      </c>
      <c r="G1657" s="24" t="n">
        <f aca="false">Test1_Hand!$B$6*E1657*D1657+Test1_Hand!$B$7*MAX(0,F1657-Test1_Hand!$B$5)</f>
        <v>60097.9523729151</v>
      </c>
      <c r="H1657" s="2" t="n">
        <f aca="false">IF(B1657&lt;Test1_Hand!$B$13,1,0)</f>
        <v>1</v>
      </c>
      <c r="I1657" s="23" t="n">
        <f aca="false">Test1_Hand!$B$4+H1657*D1657</f>
        <v>22.1613809517627</v>
      </c>
      <c r="J1657" s="24" t="n">
        <f aca="false">Test1_Hand!$B$6*H1657*D1657+Test1_Hand!$B$7*MAX(0,I1657-Test1_Hand!$B$5)+Test1_Hand!$B$14</f>
        <v>66097.9523729151</v>
      </c>
    </row>
    <row r="1658" customFormat="false" ht="15" hidden="false" customHeight="false" outlineLevel="0" collapsed="false">
      <c r="A1658" s="2" t="n">
        <v>1646</v>
      </c>
      <c r="B1658" s="22" t="n">
        <v>0.475774127418826</v>
      </c>
      <c r="C1658" s="22" t="n">
        <v>0.0904731146364547</v>
      </c>
      <c r="D1658" s="23" t="n">
        <f aca="false">BETAINV(C1658,Test1_Hand!$B$21,Test1_Hand!$B$22,Test1_Hand!$B$9,Test1_Hand!$B$11)</f>
        <v>1.85746632383973</v>
      </c>
      <c r="E1658" s="2" t="n">
        <f aca="false">IF(B1658&lt;Test1_Hand!$B$12,1,0)</f>
        <v>1</v>
      </c>
      <c r="F1658" s="23" t="n">
        <f aca="false">Test1_Hand!$B$4+E1658*D1658</f>
        <v>17.8574663238397</v>
      </c>
      <c r="G1658" s="24" t="n">
        <f aca="false">Test1_Hand!$B$6*E1658*D1658+Test1_Hand!$B$7*MAX(0,F1658-Test1_Hand!$B$5)</f>
        <v>14859.7305907178</v>
      </c>
      <c r="H1658" s="2" t="n">
        <f aca="false">IF(B1658&lt;Test1_Hand!$B$13,1,0)</f>
        <v>0</v>
      </c>
      <c r="I1658" s="23" t="n">
        <f aca="false">Test1_Hand!$B$4+H1658*D1658</f>
        <v>16</v>
      </c>
      <c r="J1658" s="24" t="n">
        <f aca="false">Test1_Hand!$B$6*H1658*D1658+Test1_Hand!$B$7*MAX(0,I1658-Test1_Hand!$B$5)+Test1_Hand!$B$14</f>
        <v>6000</v>
      </c>
    </row>
    <row r="1659" customFormat="false" ht="15" hidden="false" customHeight="false" outlineLevel="0" collapsed="false">
      <c r="A1659" s="2" t="n">
        <v>1647</v>
      </c>
      <c r="B1659" s="22" t="n">
        <v>0.234119658645122</v>
      </c>
      <c r="C1659" s="22" t="n">
        <v>0.240620501093298</v>
      </c>
      <c r="D1659" s="23" t="n">
        <f aca="false">BETAINV(C1659,Test1_Hand!$B$21,Test1_Hand!$B$22,Test1_Hand!$B$9,Test1_Hand!$B$11)</f>
        <v>2.47833630842048</v>
      </c>
      <c r="E1659" s="2" t="n">
        <f aca="false">IF(B1659&lt;Test1_Hand!$B$12,1,0)</f>
        <v>1</v>
      </c>
      <c r="F1659" s="23" t="n">
        <f aca="false">Test1_Hand!$B$4+E1659*D1659</f>
        <v>18.4783363084205</v>
      </c>
      <c r="G1659" s="24" t="n">
        <f aca="false">Test1_Hand!$B$6*E1659*D1659+Test1_Hand!$B$7*MAX(0,F1659-Test1_Hand!$B$5)</f>
        <v>19826.6904673638</v>
      </c>
      <c r="H1659" s="2" t="n">
        <f aca="false">IF(B1659&lt;Test1_Hand!$B$13,1,0)</f>
        <v>0</v>
      </c>
      <c r="I1659" s="23" t="n">
        <f aca="false">Test1_Hand!$B$4+H1659*D1659</f>
        <v>16</v>
      </c>
      <c r="J1659" s="24" t="n">
        <f aca="false">Test1_Hand!$B$6*H1659*D1659+Test1_Hand!$B$7*MAX(0,I1659-Test1_Hand!$B$5)+Test1_Hand!$B$14</f>
        <v>6000</v>
      </c>
    </row>
    <row r="1660" customFormat="false" ht="15" hidden="false" customHeight="false" outlineLevel="0" collapsed="false">
      <c r="A1660" s="2" t="n">
        <v>1648</v>
      </c>
      <c r="B1660" s="22" t="n">
        <v>0.375721854642585</v>
      </c>
      <c r="C1660" s="22" t="n">
        <v>0.774678757333748</v>
      </c>
      <c r="D1660" s="23" t="n">
        <f aca="false">BETAINV(C1660,Test1_Hand!$B$21,Test1_Hand!$B$22,Test1_Hand!$B$9,Test1_Hand!$B$11)</f>
        <v>4.49491547828292</v>
      </c>
      <c r="E1660" s="2" t="n">
        <f aca="false">IF(B1660&lt;Test1_Hand!$B$12,1,0)</f>
        <v>1</v>
      </c>
      <c r="F1660" s="23" t="n">
        <f aca="false">Test1_Hand!$B$4+E1660*D1660</f>
        <v>20.4949154782829</v>
      </c>
      <c r="G1660" s="24" t="n">
        <f aca="false">Test1_Hand!$B$6*E1660*D1660+Test1_Hand!$B$7*MAX(0,F1660-Test1_Hand!$B$5)</f>
        <v>38433.9012176779</v>
      </c>
      <c r="H1660" s="2" t="n">
        <f aca="false">IF(B1660&lt;Test1_Hand!$B$13,1,0)</f>
        <v>0</v>
      </c>
      <c r="I1660" s="23" t="n">
        <f aca="false">Test1_Hand!$B$4+H1660*D1660</f>
        <v>16</v>
      </c>
      <c r="J1660" s="24" t="n">
        <f aca="false">Test1_Hand!$B$6*H1660*D1660+Test1_Hand!$B$7*MAX(0,I1660-Test1_Hand!$B$5)+Test1_Hand!$B$14</f>
        <v>6000</v>
      </c>
    </row>
    <row r="1661" customFormat="false" ht="15" hidden="false" customHeight="false" outlineLevel="0" collapsed="false">
      <c r="A1661" s="2" t="n">
        <v>1649</v>
      </c>
      <c r="B1661" s="22" t="n">
        <v>0.922495565559296</v>
      </c>
      <c r="C1661" s="22" t="n">
        <v>0.407439201624409</v>
      </c>
      <c r="D1661" s="23" t="n">
        <f aca="false">BETAINV(C1661,Test1_Hand!$B$21,Test1_Hand!$B$22,Test1_Hand!$B$9,Test1_Hand!$B$11)</f>
        <v>3.06129194380083</v>
      </c>
      <c r="E1661" s="2" t="n">
        <f aca="false">IF(B1661&lt;Test1_Hand!$B$12,1,0)</f>
        <v>0</v>
      </c>
      <c r="F1661" s="23" t="n">
        <f aca="false">Test1_Hand!$B$4+E1661*D1661</f>
        <v>16</v>
      </c>
      <c r="G1661" s="24" t="n">
        <f aca="false">Test1_Hand!$B$6*E1661*D1661+Test1_Hand!$B$7*MAX(0,F1661-Test1_Hand!$B$5)</f>
        <v>0</v>
      </c>
      <c r="H1661" s="2" t="n">
        <f aca="false">IF(B1661&lt;Test1_Hand!$B$13,1,0)</f>
        <v>0</v>
      </c>
      <c r="I1661" s="23" t="n">
        <f aca="false">Test1_Hand!$B$4+H1661*D1661</f>
        <v>16</v>
      </c>
      <c r="J1661" s="24" t="n">
        <f aca="false">Test1_Hand!$B$6*H1661*D1661+Test1_Hand!$B$7*MAX(0,I1661-Test1_Hand!$B$5)+Test1_Hand!$B$14</f>
        <v>6000</v>
      </c>
    </row>
    <row r="1662" customFormat="false" ht="15" hidden="false" customHeight="false" outlineLevel="0" collapsed="false">
      <c r="A1662" s="2" t="n">
        <v>1650</v>
      </c>
      <c r="B1662" s="22" t="n">
        <v>0.32982610564278</v>
      </c>
      <c r="C1662" s="22" t="n">
        <v>0.236961940580449</v>
      </c>
      <c r="D1662" s="23" t="n">
        <f aca="false">BETAINV(C1662,Test1_Hand!$B$21,Test1_Hand!$B$22,Test1_Hand!$B$9,Test1_Hand!$B$11)</f>
        <v>2.46495050345097</v>
      </c>
      <c r="E1662" s="2" t="n">
        <f aca="false">IF(B1662&lt;Test1_Hand!$B$12,1,0)</f>
        <v>1</v>
      </c>
      <c r="F1662" s="23" t="n">
        <f aca="false">Test1_Hand!$B$4+E1662*D1662</f>
        <v>18.464950503451</v>
      </c>
      <c r="G1662" s="24" t="n">
        <f aca="false">Test1_Hand!$B$6*E1662*D1662+Test1_Hand!$B$7*MAX(0,F1662-Test1_Hand!$B$5)</f>
        <v>19719.6040276078</v>
      </c>
      <c r="H1662" s="2" t="n">
        <f aca="false">IF(B1662&lt;Test1_Hand!$B$13,1,0)</f>
        <v>0</v>
      </c>
      <c r="I1662" s="23" t="n">
        <f aca="false">Test1_Hand!$B$4+H1662*D1662</f>
        <v>16</v>
      </c>
      <c r="J1662" s="24" t="n">
        <f aca="false">Test1_Hand!$B$6*H1662*D1662+Test1_Hand!$B$7*MAX(0,I1662-Test1_Hand!$B$5)+Test1_Hand!$B$14</f>
        <v>6000</v>
      </c>
    </row>
    <row r="1663" customFormat="false" ht="15" hidden="false" customHeight="false" outlineLevel="0" collapsed="false">
      <c r="A1663" s="2" t="n">
        <v>1651</v>
      </c>
      <c r="B1663" s="22" t="n">
        <v>0.724842732167133</v>
      </c>
      <c r="C1663" s="22" t="n">
        <v>0.279053172931428</v>
      </c>
      <c r="D1663" s="23" t="n">
        <f aca="false">BETAINV(C1663,Test1_Hand!$B$21,Test1_Hand!$B$22,Test1_Hand!$B$9,Test1_Hand!$B$11)</f>
        <v>2.61650830904799</v>
      </c>
      <c r="E1663" s="2" t="n">
        <f aca="false">IF(B1663&lt;Test1_Hand!$B$12,1,0)</f>
        <v>0</v>
      </c>
      <c r="F1663" s="23" t="n">
        <f aca="false">Test1_Hand!$B$4+E1663*D1663</f>
        <v>16</v>
      </c>
      <c r="G1663" s="24" t="n">
        <f aca="false">Test1_Hand!$B$6*E1663*D1663+Test1_Hand!$B$7*MAX(0,F1663-Test1_Hand!$B$5)</f>
        <v>0</v>
      </c>
      <c r="H1663" s="2" t="n">
        <f aca="false">IF(B1663&lt;Test1_Hand!$B$13,1,0)</f>
        <v>0</v>
      </c>
      <c r="I1663" s="23" t="n">
        <f aca="false">Test1_Hand!$B$4+H1663*D1663</f>
        <v>16</v>
      </c>
      <c r="J1663" s="24" t="n">
        <f aca="false">Test1_Hand!$B$6*H1663*D1663+Test1_Hand!$B$7*MAX(0,I1663-Test1_Hand!$B$5)+Test1_Hand!$B$14</f>
        <v>6000</v>
      </c>
    </row>
    <row r="1664" customFormat="false" ht="15" hidden="false" customHeight="false" outlineLevel="0" collapsed="false">
      <c r="A1664" s="2" t="n">
        <v>1652</v>
      </c>
      <c r="B1664" s="22" t="n">
        <v>0.726490031719741</v>
      </c>
      <c r="C1664" s="22" t="n">
        <v>0.678699555589031</v>
      </c>
      <c r="D1664" s="23" t="n">
        <f aca="false">BETAINV(C1664,Test1_Hand!$B$21,Test1_Hand!$B$22,Test1_Hand!$B$9,Test1_Hand!$B$11)</f>
        <v>4.05917420679755</v>
      </c>
      <c r="E1664" s="2" t="n">
        <f aca="false">IF(B1664&lt;Test1_Hand!$B$12,1,0)</f>
        <v>0</v>
      </c>
      <c r="F1664" s="23" t="n">
        <f aca="false">Test1_Hand!$B$4+E1664*D1664</f>
        <v>16</v>
      </c>
      <c r="G1664" s="24" t="n">
        <f aca="false">Test1_Hand!$B$6*E1664*D1664+Test1_Hand!$B$7*MAX(0,F1664-Test1_Hand!$B$5)</f>
        <v>0</v>
      </c>
      <c r="H1664" s="2" t="n">
        <f aca="false">IF(B1664&lt;Test1_Hand!$B$13,1,0)</f>
        <v>0</v>
      </c>
      <c r="I1664" s="23" t="n">
        <f aca="false">Test1_Hand!$B$4+H1664*D1664</f>
        <v>16</v>
      </c>
      <c r="J1664" s="24" t="n">
        <f aca="false">Test1_Hand!$B$6*H1664*D1664+Test1_Hand!$B$7*MAX(0,I1664-Test1_Hand!$B$5)+Test1_Hand!$B$14</f>
        <v>6000</v>
      </c>
    </row>
    <row r="1665" customFormat="false" ht="15" hidden="false" customHeight="false" outlineLevel="0" collapsed="false">
      <c r="A1665" s="2" t="n">
        <v>1653</v>
      </c>
      <c r="B1665" s="22" t="n">
        <v>0.556610572030108</v>
      </c>
      <c r="C1665" s="22" t="n">
        <v>0.376498578557564</v>
      </c>
      <c r="D1665" s="23" t="n">
        <f aca="false">BETAINV(C1665,Test1_Hand!$B$21,Test1_Hand!$B$22,Test1_Hand!$B$9,Test1_Hand!$B$11)</f>
        <v>2.95504056794877</v>
      </c>
      <c r="E1665" s="2" t="n">
        <f aca="false">IF(B1665&lt;Test1_Hand!$B$12,1,0)</f>
        <v>0</v>
      </c>
      <c r="F1665" s="23" t="n">
        <f aca="false">Test1_Hand!$B$4+E1665*D1665</f>
        <v>16</v>
      </c>
      <c r="G1665" s="24" t="n">
        <f aca="false">Test1_Hand!$B$6*E1665*D1665+Test1_Hand!$B$7*MAX(0,F1665-Test1_Hand!$B$5)</f>
        <v>0</v>
      </c>
      <c r="H1665" s="2" t="n">
        <f aca="false">IF(B1665&lt;Test1_Hand!$B$13,1,0)</f>
        <v>0</v>
      </c>
      <c r="I1665" s="23" t="n">
        <f aca="false">Test1_Hand!$B$4+H1665*D1665</f>
        <v>16</v>
      </c>
      <c r="J1665" s="24" t="n">
        <f aca="false">Test1_Hand!$B$6*H1665*D1665+Test1_Hand!$B$7*MAX(0,I1665-Test1_Hand!$B$5)+Test1_Hand!$B$14</f>
        <v>6000</v>
      </c>
    </row>
    <row r="1666" customFormat="false" ht="15" hidden="false" customHeight="false" outlineLevel="0" collapsed="false">
      <c r="A1666" s="2" t="n">
        <v>1654</v>
      </c>
      <c r="B1666" s="22" t="n">
        <v>0.268390295759788</v>
      </c>
      <c r="C1666" s="22" t="n">
        <v>0.470019480272037</v>
      </c>
      <c r="D1666" s="23" t="n">
        <f aca="false">BETAINV(C1666,Test1_Hand!$B$21,Test1_Hand!$B$22,Test1_Hand!$B$9,Test1_Hand!$B$11)</f>
        <v>3.27750198505292</v>
      </c>
      <c r="E1666" s="2" t="n">
        <f aca="false">IF(B1666&lt;Test1_Hand!$B$12,1,0)</f>
        <v>1</v>
      </c>
      <c r="F1666" s="23" t="n">
        <f aca="false">Test1_Hand!$B$4+E1666*D1666</f>
        <v>19.2775019850529</v>
      </c>
      <c r="G1666" s="24" t="n">
        <f aca="false">Test1_Hand!$B$6*E1666*D1666+Test1_Hand!$B$7*MAX(0,F1666-Test1_Hand!$B$5)</f>
        <v>26220.0158804234</v>
      </c>
      <c r="H1666" s="2" t="n">
        <f aca="false">IF(B1666&lt;Test1_Hand!$B$13,1,0)</f>
        <v>0</v>
      </c>
      <c r="I1666" s="23" t="n">
        <f aca="false">Test1_Hand!$B$4+H1666*D1666</f>
        <v>16</v>
      </c>
      <c r="J1666" s="24" t="n">
        <f aca="false">Test1_Hand!$B$6*H1666*D1666+Test1_Hand!$B$7*MAX(0,I1666-Test1_Hand!$B$5)+Test1_Hand!$B$14</f>
        <v>6000</v>
      </c>
    </row>
    <row r="1667" customFormat="false" ht="15" hidden="false" customHeight="false" outlineLevel="0" collapsed="false">
      <c r="A1667" s="2" t="n">
        <v>1655</v>
      </c>
      <c r="B1667" s="22" t="n">
        <v>0.401164440955457</v>
      </c>
      <c r="C1667" s="22" t="n">
        <v>0.527156117160009</v>
      </c>
      <c r="D1667" s="23" t="n">
        <f aca="false">BETAINV(C1667,Test1_Hand!$B$21,Test1_Hand!$B$22,Test1_Hand!$B$9,Test1_Hand!$B$11)</f>
        <v>3.47910887255813</v>
      </c>
      <c r="E1667" s="2" t="n">
        <f aca="false">IF(B1667&lt;Test1_Hand!$B$12,1,0)</f>
        <v>1</v>
      </c>
      <c r="F1667" s="23" t="n">
        <f aca="false">Test1_Hand!$B$4+E1667*D1667</f>
        <v>19.4791088725581</v>
      </c>
      <c r="G1667" s="24" t="n">
        <f aca="false">Test1_Hand!$B$6*E1667*D1667+Test1_Hand!$B$7*MAX(0,F1667-Test1_Hand!$B$5)</f>
        <v>27832.870980465</v>
      </c>
      <c r="H1667" s="2" t="n">
        <f aca="false">IF(B1667&lt;Test1_Hand!$B$13,1,0)</f>
        <v>0</v>
      </c>
      <c r="I1667" s="23" t="n">
        <f aca="false">Test1_Hand!$B$4+H1667*D1667</f>
        <v>16</v>
      </c>
      <c r="J1667" s="24" t="n">
        <f aca="false">Test1_Hand!$B$6*H1667*D1667+Test1_Hand!$B$7*MAX(0,I1667-Test1_Hand!$B$5)+Test1_Hand!$B$14</f>
        <v>6000</v>
      </c>
    </row>
    <row r="1668" customFormat="false" ht="15" hidden="false" customHeight="false" outlineLevel="0" collapsed="false">
      <c r="A1668" s="2" t="n">
        <v>1656</v>
      </c>
      <c r="B1668" s="22" t="n">
        <v>0.871243763049583</v>
      </c>
      <c r="C1668" s="22" t="n">
        <v>0.496036981315913</v>
      </c>
      <c r="D1668" s="23" t="n">
        <f aca="false">BETAINV(C1668,Test1_Hand!$B$21,Test1_Hand!$B$22,Test1_Hand!$B$9,Test1_Hand!$B$11)</f>
        <v>3.36861772074928</v>
      </c>
      <c r="E1668" s="2" t="n">
        <f aca="false">IF(B1668&lt;Test1_Hand!$B$12,1,0)</f>
        <v>0</v>
      </c>
      <c r="F1668" s="23" t="n">
        <f aca="false">Test1_Hand!$B$4+E1668*D1668</f>
        <v>16</v>
      </c>
      <c r="G1668" s="24" t="n">
        <f aca="false">Test1_Hand!$B$6*E1668*D1668+Test1_Hand!$B$7*MAX(0,F1668-Test1_Hand!$B$5)</f>
        <v>0</v>
      </c>
      <c r="H1668" s="2" t="n">
        <f aca="false">IF(B1668&lt;Test1_Hand!$B$13,1,0)</f>
        <v>0</v>
      </c>
      <c r="I1668" s="23" t="n">
        <f aca="false">Test1_Hand!$B$4+H1668*D1668</f>
        <v>16</v>
      </c>
      <c r="J1668" s="24" t="n">
        <f aca="false">Test1_Hand!$B$6*H1668*D1668+Test1_Hand!$B$7*MAX(0,I1668-Test1_Hand!$B$5)+Test1_Hand!$B$14</f>
        <v>6000</v>
      </c>
    </row>
    <row r="1669" customFormat="false" ht="15" hidden="false" customHeight="false" outlineLevel="0" collapsed="false">
      <c r="A1669" s="2" t="n">
        <v>1657</v>
      </c>
      <c r="B1669" s="22" t="n">
        <v>0.05125660717234</v>
      </c>
      <c r="C1669" s="22" t="n">
        <v>0.421530026140013</v>
      </c>
      <c r="D1669" s="23" t="n">
        <f aca="false">BETAINV(C1669,Test1_Hand!$B$21,Test1_Hand!$B$22,Test1_Hand!$B$9,Test1_Hand!$B$11)</f>
        <v>3.10974216063642</v>
      </c>
      <c r="E1669" s="2" t="n">
        <f aca="false">IF(B1669&lt;Test1_Hand!$B$12,1,0)</f>
        <v>1</v>
      </c>
      <c r="F1669" s="23" t="n">
        <f aca="false">Test1_Hand!$B$4+E1669*D1669</f>
        <v>19.1097421606364</v>
      </c>
      <c r="G1669" s="24" t="n">
        <f aca="false">Test1_Hand!$B$6*E1669*D1669+Test1_Hand!$B$7*MAX(0,F1669-Test1_Hand!$B$5)</f>
        <v>24877.9372850914</v>
      </c>
      <c r="H1669" s="2" t="n">
        <f aca="false">IF(B1669&lt;Test1_Hand!$B$13,1,0)</f>
        <v>1</v>
      </c>
      <c r="I1669" s="23" t="n">
        <f aca="false">Test1_Hand!$B$4+H1669*D1669</f>
        <v>19.1097421606364</v>
      </c>
      <c r="J1669" s="24" t="n">
        <f aca="false">Test1_Hand!$B$6*H1669*D1669+Test1_Hand!$B$7*MAX(0,I1669-Test1_Hand!$B$5)+Test1_Hand!$B$14</f>
        <v>30877.9372850914</v>
      </c>
    </row>
    <row r="1670" customFormat="false" ht="15" hidden="false" customHeight="false" outlineLevel="0" collapsed="false">
      <c r="A1670" s="2" t="n">
        <v>1658</v>
      </c>
      <c r="B1670" s="22" t="n">
        <v>0.522953132249573</v>
      </c>
      <c r="C1670" s="22" t="n">
        <v>0.912581576182527</v>
      </c>
      <c r="D1670" s="23" t="n">
        <f aca="false">BETAINV(C1670,Test1_Hand!$B$21,Test1_Hand!$B$22,Test1_Hand!$B$9,Test1_Hand!$B$11)</f>
        <v>5.37964514715013</v>
      </c>
      <c r="E1670" s="2" t="n">
        <f aca="false">IF(B1670&lt;Test1_Hand!$B$12,1,0)</f>
        <v>0</v>
      </c>
      <c r="F1670" s="23" t="n">
        <f aca="false">Test1_Hand!$B$4+E1670*D1670</f>
        <v>16</v>
      </c>
      <c r="G1670" s="24" t="n">
        <f aca="false">Test1_Hand!$B$6*E1670*D1670+Test1_Hand!$B$7*MAX(0,F1670-Test1_Hand!$B$5)</f>
        <v>0</v>
      </c>
      <c r="H1670" s="2" t="n">
        <f aca="false">IF(B1670&lt;Test1_Hand!$B$13,1,0)</f>
        <v>0</v>
      </c>
      <c r="I1670" s="23" t="n">
        <f aca="false">Test1_Hand!$B$4+H1670*D1670</f>
        <v>16</v>
      </c>
      <c r="J1670" s="24" t="n">
        <f aca="false">Test1_Hand!$B$6*H1670*D1670+Test1_Hand!$B$7*MAX(0,I1670-Test1_Hand!$B$5)+Test1_Hand!$B$14</f>
        <v>6000</v>
      </c>
    </row>
    <row r="1671" customFormat="false" ht="15" hidden="false" customHeight="false" outlineLevel="0" collapsed="false">
      <c r="A1671" s="2" t="n">
        <v>1659</v>
      </c>
      <c r="B1671" s="22" t="n">
        <v>0.651210508719658</v>
      </c>
      <c r="C1671" s="22" t="n">
        <v>0.503252821029262</v>
      </c>
      <c r="D1671" s="23" t="n">
        <f aca="false">BETAINV(C1671,Test1_Hand!$B$21,Test1_Hand!$B$22,Test1_Hand!$B$9,Test1_Hand!$B$11)</f>
        <v>3.39407609583453</v>
      </c>
      <c r="E1671" s="2" t="n">
        <f aca="false">IF(B1671&lt;Test1_Hand!$B$12,1,0)</f>
        <v>0</v>
      </c>
      <c r="F1671" s="23" t="n">
        <f aca="false">Test1_Hand!$B$4+E1671*D1671</f>
        <v>16</v>
      </c>
      <c r="G1671" s="24" t="n">
        <f aca="false">Test1_Hand!$B$6*E1671*D1671+Test1_Hand!$B$7*MAX(0,F1671-Test1_Hand!$B$5)</f>
        <v>0</v>
      </c>
      <c r="H1671" s="2" t="n">
        <f aca="false">IF(B1671&lt;Test1_Hand!$B$13,1,0)</f>
        <v>0</v>
      </c>
      <c r="I1671" s="23" t="n">
        <f aca="false">Test1_Hand!$B$4+H1671*D1671</f>
        <v>16</v>
      </c>
      <c r="J1671" s="24" t="n">
        <f aca="false">Test1_Hand!$B$6*H1671*D1671+Test1_Hand!$B$7*MAX(0,I1671-Test1_Hand!$B$5)+Test1_Hand!$B$14</f>
        <v>6000</v>
      </c>
    </row>
    <row r="1672" customFormat="false" ht="15" hidden="false" customHeight="false" outlineLevel="0" collapsed="false">
      <c r="A1672" s="2" t="n">
        <v>1660</v>
      </c>
      <c r="B1672" s="22" t="n">
        <v>0.493184273432893</v>
      </c>
      <c r="C1672" s="22" t="n">
        <v>0.107404914128219</v>
      </c>
      <c r="D1672" s="23" t="n">
        <f aca="false">BETAINV(C1672,Test1_Hand!$B$21,Test1_Hand!$B$22,Test1_Hand!$B$9,Test1_Hand!$B$11)</f>
        <v>1.93961850616759</v>
      </c>
      <c r="E1672" s="2" t="n">
        <f aca="false">IF(B1672&lt;Test1_Hand!$B$12,1,0)</f>
        <v>1</v>
      </c>
      <c r="F1672" s="23" t="n">
        <f aca="false">Test1_Hand!$B$4+E1672*D1672</f>
        <v>17.9396185061676</v>
      </c>
      <c r="G1672" s="24" t="n">
        <f aca="false">Test1_Hand!$B$6*E1672*D1672+Test1_Hand!$B$7*MAX(0,F1672-Test1_Hand!$B$5)</f>
        <v>15516.9480493408</v>
      </c>
      <c r="H1672" s="2" t="n">
        <f aca="false">IF(B1672&lt;Test1_Hand!$B$13,1,0)</f>
        <v>0</v>
      </c>
      <c r="I1672" s="23" t="n">
        <f aca="false">Test1_Hand!$B$4+H1672*D1672</f>
        <v>16</v>
      </c>
      <c r="J1672" s="24" t="n">
        <f aca="false">Test1_Hand!$B$6*H1672*D1672+Test1_Hand!$B$7*MAX(0,I1672-Test1_Hand!$B$5)+Test1_Hand!$B$14</f>
        <v>6000</v>
      </c>
    </row>
    <row r="1673" customFormat="false" ht="15" hidden="false" customHeight="false" outlineLevel="0" collapsed="false">
      <c r="A1673" s="2" t="n">
        <v>1661</v>
      </c>
      <c r="B1673" s="22" t="n">
        <v>0.101059622549542</v>
      </c>
      <c r="C1673" s="22" t="n">
        <v>0.856779444252919</v>
      </c>
      <c r="D1673" s="23" t="n">
        <f aca="false">BETAINV(C1673,Test1_Hand!$B$21,Test1_Hand!$B$22,Test1_Hand!$B$9,Test1_Hand!$B$11)</f>
        <v>4.95949761197614</v>
      </c>
      <c r="E1673" s="2" t="n">
        <f aca="false">IF(B1673&lt;Test1_Hand!$B$12,1,0)</f>
        <v>1</v>
      </c>
      <c r="F1673" s="23" t="n">
        <f aca="false">Test1_Hand!$B$4+E1673*D1673</f>
        <v>20.9594976119761</v>
      </c>
      <c r="G1673" s="24" t="n">
        <f aca="false">Test1_Hand!$B$6*E1673*D1673+Test1_Hand!$B$7*MAX(0,F1673-Test1_Hand!$B$5)</f>
        <v>44473.4689556898</v>
      </c>
      <c r="H1673" s="2" t="n">
        <f aca="false">IF(B1673&lt;Test1_Hand!$B$13,1,0)</f>
        <v>1</v>
      </c>
      <c r="I1673" s="23" t="n">
        <f aca="false">Test1_Hand!$B$4+H1673*D1673</f>
        <v>20.9594976119761</v>
      </c>
      <c r="J1673" s="24" t="n">
        <f aca="false">Test1_Hand!$B$6*H1673*D1673+Test1_Hand!$B$7*MAX(0,I1673-Test1_Hand!$B$5)+Test1_Hand!$B$14</f>
        <v>50473.4689556898</v>
      </c>
    </row>
    <row r="1674" customFormat="false" ht="15" hidden="false" customHeight="false" outlineLevel="0" collapsed="false">
      <c r="A1674" s="2" t="n">
        <v>1662</v>
      </c>
      <c r="B1674" s="22" t="n">
        <v>0.443206660565244</v>
      </c>
      <c r="C1674" s="22" t="n">
        <v>0.257591059095113</v>
      </c>
      <c r="D1674" s="23" t="n">
        <f aca="false">BETAINV(C1674,Test1_Hand!$B$21,Test1_Hand!$B$22,Test1_Hand!$B$9,Test1_Hand!$B$11)</f>
        <v>2.53985780239695</v>
      </c>
      <c r="E1674" s="2" t="n">
        <f aca="false">IF(B1674&lt;Test1_Hand!$B$12,1,0)</f>
        <v>1</v>
      </c>
      <c r="F1674" s="23" t="n">
        <f aca="false">Test1_Hand!$B$4+E1674*D1674</f>
        <v>18.5398578023969</v>
      </c>
      <c r="G1674" s="24" t="n">
        <f aca="false">Test1_Hand!$B$6*E1674*D1674+Test1_Hand!$B$7*MAX(0,F1674-Test1_Hand!$B$5)</f>
        <v>20318.8624191756</v>
      </c>
      <c r="H1674" s="2" t="n">
        <f aca="false">IF(B1674&lt;Test1_Hand!$B$13,1,0)</f>
        <v>0</v>
      </c>
      <c r="I1674" s="23" t="n">
        <f aca="false">Test1_Hand!$B$4+H1674*D1674</f>
        <v>16</v>
      </c>
      <c r="J1674" s="24" t="n">
        <f aca="false">Test1_Hand!$B$6*H1674*D1674+Test1_Hand!$B$7*MAX(0,I1674-Test1_Hand!$B$5)+Test1_Hand!$B$14</f>
        <v>6000</v>
      </c>
    </row>
    <row r="1675" customFormat="false" ht="15" hidden="false" customHeight="false" outlineLevel="0" collapsed="false">
      <c r="A1675" s="2" t="n">
        <v>1663</v>
      </c>
      <c r="B1675" s="22" t="n">
        <v>0.740706855634013</v>
      </c>
      <c r="C1675" s="22" t="n">
        <v>0.404845181008692</v>
      </c>
      <c r="D1675" s="23" t="n">
        <f aca="false">BETAINV(C1675,Test1_Hand!$B$21,Test1_Hand!$B$22,Test1_Hand!$B$9,Test1_Hand!$B$11)</f>
        <v>3.05238005295513</v>
      </c>
      <c r="E1675" s="2" t="n">
        <f aca="false">IF(B1675&lt;Test1_Hand!$B$12,1,0)</f>
        <v>0</v>
      </c>
      <c r="F1675" s="23" t="n">
        <f aca="false">Test1_Hand!$B$4+E1675*D1675</f>
        <v>16</v>
      </c>
      <c r="G1675" s="24" t="n">
        <f aca="false">Test1_Hand!$B$6*E1675*D1675+Test1_Hand!$B$7*MAX(0,F1675-Test1_Hand!$B$5)</f>
        <v>0</v>
      </c>
      <c r="H1675" s="2" t="n">
        <f aca="false">IF(B1675&lt;Test1_Hand!$B$13,1,0)</f>
        <v>0</v>
      </c>
      <c r="I1675" s="23" t="n">
        <f aca="false">Test1_Hand!$B$4+H1675*D1675</f>
        <v>16</v>
      </c>
      <c r="J1675" s="24" t="n">
        <f aca="false">Test1_Hand!$B$6*H1675*D1675+Test1_Hand!$B$7*MAX(0,I1675-Test1_Hand!$B$5)+Test1_Hand!$B$14</f>
        <v>6000</v>
      </c>
    </row>
    <row r="1676" customFormat="false" ht="15" hidden="false" customHeight="false" outlineLevel="0" collapsed="false">
      <c r="A1676" s="2" t="n">
        <v>1664</v>
      </c>
      <c r="B1676" s="22" t="n">
        <v>0.264137125204753</v>
      </c>
      <c r="C1676" s="22" t="n">
        <v>0.671536527982626</v>
      </c>
      <c r="D1676" s="23" t="n">
        <f aca="false">BETAINV(C1676,Test1_Hand!$B$21,Test1_Hand!$B$22,Test1_Hand!$B$9,Test1_Hand!$B$11)</f>
        <v>4.02945738880403</v>
      </c>
      <c r="E1676" s="2" t="n">
        <f aca="false">IF(B1676&lt;Test1_Hand!$B$12,1,0)</f>
        <v>1</v>
      </c>
      <c r="F1676" s="23" t="n">
        <f aca="false">Test1_Hand!$B$4+E1676*D1676</f>
        <v>20.029457388804</v>
      </c>
      <c r="G1676" s="24" t="n">
        <f aca="false">Test1_Hand!$B$6*E1676*D1676+Test1_Hand!$B$7*MAX(0,F1676-Test1_Hand!$B$5)</f>
        <v>32382.9460544524</v>
      </c>
      <c r="H1676" s="2" t="n">
        <f aca="false">IF(B1676&lt;Test1_Hand!$B$13,1,0)</f>
        <v>0</v>
      </c>
      <c r="I1676" s="23" t="n">
        <f aca="false">Test1_Hand!$B$4+H1676*D1676</f>
        <v>16</v>
      </c>
      <c r="J1676" s="24" t="n">
        <f aca="false">Test1_Hand!$B$6*H1676*D1676+Test1_Hand!$B$7*MAX(0,I1676-Test1_Hand!$B$5)+Test1_Hand!$B$14</f>
        <v>6000</v>
      </c>
    </row>
    <row r="1677" customFormat="false" ht="15" hidden="false" customHeight="false" outlineLevel="0" collapsed="false">
      <c r="A1677" s="2" t="n">
        <v>1665</v>
      </c>
      <c r="B1677" s="22" t="n">
        <v>0.220467493784391</v>
      </c>
      <c r="C1677" s="22" t="n">
        <v>0.692796063153971</v>
      </c>
      <c r="D1677" s="23" t="n">
        <f aca="false">BETAINV(C1677,Test1_Hand!$B$21,Test1_Hand!$B$22,Test1_Hand!$B$9,Test1_Hand!$B$11)</f>
        <v>4.11858578058148</v>
      </c>
      <c r="E1677" s="2" t="n">
        <f aca="false">IF(B1677&lt;Test1_Hand!$B$12,1,0)</f>
        <v>1</v>
      </c>
      <c r="F1677" s="23" t="n">
        <f aca="false">Test1_Hand!$B$4+E1677*D1677</f>
        <v>20.1185857805815</v>
      </c>
      <c r="G1677" s="24" t="n">
        <f aca="false">Test1_Hand!$B$6*E1677*D1677+Test1_Hand!$B$7*MAX(0,F1677-Test1_Hand!$B$5)</f>
        <v>33541.6151475593</v>
      </c>
      <c r="H1677" s="2" t="n">
        <f aca="false">IF(B1677&lt;Test1_Hand!$B$13,1,0)</f>
        <v>0</v>
      </c>
      <c r="I1677" s="23" t="n">
        <f aca="false">Test1_Hand!$B$4+H1677*D1677</f>
        <v>16</v>
      </c>
      <c r="J1677" s="24" t="n">
        <f aca="false">Test1_Hand!$B$6*H1677*D1677+Test1_Hand!$B$7*MAX(0,I1677-Test1_Hand!$B$5)+Test1_Hand!$B$14</f>
        <v>6000</v>
      </c>
    </row>
    <row r="1678" customFormat="false" ht="15" hidden="false" customHeight="false" outlineLevel="0" collapsed="false">
      <c r="A1678" s="2" t="n">
        <v>1666</v>
      </c>
      <c r="B1678" s="22" t="n">
        <v>0.208309621021775</v>
      </c>
      <c r="C1678" s="22" t="n">
        <v>0.594969361715629</v>
      </c>
      <c r="D1678" s="23" t="n">
        <f aca="false">BETAINV(C1678,Test1_Hand!$B$21,Test1_Hand!$B$22,Test1_Hand!$B$9,Test1_Hand!$B$11)</f>
        <v>3.72803132609754</v>
      </c>
      <c r="E1678" s="2" t="n">
        <f aca="false">IF(B1678&lt;Test1_Hand!$B$12,1,0)</f>
        <v>1</v>
      </c>
      <c r="F1678" s="23" t="n">
        <f aca="false">Test1_Hand!$B$4+E1678*D1678</f>
        <v>19.7280313260975</v>
      </c>
      <c r="G1678" s="24" t="n">
        <f aca="false">Test1_Hand!$B$6*E1678*D1678+Test1_Hand!$B$7*MAX(0,F1678-Test1_Hand!$B$5)</f>
        <v>29824.2506087803</v>
      </c>
      <c r="H1678" s="2" t="n">
        <f aca="false">IF(B1678&lt;Test1_Hand!$B$13,1,0)</f>
        <v>0</v>
      </c>
      <c r="I1678" s="23" t="n">
        <f aca="false">Test1_Hand!$B$4+H1678*D1678</f>
        <v>16</v>
      </c>
      <c r="J1678" s="24" t="n">
        <f aca="false">Test1_Hand!$B$6*H1678*D1678+Test1_Hand!$B$7*MAX(0,I1678-Test1_Hand!$B$5)+Test1_Hand!$B$14</f>
        <v>6000</v>
      </c>
    </row>
    <row r="1679" customFormat="false" ht="15" hidden="false" customHeight="false" outlineLevel="0" collapsed="false">
      <c r="A1679" s="2" t="n">
        <v>1667</v>
      </c>
      <c r="B1679" s="22" t="n">
        <v>0.712223764161025</v>
      </c>
      <c r="C1679" s="22" t="n">
        <v>0.426565504910302</v>
      </c>
      <c r="D1679" s="23" t="n">
        <f aca="false">BETAINV(C1679,Test1_Hand!$B$21,Test1_Hand!$B$22,Test1_Hand!$B$9,Test1_Hand!$B$11)</f>
        <v>3.12707827477823</v>
      </c>
      <c r="E1679" s="2" t="n">
        <f aca="false">IF(B1679&lt;Test1_Hand!$B$12,1,0)</f>
        <v>0</v>
      </c>
      <c r="F1679" s="23" t="n">
        <f aca="false">Test1_Hand!$B$4+E1679*D1679</f>
        <v>16</v>
      </c>
      <c r="G1679" s="24" t="n">
        <f aca="false">Test1_Hand!$B$6*E1679*D1679+Test1_Hand!$B$7*MAX(0,F1679-Test1_Hand!$B$5)</f>
        <v>0</v>
      </c>
      <c r="H1679" s="2" t="n">
        <f aca="false">IF(B1679&lt;Test1_Hand!$B$13,1,0)</f>
        <v>0</v>
      </c>
      <c r="I1679" s="23" t="n">
        <f aca="false">Test1_Hand!$B$4+H1679*D1679</f>
        <v>16</v>
      </c>
      <c r="J1679" s="24" t="n">
        <f aca="false">Test1_Hand!$B$6*H1679*D1679+Test1_Hand!$B$7*MAX(0,I1679-Test1_Hand!$B$5)+Test1_Hand!$B$14</f>
        <v>6000</v>
      </c>
    </row>
    <row r="1680" customFormat="false" ht="15" hidden="false" customHeight="false" outlineLevel="0" collapsed="false">
      <c r="A1680" s="2" t="n">
        <v>1668</v>
      </c>
      <c r="B1680" s="22" t="n">
        <v>0.5197632578403</v>
      </c>
      <c r="C1680" s="22" t="n">
        <v>0.945964716287388</v>
      </c>
      <c r="D1680" s="23" t="n">
        <f aca="false">BETAINV(C1680,Test1_Hand!$B$21,Test1_Hand!$B$22,Test1_Hand!$B$9,Test1_Hand!$B$11)</f>
        <v>5.72351449801532</v>
      </c>
      <c r="E1680" s="2" t="n">
        <f aca="false">IF(B1680&lt;Test1_Hand!$B$12,1,0)</f>
        <v>0</v>
      </c>
      <c r="F1680" s="23" t="n">
        <f aca="false">Test1_Hand!$B$4+E1680*D1680</f>
        <v>16</v>
      </c>
      <c r="G1680" s="24" t="n">
        <f aca="false">Test1_Hand!$B$6*E1680*D1680+Test1_Hand!$B$7*MAX(0,F1680-Test1_Hand!$B$5)</f>
        <v>0</v>
      </c>
      <c r="H1680" s="2" t="n">
        <f aca="false">IF(B1680&lt;Test1_Hand!$B$13,1,0)</f>
        <v>0</v>
      </c>
      <c r="I1680" s="23" t="n">
        <f aca="false">Test1_Hand!$B$4+H1680*D1680</f>
        <v>16</v>
      </c>
      <c r="J1680" s="24" t="n">
        <f aca="false">Test1_Hand!$B$6*H1680*D1680+Test1_Hand!$B$7*MAX(0,I1680-Test1_Hand!$B$5)+Test1_Hand!$B$14</f>
        <v>6000</v>
      </c>
    </row>
    <row r="1681" customFormat="false" ht="15" hidden="false" customHeight="false" outlineLevel="0" collapsed="false">
      <c r="A1681" s="2" t="n">
        <v>1669</v>
      </c>
      <c r="B1681" s="22" t="n">
        <v>0.418251439339027</v>
      </c>
      <c r="C1681" s="22" t="n">
        <v>0.567711040377361</v>
      </c>
      <c r="D1681" s="23" t="n">
        <f aca="false">BETAINV(C1681,Test1_Hand!$B$21,Test1_Hand!$B$22,Test1_Hand!$B$9,Test1_Hand!$B$11)</f>
        <v>3.62638122094466</v>
      </c>
      <c r="E1681" s="2" t="n">
        <f aca="false">IF(B1681&lt;Test1_Hand!$B$12,1,0)</f>
        <v>1</v>
      </c>
      <c r="F1681" s="23" t="n">
        <f aca="false">Test1_Hand!$B$4+E1681*D1681</f>
        <v>19.6263812209447</v>
      </c>
      <c r="G1681" s="24" t="n">
        <f aca="false">Test1_Hand!$B$6*E1681*D1681+Test1_Hand!$B$7*MAX(0,F1681-Test1_Hand!$B$5)</f>
        <v>29011.0497675573</v>
      </c>
      <c r="H1681" s="2" t="n">
        <f aca="false">IF(B1681&lt;Test1_Hand!$B$13,1,0)</f>
        <v>0</v>
      </c>
      <c r="I1681" s="23" t="n">
        <f aca="false">Test1_Hand!$B$4+H1681*D1681</f>
        <v>16</v>
      </c>
      <c r="J1681" s="24" t="n">
        <f aca="false">Test1_Hand!$B$6*H1681*D1681+Test1_Hand!$B$7*MAX(0,I1681-Test1_Hand!$B$5)+Test1_Hand!$B$14</f>
        <v>6000</v>
      </c>
    </row>
    <row r="1682" customFormat="false" ht="15" hidden="false" customHeight="false" outlineLevel="0" collapsed="false">
      <c r="A1682" s="2" t="n">
        <v>1670</v>
      </c>
      <c r="B1682" s="22" t="n">
        <v>0.929202892633327</v>
      </c>
      <c r="C1682" s="22" t="n">
        <v>0.0890659814299267</v>
      </c>
      <c r="D1682" s="23" t="n">
        <f aca="false">BETAINV(C1682,Test1_Hand!$B$21,Test1_Hand!$B$22,Test1_Hand!$B$9,Test1_Hand!$B$11)</f>
        <v>1.85038055198758</v>
      </c>
      <c r="E1682" s="2" t="n">
        <f aca="false">IF(B1682&lt;Test1_Hand!$B$12,1,0)</f>
        <v>0</v>
      </c>
      <c r="F1682" s="23" t="n">
        <f aca="false">Test1_Hand!$B$4+E1682*D1682</f>
        <v>16</v>
      </c>
      <c r="G1682" s="24" t="n">
        <f aca="false">Test1_Hand!$B$6*E1682*D1682+Test1_Hand!$B$7*MAX(0,F1682-Test1_Hand!$B$5)</f>
        <v>0</v>
      </c>
      <c r="H1682" s="2" t="n">
        <f aca="false">IF(B1682&lt;Test1_Hand!$B$13,1,0)</f>
        <v>0</v>
      </c>
      <c r="I1682" s="23" t="n">
        <f aca="false">Test1_Hand!$B$4+H1682*D1682</f>
        <v>16</v>
      </c>
      <c r="J1682" s="24" t="n">
        <f aca="false">Test1_Hand!$B$6*H1682*D1682+Test1_Hand!$B$7*MAX(0,I1682-Test1_Hand!$B$5)+Test1_Hand!$B$14</f>
        <v>6000</v>
      </c>
    </row>
    <row r="1683" customFormat="false" ht="15" hidden="false" customHeight="false" outlineLevel="0" collapsed="false">
      <c r="A1683" s="2" t="n">
        <v>1671</v>
      </c>
      <c r="B1683" s="22" t="n">
        <v>0.318387548338975</v>
      </c>
      <c r="C1683" s="22" t="n">
        <v>0.154179848793926</v>
      </c>
      <c r="D1683" s="23" t="n">
        <f aca="false">BETAINV(C1683,Test1_Hand!$B$21,Test1_Hand!$B$22,Test1_Hand!$B$9,Test1_Hand!$B$11)</f>
        <v>2.14489296378412</v>
      </c>
      <c r="E1683" s="2" t="n">
        <f aca="false">IF(B1683&lt;Test1_Hand!$B$12,1,0)</f>
        <v>1</v>
      </c>
      <c r="F1683" s="23" t="n">
        <f aca="false">Test1_Hand!$B$4+E1683*D1683</f>
        <v>18.1448929637841</v>
      </c>
      <c r="G1683" s="24" t="n">
        <f aca="false">Test1_Hand!$B$6*E1683*D1683+Test1_Hand!$B$7*MAX(0,F1683-Test1_Hand!$B$5)</f>
        <v>17159.143710273</v>
      </c>
      <c r="H1683" s="2" t="n">
        <f aca="false">IF(B1683&lt;Test1_Hand!$B$13,1,0)</f>
        <v>0</v>
      </c>
      <c r="I1683" s="23" t="n">
        <f aca="false">Test1_Hand!$B$4+H1683*D1683</f>
        <v>16</v>
      </c>
      <c r="J1683" s="24" t="n">
        <f aca="false">Test1_Hand!$B$6*H1683*D1683+Test1_Hand!$B$7*MAX(0,I1683-Test1_Hand!$B$5)+Test1_Hand!$B$14</f>
        <v>6000</v>
      </c>
    </row>
    <row r="1684" customFormat="false" ht="15" hidden="false" customHeight="false" outlineLevel="0" collapsed="false">
      <c r="A1684" s="2" t="n">
        <v>1672</v>
      </c>
      <c r="B1684" s="22" t="n">
        <v>0.674436391688164</v>
      </c>
      <c r="C1684" s="22" t="n">
        <v>0.206518377446186</v>
      </c>
      <c r="D1684" s="23" t="n">
        <f aca="false">BETAINV(C1684,Test1_Hand!$B$21,Test1_Hand!$B$22,Test1_Hand!$B$9,Test1_Hand!$B$11)</f>
        <v>2.35153558440676</v>
      </c>
      <c r="E1684" s="2" t="n">
        <f aca="false">IF(B1684&lt;Test1_Hand!$B$12,1,0)</f>
        <v>0</v>
      </c>
      <c r="F1684" s="23" t="n">
        <f aca="false">Test1_Hand!$B$4+E1684*D1684</f>
        <v>16</v>
      </c>
      <c r="G1684" s="24" t="n">
        <f aca="false">Test1_Hand!$B$6*E1684*D1684+Test1_Hand!$B$7*MAX(0,F1684-Test1_Hand!$B$5)</f>
        <v>0</v>
      </c>
      <c r="H1684" s="2" t="n">
        <f aca="false">IF(B1684&lt;Test1_Hand!$B$13,1,0)</f>
        <v>0</v>
      </c>
      <c r="I1684" s="23" t="n">
        <f aca="false">Test1_Hand!$B$4+H1684*D1684</f>
        <v>16</v>
      </c>
      <c r="J1684" s="24" t="n">
        <f aca="false">Test1_Hand!$B$6*H1684*D1684+Test1_Hand!$B$7*MAX(0,I1684-Test1_Hand!$B$5)+Test1_Hand!$B$14</f>
        <v>6000</v>
      </c>
    </row>
    <row r="1685" customFormat="false" ht="15" hidden="false" customHeight="false" outlineLevel="0" collapsed="false">
      <c r="A1685" s="2" t="n">
        <v>1673</v>
      </c>
      <c r="B1685" s="22" t="n">
        <v>0.556507574658366</v>
      </c>
      <c r="C1685" s="22" t="n">
        <v>0.711576057776999</v>
      </c>
      <c r="D1685" s="23" t="n">
        <f aca="false">BETAINV(C1685,Test1_Hand!$B$21,Test1_Hand!$B$22,Test1_Hand!$B$9,Test1_Hand!$B$11)</f>
        <v>4.19983227362479</v>
      </c>
      <c r="E1685" s="2" t="n">
        <f aca="false">IF(B1685&lt;Test1_Hand!$B$12,1,0)</f>
        <v>0</v>
      </c>
      <c r="F1685" s="23" t="n">
        <f aca="false">Test1_Hand!$B$4+E1685*D1685</f>
        <v>16</v>
      </c>
      <c r="G1685" s="24" t="n">
        <f aca="false">Test1_Hand!$B$6*E1685*D1685+Test1_Hand!$B$7*MAX(0,F1685-Test1_Hand!$B$5)</f>
        <v>0</v>
      </c>
      <c r="H1685" s="2" t="n">
        <f aca="false">IF(B1685&lt;Test1_Hand!$B$13,1,0)</f>
        <v>0</v>
      </c>
      <c r="I1685" s="23" t="n">
        <f aca="false">Test1_Hand!$B$4+H1685*D1685</f>
        <v>16</v>
      </c>
      <c r="J1685" s="24" t="n">
        <f aca="false">Test1_Hand!$B$6*H1685*D1685+Test1_Hand!$B$7*MAX(0,I1685-Test1_Hand!$B$5)+Test1_Hand!$B$14</f>
        <v>6000</v>
      </c>
    </row>
    <row r="1686" customFormat="false" ht="15" hidden="false" customHeight="false" outlineLevel="0" collapsed="false">
      <c r="A1686" s="2" t="n">
        <v>1674</v>
      </c>
      <c r="B1686" s="22" t="n">
        <v>0.839794068630074</v>
      </c>
      <c r="C1686" s="22" t="n">
        <v>0.559965238543954</v>
      </c>
      <c r="D1686" s="23" t="n">
        <f aca="false">BETAINV(C1686,Test1_Hand!$B$21,Test1_Hand!$B$22,Test1_Hand!$B$9,Test1_Hand!$B$11)</f>
        <v>3.59791657776005</v>
      </c>
      <c r="E1686" s="2" t="n">
        <f aca="false">IF(B1686&lt;Test1_Hand!$B$12,1,0)</f>
        <v>0</v>
      </c>
      <c r="F1686" s="23" t="n">
        <f aca="false">Test1_Hand!$B$4+E1686*D1686</f>
        <v>16</v>
      </c>
      <c r="G1686" s="24" t="n">
        <f aca="false">Test1_Hand!$B$6*E1686*D1686+Test1_Hand!$B$7*MAX(0,F1686-Test1_Hand!$B$5)</f>
        <v>0</v>
      </c>
      <c r="H1686" s="2" t="n">
        <f aca="false">IF(B1686&lt;Test1_Hand!$B$13,1,0)</f>
        <v>0</v>
      </c>
      <c r="I1686" s="23" t="n">
        <f aca="false">Test1_Hand!$B$4+H1686*D1686</f>
        <v>16</v>
      </c>
      <c r="J1686" s="24" t="n">
        <f aca="false">Test1_Hand!$B$6*H1686*D1686+Test1_Hand!$B$7*MAX(0,I1686-Test1_Hand!$B$5)+Test1_Hand!$B$14</f>
        <v>6000</v>
      </c>
    </row>
    <row r="1687" customFormat="false" ht="15" hidden="false" customHeight="false" outlineLevel="0" collapsed="false">
      <c r="A1687" s="2" t="n">
        <v>1675</v>
      </c>
      <c r="B1687" s="22" t="n">
        <v>0.591577178044093</v>
      </c>
      <c r="C1687" s="22" t="n">
        <v>0.26424837384263</v>
      </c>
      <c r="D1687" s="23" t="n">
        <f aca="false">BETAINV(C1687,Test1_Hand!$B$21,Test1_Hand!$B$22,Test1_Hand!$B$9,Test1_Hand!$B$11)</f>
        <v>2.56375986800894</v>
      </c>
      <c r="E1687" s="2" t="n">
        <f aca="false">IF(B1687&lt;Test1_Hand!$B$12,1,0)</f>
        <v>0</v>
      </c>
      <c r="F1687" s="23" t="n">
        <f aca="false">Test1_Hand!$B$4+E1687*D1687</f>
        <v>16</v>
      </c>
      <c r="G1687" s="24" t="n">
        <f aca="false">Test1_Hand!$B$6*E1687*D1687+Test1_Hand!$B$7*MAX(0,F1687-Test1_Hand!$B$5)</f>
        <v>0</v>
      </c>
      <c r="H1687" s="2" t="n">
        <f aca="false">IF(B1687&lt;Test1_Hand!$B$13,1,0)</f>
        <v>0</v>
      </c>
      <c r="I1687" s="23" t="n">
        <f aca="false">Test1_Hand!$B$4+H1687*D1687</f>
        <v>16</v>
      </c>
      <c r="J1687" s="24" t="n">
        <f aca="false">Test1_Hand!$B$6*H1687*D1687+Test1_Hand!$B$7*MAX(0,I1687-Test1_Hand!$B$5)+Test1_Hand!$B$14</f>
        <v>6000</v>
      </c>
    </row>
    <row r="1688" customFormat="false" ht="15" hidden="false" customHeight="false" outlineLevel="0" collapsed="false">
      <c r="A1688" s="2" t="n">
        <v>1676</v>
      </c>
      <c r="B1688" s="22" t="n">
        <v>0.358253503810105</v>
      </c>
      <c r="C1688" s="22" t="n">
        <v>0.234931352959672</v>
      </c>
      <c r="D1688" s="23" t="n">
        <f aca="false">BETAINV(C1688,Test1_Hand!$B$21,Test1_Hand!$B$22,Test1_Hand!$B$9,Test1_Hand!$B$11)</f>
        <v>2.45750070118881</v>
      </c>
      <c r="E1688" s="2" t="n">
        <f aca="false">IF(B1688&lt;Test1_Hand!$B$12,1,0)</f>
        <v>1</v>
      </c>
      <c r="F1688" s="23" t="n">
        <f aca="false">Test1_Hand!$B$4+E1688*D1688</f>
        <v>18.4575007011888</v>
      </c>
      <c r="G1688" s="24" t="n">
        <f aca="false">Test1_Hand!$B$6*E1688*D1688+Test1_Hand!$B$7*MAX(0,F1688-Test1_Hand!$B$5)</f>
        <v>19660.0056095105</v>
      </c>
      <c r="H1688" s="2" t="n">
        <f aca="false">IF(B1688&lt;Test1_Hand!$B$13,1,0)</f>
        <v>0</v>
      </c>
      <c r="I1688" s="23" t="n">
        <f aca="false">Test1_Hand!$B$4+H1688*D1688</f>
        <v>16</v>
      </c>
      <c r="J1688" s="24" t="n">
        <f aca="false">Test1_Hand!$B$6*H1688*D1688+Test1_Hand!$B$7*MAX(0,I1688-Test1_Hand!$B$5)+Test1_Hand!$B$14</f>
        <v>6000</v>
      </c>
    </row>
    <row r="1689" customFormat="false" ht="15" hidden="false" customHeight="false" outlineLevel="0" collapsed="false">
      <c r="A1689" s="2" t="n">
        <v>1677</v>
      </c>
      <c r="B1689" s="22" t="n">
        <v>0.419755581717268</v>
      </c>
      <c r="C1689" s="22" t="n">
        <v>0.507098496584189</v>
      </c>
      <c r="D1689" s="23" t="n">
        <f aca="false">BETAINV(C1689,Test1_Hand!$B$21,Test1_Hand!$B$22,Test1_Hand!$B$9,Test1_Hand!$B$11)</f>
        <v>3.40768170409112</v>
      </c>
      <c r="E1689" s="2" t="n">
        <f aca="false">IF(B1689&lt;Test1_Hand!$B$12,1,0)</f>
        <v>1</v>
      </c>
      <c r="F1689" s="23" t="n">
        <f aca="false">Test1_Hand!$B$4+E1689*D1689</f>
        <v>19.4076817040911</v>
      </c>
      <c r="G1689" s="24" t="n">
        <f aca="false">Test1_Hand!$B$6*E1689*D1689+Test1_Hand!$B$7*MAX(0,F1689-Test1_Hand!$B$5)</f>
        <v>27261.4536327289</v>
      </c>
      <c r="H1689" s="2" t="n">
        <f aca="false">IF(B1689&lt;Test1_Hand!$B$13,1,0)</f>
        <v>0</v>
      </c>
      <c r="I1689" s="23" t="n">
        <f aca="false">Test1_Hand!$B$4+H1689*D1689</f>
        <v>16</v>
      </c>
      <c r="J1689" s="24" t="n">
        <f aca="false">Test1_Hand!$B$6*H1689*D1689+Test1_Hand!$B$7*MAX(0,I1689-Test1_Hand!$B$5)+Test1_Hand!$B$14</f>
        <v>6000</v>
      </c>
    </row>
    <row r="1690" customFormat="false" ht="15" hidden="false" customHeight="false" outlineLevel="0" collapsed="false">
      <c r="A1690" s="2" t="n">
        <v>1678</v>
      </c>
      <c r="B1690" s="22" t="n">
        <v>0.302459942262583</v>
      </c>
      <c r="C1690" s="22" t="n">
        <v>0.447731622347747</v>
      </c>
      <c r="D1690" s="23" t="n">
        <f aca="false">BETAINV(C1690,Test1_Hand!$B$21,Test1_Hand!$B$22,Test1_Hand!$B$9,Test1_Hand!$B$11)</f>
        <v>3.20013312335503</v>
      </c>
      <c r="E1690" s="2" t="n">
        <f aca="false">IF(B1690&lt;Test1_Hand!$B$12,1,0)</f>
        <v>1</v>
      </c>
      <c r="F1690" s="23" t="n">
        <f aca="false">Test1_Hand!$B$4+E1690*D1690</f>
        <v>19.200133123355</v>
      </c>
      <c r="G1690" s="24" t="n">
        <f aca="false">Test1_Hand!$B$6*E1690*D1690+Test1_Hand!$B$7*MAX(0,F1690-Test1_Hand!$B$5)</f>
        <v>25601.0649868402</v>
      </c>
      <c r="H1690" s="2" t="n">
        <f aca="false">IF(B1690&lt;Test1_Hand!$B$13,1,0)</f>
        <v>0</v>
      </c>
      <c r="I1690" s="23" t="n">
        <f aca="false">Test1_Hand!$B$4+H1690*D1690</f>
        <v>16</v>
      </c>
      <c r="J1690" s="24" t="n">
        <f aca="false">Test1_Hand!$B$6*H1690*D1690+Test1_Hand!$B$7*MAX(0,I1690-Test1_Hand!$B$5)+Test1_Hand!$B$14</f>
        <v>6000</v>
      </c>
    </row>
    <row r="1691" customFormat="false" ht="15" hidden="false" customHeight="false" outlineLevel="0" collapsed="false">
      <c r="A1691" s="2" t="n">
        <v>1679</v>
      </c>
      <c r="B1691" s="22" t="n">
        <v>0.0212420267073933</v>
      </c>
      <c r="C1691" s="22" t="n">
        <v>0.123631370421904</v>
      </c>
      <c r="D1691" s="23" t="n">
        <f aca="false">BETAINV(C1691,Test1_Hand!$B$21,Test1_Hand!$B$22,Test1_Hand!$B$9,Test1_Hand!$B$11)</f>
        <v>2.01386949700176</v>
      </c>
      <c r="E1691" s="2" t="n">
        <f aca="false">IF(B1691&lt;Test1_Hand!$B$12,1,0)</f>
        <v>1</v>
      </c>
      <c r="F1691" s="23" t="n">
        <f aca="false">Test1_Hand!$B$4+E1691*D1691</f>
        <v>18.0138694970018</v>
      </c>
      <c r="G1691" s="24" t="n">
        <f aca="false">Test1_Hand!$B$6*E1691*D1691+Test1_Hand!$B$7*MAX(0,F1691-Test1_Hand!$B$5)</f>
        <v>16110.9559760141</v>
      </c>
      <c r="H1691" s="2" t="n">
        <f aca="false">IF(B1691&lt;Test1_Hand!$B$13,1,0)</f>
        <v>1</v>
      </c>
      <c r="I1691" s="23" t="n">
        <f aca="false">Test1_Hand!$B$4+H1691*D1691</f>
        <v>18.0138694970018</v>
      </c>
      <c r="J1691" s="24" t="n">
        <f aca="false">Test1_Hand!$B$6*H1691*D1691+Test1_Hand!$B$7*MAX(0,I1691-Test1_Hand!$B$5)+Test1_Hand!$B$14</f>
        <v>22110.9559760141</v>
      </c>
    </row>
    <row r="1692" customFormat="false" ht="15" hidden="false" customHeight="false" outlineLevel="0" collapsed="false">
      <c r="A1692" s="2" t="n">
        <v>1680</v>
      </c>
      <c r="B1692" s="22" t="n">
        <v>0.569346689185468</v>
      </c>
      <c r="C1692" s="22" t="n">
        <v>0.38773818774444</v>
      </c>
      <c r="D1692" s="23" t="n">
        <f aca="false">BETAINV(C1692,Test1_Hand!$B$21,Test1_Hand!$B$22,Test1_Hand!$B$9,Test1_Hand!$B$11)</f>
        <v>2.99363619111369</v>
      </c>
      <c r="E1692" s="2" t="n">
        <f aca="false">IF(B1692&lt;Test1_Hand!$B$12,1,0)</f>
        <v>0</v>
      </c>
      <c r="F1692" s="23" t="n">
        <f aca="false">Test1_Hand!$B$4+E1692*D1692</f>
        <v>16</v>
      </c>
      <c r="G1692" s="24" t="n">
        <f aca="false">Test1_Hand!$B$6*E1692*D1692+Test1_Hand!$B$7*MAX(0,F1692-Test1_Hand!$B$5)</f>
        <v>0</v>
      </c>
      <c r="H1692" s="2" t="n">
        <f aca="false">IF(B1692&lt;Test1_Hand!$B$13,1,0)</f>
        <v>0</v>
      </c>
      <c r="I1692" s="23" t="n">
        <f aca="false">Test1_Hand!$B$4+H1692*D1692</f>
        <v>16</v>
      </c>
      <c r="J1692" s="24" t="n">
        <f aca="false">Test1_Hand!$B$6*H1692*D1692+Test1_Hand!$B$7*MAX(0,I1692-Test1_Hand!$B$5)+Test1_Hand!$B$14</f>
        <v>6000</v>
      </c>
    </row>
    <row r="1693" customFormat="false" ht="15" hidden="false" customHeight="false" outlineLevel="0" collapsed="false">
      <c r="A1693" s="2" t="n">
        <v>1681</v>
      </c>
      <c r="B1693" s="22" t="n">
        <v>0.488268901582465</v>
      </c>
      <c r="C1693" s="22" t="n">
        <v>0.641348635641194</v>
      </c>
      <c r="D1693" s="23" t="n">
        <f aca="false">BETAINV(C1693,Test1_Hand!$B$21,Test1_Hand!$B$22,Test1_Hand!$B$9,Test1_Hand!$B$11)</f>
        <v>3.90735159745085</v>
      </c>
      <c r="E1693" s="2" t="n">
        <f aca="false">IF(B1693&lt;Test1_Hand!$B$12,1,0)</f>
        <v>1</v>
      </c>
      <c r="F1693" s="23" t="n">
        <f aca="false">Test1_Hand!$B$4+E1693*D1693</f>
        <v>19.9073515974509</v>
      </c>
      <c r="G1693" s="24" t="n">
        <f aca="false">Test1_Hand!$B$6*E1693*D1693+Test1_Hand!$B$7*MAX(0,F1693-Test1_Hand!$B$5)</f>
        <v>31258.8127796068</v>
      </c>
      <c r="H1693" s="2" t="n">
        <f aca="false">IF(B1693&lt;Test1_Hand!$B$13,1,0)</f>
        <v>0</v>
      </c>
      <c r="I1693" s="23" t="n">
        <f aca="false">Test1_Hand!$B$4+H1693*D1693</f>
        <v>16</v>
      </c>
      <c r="J1693" s="24" t="n">
        <f aca="false">Test1_Hand!$B$6*H1693*D1693+Test1_Hand!$B$7*MAX(0,I1693-Test1_Hand!$B$5)+Test1_Hand!$B$14</f>
        <v>6000</v>
      </c>
    </row>
    <row r="1694" customFormat="false" ht="15" hidden="false" customHeight="false" outlineLevel="0" collapsed="false">
      <c r="A1694" s="2" t="n">
        <v>1682</v>
      </c>
      <c r="B1694" s="22" t="n">
        <v>0.516609004031347</v>
      </c>
      <c r="C1694" s="22" t="n">
        <v>0.437345774405497</v>
      </c>
      <c r="D1694" s="23" t="n">
        <f aca="false">BETAINV(C1694,Test1_Hand!$B$21,Test1_Hand!$B$22,Test1_Hand!$B$9,Test1_Hand!$B$11)</f>
        <v>3.16424462585798</v>
      </c>
      <c r="E1694" s="2" t="n">
        <f aca="false">IF(B1694&lt;Test1_Hand!$B$12,1,0)</f>
        <v>0</v>
      </c>
      <c r="F1694" s="23" t="n">
        <f aca="false">Test1_Hand!$B$4+E1694*D1694</f>
        <v>16</v>
      </c>
      <c r="G1694" s="24" t="n">
        <f aca="false">Test1_Hand!$B$6*E1694*D1694+Test1_Hand!$B$7*MAX(0,F1694-Test1_Hand!$B$5)</f>
        <v>0</v>
      </c>
      <c r="H1694" s="2" t="n">
        <f aca="false">IF(B1694&lt;Test1_Hand!$B$13,1,0)</f>
        <v>0</v>
      </c>
      <c r="I1694" s="23" t="n">
        <f aca="false">Test1_Hand!$B$4+H1694*D1694</f>
        <v>16</v>
      </c>
      <c r="J1694" s="24" t="n">
        <f aca="false">Test1_Hand!$B$6*H1694*D1694+Test1_Hand!$B$7*MAX(0,I1694-Test1_Hand!$B$5)+Test1_Hand!$B$14</f>
        <v>6000</v>
      </c>
    </row>
    <row r="1695" customFormat="false" ht="15" hidden="false" customHeight="false" outlineLevel="0" collapsed="false">
      <c r="A1695" s="2" t="n">
        <v>1683</v>
      </c>
      <c r="B1695" s="22" t="n">
        <v>0.0193483914798425</v>
      </c>
      <c r="C1695" s="22" t="n">
        <v>0.813613220720481</v>
      </c>
      <c r="D1695" s="23" t="n">
        <f aca="false">BETAINV(C1695,Test1_Hand!$B$21,Test1_Hand!$B$22,Test1_Hand!$B$9,Test1_Hand!$B$11)</f>
        <v>4.70019797306005</v>
      </c>
      <c r="E1695" s="2" t="n">
        <f aca="false">IF(B1695&lt;Test1_Hand!$B$12,1,0)</f>
        <v>1</v>
      </c>
      <c r="F1695" s="23" t="n">
        <f aca="false">Test1_Hand!$B$4+E1695*D1695</f>
        <v>20.7001979730601</v>
      </c>
      <c r="G1695" s="24" t="n">
        <f aca="false">Test1_Hand!$B$6*E1695*D1695+Test1_Hand!$B$7*MAX(0,F1695-Test1_Hand!$B$5)</f>
        <v>41102.5736497807</v>
      </c>
      <c r="H1695" s="2" t="n">
        <f aca="false">IF(B1695&lt;Test1_Hand!$B$13,1,0)</f>
        <v>1</v>
      </c>
      <c r="I1695" s="23" t="n">
        <f aca="false">Test1_Hand!$B$4+H1695*D1695</f>
        <v>20.7001979730601</v>
      </c>
      <c r="J1695" s="24" t="n">
        <f aca="false">Test1_Hand!$B$6*H1695*D1695+Test1_Hand!$B$7*MAX(0,I1695-Test1_Hand!$B$5)+Test1_Hand!$B$14</f>
        <v>47102.5736497807</v>
      </c>
    </row>
    <row r="1696" customFormat="false" ht="15" hidden="false" customHeight="false" outlineLevel="0" collapsed="false">
      <c r="A1696" s="2" t="n">
        <v>1684</v>
      </c>
      <c r="B1696" s="22" t="n">
        <v>0.547311146222717</v>
      </c>
      <c r="C1696" s="22" t="n">
        <v>0.154146182665538</v>
      </c>
      <c r="D1696" s="23" t="n">
        <f aca="false">BETAINV(C1696,Test1_Hand!$B$21,Test1_Hand!$B$22,Test1_Hand!$B$9,Test1_Hand!$B$11)</f>
        <v>2.1447536795711</v>
      </c>
      <c r="E1696" s="2" t="n">
        <f aca="false">IF(B1696&lt;Test1_Hand!$B$12,1,0)</f>
        <v>0</v>
      </c>
      <c r="F1696" s="23" t="n">
        <f aca="false">Test1_Hand!$B$4+E1696*D1696</f>
        <v>16</v>
      </c>
      <c r="G1696" s="24" t="n">
        <f aca="false">Test1_Hand!$B$6*E1696*D1696+Test1_Hand!$B$7*MAX(0,F1696-Test1_Hand!$B$5)</f>
        <v>0</v>
      </c>
      <c r="H1696" s="2" t="n">
        <f aca="false">IF(B1696&lt;Test1_Hand!$B$13,1,0)</f>
        <v>0</v>
      </c>
      <c r="I1696" s="23" t="n">
        <f aca="false">Test1_Hand!$B$4+H1696*D1696</f>
        <v>16</v>
      </c>
      <c r="J1696" s="24" t="n">
        <f aca="false">Test1_Hand!$B$6*H1696*D1696+Test1_Hand!$B$7*MAX(0,I1696-Test1_Hand!$B$5)+Test1_Hand!$B$14</f>
        <v>6000</v>
      </c>
    </row>
    <row r="1697" customFormat="false" ht="15" hidden="false" customHeight="false" outlineLevel="0" collapsed="false">
      <c r="A1697" s="2" t="n">
        <v>1685</v>
      </c>
      <c r="B1697" s="22" t="n">
        <v>0.246223259863486</v>
      </c>
      <c r="C1697" s="22" t="n">
        <v>0.940214199440908</v>
      </c>
      <c r="D1697" s="23" t="n">
        <f aca="false">BETAINV(C1697,Test1_Hand!$B$21,Test1_Hand!$B$22,Test1_Hand!$B$9,Test1_Hand!$B$11)</f>
        <v>5.65584401239926</v>
      </c>
      <c r="E1697" s="2" t="n">
        <f aca="false">IF(B1697&lt;Test1_Hand!$B$12,1,0)</f>
        <v>1</v>
      </c>
      <c r="F1697" s="23" t="n">
        <f aca="false">Test1_Hand!$B$4+E1697*D1697</f>
        <v>21.6558440123993</v>
      </c>
      <c r="G1697" s="24" t="n">
        <f aca="false">Test1_Hand!$B$6*E1697*D1697+Test1_Hand!$B$7*MAX(0,F1697-Test1_Hand!$B$5)</f>
        <v>53525.9721611904</v>
      </c>
      <c r="H1697" s="2" t="n">
        <f aca="false">IF(B1697&lt;Test1_Hand!$B$13,1,0)</f>
        <v>0</v>
      </c>
      <c r="I1697" s="23" t="n">
        <f aca="false">Test1_Hand!$B$4+H1697*D1697</f>
        <v>16</v>
      </c>
      <c r="J1697" s="24" t="n">
        <f aca="false">Test1_Hand!$B$6*H1697*D1697+Test1_Hand!$B$7*MAX(0,I1697-Test1_Hand!$B$5)+Test1_Hand!$B$14</f>
        <v>6000</v>
      </c>
    </row>
    <row r="1698" customFormat="false" ht="15" hidden="false" customHeight="false" outlineLevel="0" collapsed="false">
      <c r="A1698" s="2" t="n">
        <v>1686</v>
      </c>
      <c r="B1698" s="22" t="n">
        <v>0.716917730963276</v>
      </c>
      <c r="C1698" s="22" t="n">
        <v>0.75882930300859</v>
      </c>
      <c r="D1698" s="23" t="n">
        <f aca="false">BETAINV(C1698,Test1_Hand!$B$21,Test1_Hand!$B$22,Test1_Hand!$B$9,Test1_Hand!$B$11)</f>
        <v>4.4170515128096</v>
      </c>
      <c r="E1698" s="2" t="n">
        <f aca="false">IF(B1698&lt;Test1_Hand!$B$12,1,0)</f>
        <v>0</v>
      </c>
      <c r="F1698" s="23" t="n">
        <f aca="false">Test1_Hand!$B$4+E1698*D1698</f>
        <v>16</v>
      </c>
      <c r="G1698" s="24" t="n">
        <f aca="false">Test1_Hand!$B$6*E1698*D1698+Test1_Hand!$B$7*MAX(0,F1698-Test1_Hand!$B$5)</f>
        <v>0</v>
      </c>
      <c r="H1698" s="2" t="n">
        <f aca="false">IF(B1698&lt;Test1_Hand!$B$13,1,0)</f>
        <v>0</v>
      </c>
      <c r="I1698" s="23" t="n">
        <f aca="false">Test1_Hand!$B$4+H1698*D1698</f>
        <v>16</v>
      </c>
      <c r="J1698" s="24" t="n">
        <f aca="false">Test1_Hand!$B$6*H1698*D1698+Test1_Hand!$B$7*MAX(0,I1698-Test1_Hand!$B$5)+Test1_Hand!$B$14</f>
        <v>6000</v>
      </c>
    </row>
    <row r="1699" customFormat="false" ht="15" hidden="false" customHeight="false" outlineLevel="0" collapsed="false">
      <c r="A1699" s="2" t="n">
        <v>1687</v>
      </c>
      <c r="B1699" s="22" t="n">
        <v>0.476067273912205</v>
      </c>
      <c r="C1699" s="22" t="n">
        <v>0.321488709543408</v>
      </c>
      <c r="D1699" s="23" t="n">
        <f aca="false">BETAINV(C1699,Test1_Hand!$B$21,Test1_Hand!$B$22,Test1_Hand!$B$9,Test1_Hand!$B$11)</f>
        <v>2.76528618148872</v>
      </c>
      <c r="E1699" s="2" t="n">
        <f aca="false">IF(B1699&lt;Test1_Hand!$B$12,1,0)</f>
        <v>1</v>
      </c>
      <c r="F1699" s="23" t="n">
        <f aca="false">Test1_Hand!$B$4+E1699*D1699</f>
        <v>18.7652861814887</v>
      </c>
      <c r="G1699" s="24" t="n">
        <f aca="false">Test1_Hand!$B$6*E1699*D1699+Test1_Hand!$B$7*MAX(0,F1699-Test1_Hand!$B$5)</f>
        <v>22122.2894519097</v>
      </c>
      <c r="H1699" s="2" t="n">
        <f aca="false">IF(B1699&lt;Test1_Hand!$B$13,1,0)</f>
        <v>0</v>
      </c>
      <c r="I1699" s="23" t="n">
        <f aca="false">Test1_Hand!$B$4+H1699*D1699</f>
        <v>16</v>
      </c>
      <c r="J1699" s="24" t="n">
        <f aca="false">Test1_Hand!$B$6*H1699*D1699+Test1_Hand!$B$7*MAX(0,I1699-Test1_Hand!$B$5)+Test1_Hand!$B$14</f>
        <v>6000</v>
      </c>
    </row>
    <row r="1700" customFormat="false" ht="15" hidden="false" customHeight="false" outlineLevel="0" collapsed="false">
      <c r="A1700" s="2" t="n">
        <v>1688</v>
      </c>
      <c r="B1700" s="22" t="n">
        <v>0.608168833277339</v>
      </c>
      <c r="C1700" s="22" t="n">
        <v>0.123706885028091</v>
      </c>
      <c r="D1700" s="23" t="n">
        <f aca="false">BETAINV(C1700,Test1_Hand!$B$21,Test1_Hand!$B$22,Test1_Hand!$B$9,Test1_Hand!$B$11)</f>
        <v>2.01420642644318</v>
      </c>
      <c r="E1700" s="2" t="n">
        <f aca="false">IF(B1700&lt;Test1_Hand!$B$12,1,0)</f>
        <v>0</v>
      </c>
      <c r="F1700" s="23" t="n">
        <f aca="false">Test1_Hand!$B$4+E1700*D1700</f>
        <v>16</v>
      </c>
      <c r="G1700" s="24" t="n">
        <f aca="false">Test1_Hand!$B$6*E1700*D1700+Test1_Hand!$B$7*MAX(0,F1700-Test1_Hand!$B$5)</f>
        <v>0</v>
      </c>
      <c r="H1700" s="2" t="n">
        <f aca="false">IF(B1700&lt;Test1_Hand!$B$13,1,0)</f>
        <v>0</v>
      </c>
      <c r="I1700" s="23" t="n">
        <f aca="false">Test1_Hand!$B$4+H1700*D1700</f>
        <v>16</v>
      </c>
      <c r="J1700" s="24" t="n">
        <f aca="false">Test1_Hand!$B$6*H1700*D1700+Test1_Hand!$B$7*MAX(0,I1700-Test1_Hand!$B$5)+Test1_Hand!$B$14</f>
        <v>6000</v>
      </c>
    </row>
    <row r="1701" customFormat="false" ht="15" hidden="false" customHeight="false" outlineLevel="0" collapsed="false">
      <c r="A1701" s="2" t="n">
        <v>1689</v>
      </c>
      <c r="B1701" s="22" t="n">
        <v>0.909104866613537</v>
      </c>
      <c r="C1701" s="22" t="n">
        <v>0.776533106937995</v>
      </c>
      <c r="D1701" s="23" t="n">
        <f aca="false">BETAINV(C1701,Test1_Hand!$B$21,Test1_Hand!$B$22,Test1_Hand!$B$9,Test1_Hand!$B$11)</f>
        <v>4.50421878517908</v>
      </c>
      <c r="E1701" s="2" t="n">
        <f aca="false">IF(B1701&lt;Test1_Hand!$B$12,1,0)</f>
        <v>0</v>
      </c>
      <c r="F1701" s="23" t="n">
        <f aca="false">Test1_Hand!$B$4+E1701*D1701</f>
        <v>16</v>
      </c>
      <c r="G1701" s="24" t="n">
        <f aca="false">Test1_Hand!$B$6*E1701*D1701+Test1_Hand!$B$7*MAX(0,F1701-Test1_Hand!$B$5)</f>
        <v>0</v>
      </c>
      <c r="H1701" s="2" t="n">
        <f aca="false">IF(B1701&lt;Test1_Hand!$B$13,1,0)</f>
        <v>0</v>
      </c>
      <c r="I1701" s="23" t="n">
        <f aca="false">Test1_Hand!$B$4+H1701*D1701</f>
        <v>16</v>
      </c>
      <c r="J1701" s="24" t="n">
        <f aca="false">Test1_Hand!$B$6*H1701*D1701+Test1_Hand!$B$7*MAX(0,I1701-Test1_Hand!$B$5)+Test1_Hand!$B$14</f>
        <v>6000</v>
      </c>
    </row>
    <row r="1702" customFormat="false" ht="15" hidden="false" customHeight="false" outlineLevel="0" collapsed="false">
      <c r="A1702" s="2" t="n">
        <v>1690</v>
      </c>
      <c r="B1702" s="22" t="n">
        <v>0.426249036114323</v>
      </c>
      <c r="C1702" s="22" t="n">
        <v>0.572572425767026</v>
      </c>
      <c r="D1702" s="23" t="n">
        <f aca="false">BETAINV(C1702,Test1_Hand!$B$21,Test1_Hand!$B$22,Test1_Hand!$B$9,Test1_Hand!$B$11)</f>
        <v>3.64433629895664</v>
      </c>
      <c r="E1702" s="2" t="n">
        <f aca="false">IF(B1702&lt;Test1_Hand!$B$12,1,0)</f>
        <v>1</v>
      </c>
      <c r="F1702" s="23" t="n">
        <f aca="false">Test1_Hand!$B$4+E1702*D1702</f>
        <v>19.6443362989566</v>
      </c>
      <c r="G1702" s="24" t="n">
        <f aca="false">Test1_Hand!$B$6*E1702*D1702+Test1_Hand!$B$7*MAX(0,F1702-Test1_Hand!$B$5)</f>
        <v>29154.6903916531</v>
      </c>
      <c r="H1702" s="2" t="n">
        <f aca="false">IF(B1702&lt;Test1_Hand!$B$13,1,0)</f>
        <v>0</v>
      </c>
      <c r="I1702" s="23" t="n">
        <f aca="false">Test1_Hand!$B$4+H1702*D1702</f>
        <v>16</v>
      </c>
      <c r="J1702" s="24" t="n">
        <f aca="false">Test1_Hand!$B$6*H1702*D1702+Test1_Hand!$B$7*MAX(0,I1702-Test1_Hand!$B$5)+Test1_Hand!$B$14</f>
        <v>6000</v>
      </c>
    </row>
    <row r="1703" customFormat="false" ht="15" hidden="false" customHeight="false" outlineLevel="0" collapsed="false">
      <c r="A1703" s="2" t="n">
        <v>1691</v>
      </c>
      <c r="B1703" s="22" t="n">
        <v>0.305010571829865</v>
      </c>
      <c r="C1703" s="22" t="n">
        <v>0.996398234566163</v>
      </c>
      <c r="D1703" s="23" t="n">
        <f aca="false">BETAINV(C1703,Test1_Hand!$B$21,Test1_Hand!$B$22,Test1_Hand!$B$9,Test1_Hand!$B$11)</f>
        <v>6.92691276878355</v>
      </c>
      <c r="E1703" s="2" t="n">
        <f aca="false">IF(B1703&lt;Test1_Hand!$B$12,1,0)</f>
        <v>1</v>
      </c>
      <c r="F1703" s="23" t="n">
        <f aca="false">Test1_Hand!$B$4+E1703*D1703</f>
        <v>22.9269127687836</v>
      </c>
      <c r="G1703" s="24" t="n">
        <f aca="false">Test1_Hand!$B$6*E1703*D1703+Test1_Hand!$B$7*MAX(0,F1703-Test1_Hand!$B$5)</f>
        <v>70049.8659941861</v>
      </c>
      <c r="H1703" s="2" t="n">
        <f aca="false">IF(B1703&lt;Test1_Hand!$B$13,1,0)</f>
        <v>0</v>
      </c>
      <c r="I1703" s="23" t="n">
        <f aca="false">Test1_Hand!$B$4+H1703*D1703</f>
        <v>16</v>
      </c>
      <c r="J1703" s="24" t="n">
        <f aca="false">Test1_Hand!$B$6*H1703*D1703+Test1_Hand!$B$7*MAX(0,I1703-Test1_Hand!$B$5)+Test1_Hand!$B$14</f>
        <v>6000</v>
      </c>
    </row>
    <row r="1704" customFormat="false" ht="15" hidden="false" customHeight="false" outlineLevel="0" collapsed="false">
      <c r="A1704" s="2" t="n">
        <v>1692</v>
      </c>
      <c r="B1704" s="22" t="n">
        <v>0.420465886803954</v>
      </c>
      <c r="C1704" s="22" t="n">
        <v>0.590068165882376</v>
      </c>
      <c r="D1704" s="23" t="n">
        <f aca="false">BETAINV(C1704,Test1_Hand!$B$21,Test1_Hand!$B$22,Test1_Hand!$B$9,Test1_Hand!$B$11)</f>
        <v>3.70957226685272</v>
      </c>
      <c r="E1704" s="2" t="n">
        <f aca="false">IF(B1704&lt;Test1_Hand!$B$12,1,0)</f>
        <v>1</v>
      </c>
      <c r="F1704" s="23" t="n">
        <f aca="false">Test1_Hand!$B$4+E1704*D1704</f>
        <v>19.7095722668527</v>
      </c>
      <c r="G1704" s="24" t="n">
        <f aca="false">Test1_Hand!$B$6*E1704*D1704+Test1_Hand!$B$7*MAX(0,F1704-Test1_Hand!$B$5)</f>
        <v>29676.5781348218</v>
      </c>
      <c r="H1704" s="2" t="n">
        <f aca="false">IF(B1704&lt;Test1_Hand!$B$13,1,0)</f>
        <v>0</v>
      </c>
      <c r="I1704" s="23" t="n">
        <f aca="false">Test1_Hand!$B$4+H1704*D1704</f>
        <v>16</v>
      </c>
      <c r="J1704" s="24" t="n">
        <f aca="false">Test1_Hand!$B$6*H1704*D1704+Test1_Hand!$B$7*MAX(0,I1704-Test1_Hand!$B$5)+Test1_Hand!$B$14</f>
        <v>6000</v>
      </c>
    </row>
    <row r="1705" customFormat="false" ht="15" hidden="false" customHeight="false" outlineLevel="0" collapsed="false">
      <c r="A1705" s="2" t="n">
        <v>1693</v>
      </c>
      <c r="B1705" s="22" t="n">
        <v>0.494922075208769</v>
      </c>
      <c r="C1705" s="22" t="n">
        <v>0.331450235625431</v>
      </c>
      <c r="D1705" s="23" t="n">
        <f aca="false">BETAINV(C1705,Test1_Hand!$B$21,Test1_Hand!$B$22,Test1_Hand!$B$9,Test1_Hand!$B$11)</f>
        <v>2.7998291437294</v>
      </c>
      <c r="E1705" s="2" t="n">
        <f aca="false">IF(B1705&lt;Test1_Hand!$B$12,1,0)</f>
        <v>1</v>
      </c>
      <c r="F1705" s="23" t="n">
        <f aca="false">Test1_Hand!$B$4+E1705*D1705</f>
        <v>18.7998291437294</v>
      </c>
      <c r="G1705" s="24" t="n">
        <f aca="false">Test1_Hand!$B$6*E1705*D1705+Test1_Hand!$B$7*MAX(0,F1705-Test1_Hand!$B$5)</f>
        <v>22398.6331498352</v>
      </c>
      <c r="H1705" s="2" t="n">
        <f aca="false">IF(B1705&lt;Test1_Hand!$B$13,1,0)</f>
        <v>0</v>
      </c>
      <c r="I1705" s="23" t="n">
        <f aca="false">Test1_Hand!$B$4+H1705*D1705</f>
        <v>16</v>
      </c>
      <c r="J1705" s="24" t="n">
        <f aca="false">Test1_Hand!$B$6*H1705*D1705+Test1_Hand!$B$7*MAX(0,I1705-Test1_Hand!$B$5)+Test1_Hand!$B$14</f>
        <v>6000</v>
      </c>
    </row>
    <row r="1706" customFormat="false" ht="15" hidden="false" customHeight="false" outlineLevel="0" collapsed="false">
      <c r="A1706" s="2" t="n">
        <v>1694</v>
      </c>
      <c r="B1706" s="22" t="n">
        <v>0.592227145889259</v>
      </c>
      <c r="C1706" s="22" t="n">
        <v>0.0709888847411653</v>
      </c>
      <c r="D1706" s="23" t="n">
        <f aca="false">BETAINV(C1706,Test1_Hand!$B$21,Test1_Hand!$B$22,Test1_Hand!$B$9,Test1_Hand!$B$11)</f>
        <v>1.7549353297099</v>
      </c>
      <c r="E1706" s="2" t="n">
        <f aca="false">IF(B1706&lt;Test1_Hand!$B$12,1,0)</f>
        <v>0</v>
      </c>
      <c r="F1706" s="23" t="n">
        <f aca="false">Test1_Hand!$B$4+E1706*D1706</f>
        <v>16</v>
      </c>
      <c r="G1706" s="24" t="n">
        <f aca="false">Test1_Hand!$B$6*E1706*D1706+Test1_Hand!$B$7*MAX(0,F1706-Test1_Hand!$B$5)</f>
        <v>0</v>
      </c>
      <c r="H1706" s="2" t="n">
        <f aca="false">IF(B1706&lt;Test1_Hand!$B$13,1,0)</f>
        <v>0</v>
      </c>
      <c r="I1706" s="23" t="n">
        <f aca="false">Test1_Hand!$B$4+H1706*D1706</f>
        <v>16</v>
      </c>
      <c r="J1706" s="24" t="n">
        <f aca="false">Test1_Hand!$B$6*H1706*D1706+Test1_Hand!$B$7*MAX(0,I1706-Test1_Hand!$B$5)+Test1_Hand!$B$14</f>
        <v>6000</v>
      </c>
    </row>
    <row r="1707" customFormat="false" ht="15" hidden="false" customHeight="false" outlineLevel="0" collapsed="false">
      <c r="A1707" s="2" t="n">
        <v>1695</v>
      </c>
      <c r="B1707" s="22" t="n">
        <v>0.768388112539536</v>
      </c>
      <c r="C1707" s="22" t="n">
        <v>0.0945707237657827</v>
      </c>
      <c r="D1707" s="23" t="n">
        <f aca="false">BETAINV(C1707,Test1_Hand!$B$21,Test1_Hand!$B$22,Test1_Hand!$B$9,Test1_Hand!$B$11)</f>
        <v>1.87785754220003</v>
      </c>
      <c r="E1707" s="2" t="n">
        <f aca="false">IF(B1707&lt;Test1_Hand!$B$12,1,0)</f>
        <v>0</v>
      </c>
      <c r="F1707" s="23" t="n">
        <f aca="false">Test1_Hand!$B$4+E1707*D1707</f>
        <v>16</v>
      </c>
      <c r="G1707" s="24" t="n">
        <f aca="false">Test1_Hand!$B$6*E1707*D1707+Test1_Hand!$B$7*MAX(0,F1707-Test1_Hand!$B$5)</f>
        <v>0</v>
      </c>
      <c r="H1707" s="2" t="n">
        <f aca="false">IF(B1707&lt;Test1_Hand!$B$13,1,0)</f>
        <v>0</v>
      </c>
      <c r="I1707" s="23" t="n">
        <f aca="false">Test1_Hand!$B$4+H1707*D1707</f>
        <v>16</v>
      </c>
      <c r="J1707" s="24" t="n">
        <f aca="false">Test1_Hand!$B$6*H1707*D1707+Test1_Hand!$B$7*MAX(0,I1707-Test1_Hand!$B$5)+Test1_Hand!$B$14</f>
        <v>6000</v>
      </c>
    </row>
    <row r="1708" customFormat="false" ht="15" hidden="false" customHeight="false" outlineLevel="0" collapsed="false">
      <c r="A1708" s="2" t="n">
        <v>1696</v>
      </c>
      <c r="B1708" s="22" t="n">
        <v>0.436864821747736</v>
      </c>
      <c r="C1708" s="22" t="n">
        <v>0.973506172027336</v>
      </c>
      <c r="D1708" s="23" t="n">
        <f aca="false">BETAINV(C1708,Test1_Hand!$B$21,Test1_Hand!$B$22,Test1_Hand!$B$9,Test1_Hand!$B$11)</f>
        <v>6.14197009979787</v>
      </c>
      <c r="E1708" s="2" t="n">
        <f aca="false">IF(B1708&lt;Test1_Hand!$B$12,1,0)</f>
        <v>1</v>
      </c>
      <c r="F1708" s="23" t="n">
        <f aca="false">Test1_Hand!$B$4+E1708*D1708</f>
        <v>22.1419700997979</v>
      </c>
      <c r="G1708" s="24" t="n">
        <f aca="false">Test1_Hand!$B$6*E1708*D1708+Test1_Hand!$B$7*MAX(0,F1708-Test1_Hand!$B$5)</f>
        <v>59845.6112973724</v>
      </c>
      <c r="H1708" s="2" t="n">
        <f aca="false">IF(B1708&lt;Test1_Hand!$B$13,1,0)</f>
        <v>0</v>
      </c>
      <c r="I1708" s="23" t="n">
        <f aca="false">Test1_Hand!$B$4+H1708*D1708</f>
        <v>16</v>
      </c>
      <c r="J1708" s="24" t="n">
        <f aca="false">Test1_Hand!$B$6*H1708*D1708+Test1_Hand!$B$7*MAX(0,I1708-Test1_Hand!$B$5)+Test1_Hand!$B$14</f>
        <v>6000</v>
      </c>
    </row>
    <row r="1709" customFormat="false" ht="15" hidden="false" customHeight="false" outlineLevel="0" collapsed="false">
      <c r="A1709" s="2" t="n">
        <v>1697</v>
      </c>
      <c r="B1709" s="22" t="n">
        <v>0.581025950829139</v>
      </c>
      <c r="C1709" s="22" t="n">
        <v>0.876952317415568</v>
      </c>
      <c r="D1709" s="23" t="n">
        <f aca="false">BETAINV(C1709,Test1_Hand!$B$21,Test1_Hand!$B$22,Test1_Hand!$B$9,Test1_Hand!$B$11)</f>
        <v>5.09707287247675</v>
      </c>
      <c r="E1709" s="2" t="n">
        <f aca="false">IF(B1709&lt;Test1_Hand!$B$12,1,0)</f>
        <v>0</v>
      </c>
      <c r="F1709" s="23" t="n">
        <f aca="false">Test1_Hand!$B$4+E1709*D1709</f>
        <v>16</v>
      </c>
      <c r="G1709" s="24" t="n">
        <f aca="false">Test1_Hand!$B$6*E1709*D1709+Test1_Hand!$B$7*MAX(0,F1709-Test1_Hand!$B$5)</f>
        <v>0</v>
      </c>
      <c r="H1709" s="2" t="n">
        <f aca="false">IF(B1709&lt;Test1_Hand!$B$13,1,0)</f>
        <v>0</v>
      </c>
      <c r="I1709" s="23" t="n">
        <f aca="false">Test1_Hand!$B$4+H1709*D1709</f>
        <v>16</v>
      </c>
      <c r="J1709" s="24" t="n">
        <f aca="false">Test1_Hand!$B$6*H1709*D1709+Test1_Hand!$B$7*MAX(0,I1709-Test1_Hand!$B$5)+Test1_Hand!$B$14</f>
        <v>6000</v>
      </c>
    </row>
    <row r="1710" customFormat="false" ht="15" hidden="false" customHeight="false" outlineLevel="0" collapsed="false">
      <c r="A1710" s="2" t="n">
        <v>1698</v>
      </c>
      <c r="B1710" s="22" t="n">
        <v>0.159309541844328</v>
      </c>
      <c r="C1710" s="22" t="n">
        <v>0.043280155770731</v>
      </c>
      <c r="D1710" s="23" t="n">
        <f aca="false">BETAINV(C1710,Test1_Hand!$B$21,Test1_Hand!$B$22,Test1_Hand!$B$9,Test1_Hand!$B$11)</f>
        <v>1.58554697251409</v>
      </c>
      <c r="E1710" s="2" t="n">
        <f aca="false">IF(B1710&lt;Test1_Hand!$B$12,1,0)</f>
        <v>1</v>
      </c>
      <c r="F1710" s="23" t="n">
        <f aca="false">Test1_Hand!$B$4+E1710*D1710</f>
        <v>17.5855469725141</v>
      </c>
      <c r="G1710" s="24" t="n">
        <f aca="false">Test1_Hand!$B$6*E1710*D1710+Test1_Hand!$B$7*MAX(0,F1710-Test1_Hand!$B$5)</f>
        <v>12684.3757801127</v>
      </c>
      <c r="H1710" s="2" t="n">
        <f aca="false">IF(B1710&lt;Test1_Hand!$B$13,1,0)</f>
        <v>1</v>
      </c>
      <c r="I1710" s="23" t="n">
        <f aca="false">Test1_Hand!$B$4+H1710*D1710</f>
        <v>17.5855469725141</v>
      </c>
      <c r="J1710" s="24" t="n">
        <f aca="false">Test1_Hand!$B$6*H1710*D1710+Test1_Hand!$B$7*MAX(0,I1710-Test1_Hand!$B$5)+Test1_Hand!$B$14</f>
        <v>18684.3757801127</v>
      </c>
    </row>
    <row r="1711" customFormat="false" ht="15" hidden="false" customHeight="false" outlineLevel="0" collapsed="false">
      <c r="A1711" s="2" t="n">
        <v>1699</v>
      </c>
      <c r="B1711" s="22" t="n">
        <v>0.821380025962772</v>
      </c>
      <c r="C1711" s="22" t="n">
        <v>0.954114896394367</v>
      </c>
      <c r="D1711" s="23" t="n">
        <f aca="false">BETAINV(C1711,Test1_Hand!$B$21,Test1_Hand!$B$22,Test1_Hand!$B$9,Test1_Hand!$B$11)</f>
        <v>5.82821181007143</v>
      </c>
      <c r="E1711" s="2" t="n">
        <f aca="false">IF(B1711&lt;Test1_Hand!$B$12,1,0)</f>
        <v>0</v>
      </c>
      <c r="F1711" s="23" t="n">
        <f aca="false">Test1_Hand!$B$4+E1711*D1711</f>
        <v>16</v>
      </c>
      <c r="G1711" s="24" t="n">
        <f aca="false">Test1_Hand!$B$6*E1711*D1711+Test1_Hand!$B$7*MAX(0,F1711-Test1_Hand!$B$5)</f>
        <v>0</v>
      </c>
      <c r="H1711" s="2" t="n">
        <f aca="false">IF(B1711&lt;Test1_Hand!$B$13,1,0)</f>
        <v>0</v>
      </c>
      <c r="I1711" s="23" t="n">
        <f aca="false">Test1_Hand!$B$4+H1711*D1711</f>
        <v>16</v>
      </c>
      <c r="J1711" s="24" t="n">
        <f aca="false">Test1_Hand!$B$6*H1711*D1711+Test1_Hand!$B$7*MAX(0,I1711-Test1_Hand!$B$5)+Test1_Hand!$B$14</f>
        <v>6000</v>
      </c>
    </row>
    <row r="1712" customFormat="false" ht="15" hidden="false" customHeight="false" outlineLevel="0" collapsed="false">
      <c r="A1712" s="2" t="n">
        <v>1700</v>
      </c>
      <c r="B1712" s="22" t="n">
        <v>0.651128827514943</v>
      </c>
      <c r="C1712" s="22" t="n">
        <v>0.731952625799821</v>
      </c>
      <c r="D1712" s="23" t="n">
        <f aca="false">BETAINV(C1712,Test1_Hand!$B$21,Test1_Hand!$B$22,Test1_Hand!$B$9,Test1_Hand!$B$11)</f>
        <v>4.29104434359534</v>
      </c>
      <c r="E1712" s="2" t="n">
        <f aca="false">IF(B1712&lt;Test1_Hand!$B$12,1,0)</f>
        <v>0</v>
      </c>
      <c r="F1712" s="23" t="n">
        <f aca="false">Test1_Hand!$B$4+E1712*D1712</f>
        <v>16</v>
      </c>
      <c r="G1712" s="24" t="n">
        <f aca="false">Test1_Hand!$B$6*E1712*D1712+Test1_Hand!$B$7*MAX(0,F1712-Test1_Hand!$B$5)</f>
        <v>0</v>
      </c>
      <c r="H1712" s="2" t="n">
        <f aca="false">IF(B1712&lt;Test1_Hand!$B$13,1,0)</f>
        <v>0</v>
      </c>
      <c r="I1712" s="23" t="n">
        <f aca="false">Test1_Hand!$B$4+H1712*D1712</f>
        <v>16</v>
      </c>
      <c r="J1712" s="24" t="n">
        <f aca="false">Test1_Hand!$B$6*H1712*D1712+Test1_Hand!$B$7*MAX(0,I1712-Test1_Hand!$B$5)+Test1_Hand!$B$14</f>
        <v>6000</v>
      </c>
    </row>
    <row r="1713" customFormat="false" ht="15" hidden="false" customHeight="false" outlineLevel="0" collapsed="false">
      <c r="A1713" s="2" t="n">
        <v>1701</v>
      </c>
      <c r="B1713" s="22" t="n">
        <v>0.732224257142707</v>
      </c>
      <c r="C1713" s="22" t="n">
        <v>0.719264750504198</v>
      </c>
      <c r="D1713" s="23" t="n">
        <f aca="false">BETAINV(C1713,Test1_Hand!$B$21,Test1_Hand!$B$22,Test1_Hand!$B$9,Test1_Hand!$B$11)</f>
        <v>4.23385217378728</v>
      </c>
      <c r="E1713" s="2" t="n">
        <f aca="false">IF(B1713&lt;Test1_Hand!$B$12,1,0)</f>
        <v>0</v>
      </c>
      <c r="F1713" s="23" t="n">
        <f aca="false">Test1_Hand!$B$4+E1713*D1713</f>
        <v>16</v>
      </c>
      <c r="G1713" s="24" t="n">
        <f aca="false">Test1_Hand!$B$6*E1713*D1713+Test1_Hand!$B$7*MAX(0,F1713-Test1_Hand!$B$5)</f>
        <v>0</v>
      </c>
      <c r="H1713" s="2" t="n">
        <f aca="false">IF(B1713&lt;Test1_Hand!$B$13,1,0)</f>
        <v>0</v>
      </c>
      <c r="I1713" s="23" t="n">
        <f aca="false">Test1_Hand!$B$4+H1713*D1713</f>
        <v>16</v>
      </c>
      <c r="J1713" s="24" t="n">
        <f aca="false">Test1_Hand!$B$6*H1713*D1713+Test1_Hand!$B$7*MAX(0,I1713-Test1_Hand!$B$5)+Test1_Hand!$B$14</f>
        <v>6000</v>
      </c>
    </row>
    <row r="1714" customFormat="false" ht="15" hidden="false" customHeight="false" outlineLevel="0" collapsed="false">
      <c r="A1714" s="2" t="n">
        <v>1702</v>
      </c>
      <c r="B1714" s="22" t="n">
        <v>0.525149531432851</v>
      </c>
      <c r="C1714" s="22" t="n">
        <v>0.345555885139846</v>
      </c>
      <c r="D1714" s="23" t="n">
        <f aca="false">BETAINV(C1714,Test1_Hand!$B$21,Test1_Hand!$B$22,Test1_Hand!$B$9,Test1_Hand!$B$11)</f>
        <v>2.84857276803665</v>
      </c>
      <c r="E1714" s="2" t="n">
        <f aca="false">IF(B1714&lt;Test1_Hand!$B$12,1,0)</f>
        <v>0</v>
      </c>
      <c r="F1714" s="23" t="n">
        <f aca="false">Test1_Hand!$B$4+E1714*D1714</f>
        <v>16</v>
      </c>
      <c r="G1714" s="24" t="n">
        <f aca="false">Test1_Hand!$B$6*E1714*D1714+Test1_Hand!$B$7*MAX(0,F1714-Test1_Hand!$B$5)</f>
        <v>0</v>
      </c>
      <c r="H1714" s="2" t="n">
        <f aca="false">IF(B1714&lt;Test1_Hand!$B$13,1,0)</f>
        <v>0</v>
      </c>
      <c r="I1714" s="23" t="n">
        <f aca="false">Test1_Hand!$B$4+H1714*D1714</f>
        <v>16</v>
      </c>
      <c r="J1714" s="24" t="n">
        <f aca="false">Test1_Hand!$B$6*H1714*D1714+Test1_Hand!$B$7*MAX(0,I1714-Test1_Hand!$B$5)+Test1_Hand!$B$14</f>
        <v>6000</v>
      </c>
    </row>
    <row r="1715" customFormat="false" ht="15" hidden="false" customHeight="false" outlineLevel="0" collapsed="false">
      <c r="A1715" s="2" t="n">
        <v>1703</v>
      </c>
      <c r="B1715" s="22" t="n">
        <v>0.417325090123263</v>
      </c>
      <c r="C1715" s="22" t="n">
        <v>0.800495668389528</v>
      </c>
      <c r="D1715" s="23" t="n">
        <f aca="false">BETAINV(C1715,Test1_Hand!$B$21,Test1_Hand!$B$22,Test1_Hand!$B$9,Test1_Hand!$B$11)</f>
        <v>4.62853392730204</v>
      </c>
      <c r="E1715" s="2" t="n">
        <f aca="false">IF(B1715&lt;Test1_Hand!$B$12,1,0)</f>
        <v>1</v>
      </c>
      <c r="F1715" s="23" t="n">
        <f aca="false">Test1_Hand!$B$4+E1715*D1715</f>
        <v>20.628533927302</v>
      </c>
      <c r="G1715" s="24" t="n">
        <f aca="false">Test1_Hand!$B$6*E1715*D1715+Test1_Hand!$B$7*MAX(0,F1715-Test1_Hand!$B$5)</f>
        <v>40170.9410549265</v>
      </c>
      <c r="H1715" s="2" t="n">
        <f aca="false">IF(B1715&lt;Test1_Hand!$B$13,1,0)</f>
        <v>0</v>
      </c>
      <c r="I1715" s="23" t="n">
        <f aca="false">Test1_Hand!$B$4+H1715*D1715</f>
        <v>16</v>
      </c>
      <c r="J1715" s="24" t="n">
        <f aca="false">Test1_Hand!$B$6*H1715*D1715+Test1_Hand!$B$7*MAX(0,I1715-Test1_Hand!$B$5)+Test1_Hand!$B$14</f>
        <v>6000</v>
      </c>
    </row>
    <row r="1716" customFormat="false" ht="15" hidden="false" customHeight="false" outlineLevel="0" collapsed="false">
      <c r="A1716" s="2" t="n">
        <v>1704</v>
      </c>
      <c r="B1716" s="22" t="n">
        <v>0.731034612576262</v>
      </c>
      <c r="C1716" s="22" t="n">
        <v>0.00212428817450838</v>
      </c>
      <c r="D1716" s="23" t="n">
        <f aca="false">BETAINV(C1716,Test1_Hand!$B$21,Test1_Hand!$B$22,Test1_Hand!$B$9,Test1_Hand!$B$11)</f>
        <v>1.1350624205205</v>
      </c>
      <c r="E1716" s="2" t="n">
        <f aca="false">IF(B1716&lt;Test1_Hand!$B$12,1,0)</f>
        <v>0</v>
      </c>
      <c r="F1716" s="23" t="n">
        <f aca="false">Test1_Hand!$B$4+E1716*D1716</f>
        <v>16</v>
      </c>
      <c r="G1716" s="24" t="n">
        <f aca="false">Test1_Hand!$B$6*E1716*D1716+Test1_Hand!$B$7*MAX(0,F1716-Test1_Hand!$B$5)</f>
        <v>0</v>
      </c>
      <c r="H1716" s="2" t="n">
        <f aca="false">IF(B1716&lt;Test1_Hand!$B$13,1,0)</f>
        <v>0</v>
      </c>
      <c r="I1716" s="23" t="n">
        <f aca="false">Test1_Hand!$B$4+H1716*D1716</f>
        <v>16</v>
      </c>
      <c r="J1716" s="24" t="n">
        <f aca="false">Test1_Hand!$B$6*H1716*D1716+Test1_Hand!$B$7*MAX(0,I1716-Test1_Hand!$B$5)+Test1_Hand!$B$14</f>
        <v>6000</v>
      </c>
    </row>
    <row r="1717" customFormat="false" ht="15" hidden="false" customHeight="false" outlineLevel="0" collapsed="false">
      <c r="A1717" s="2" t="n">
        <v>1705</v>
      </c>
      <c r="B1717" s="22" t="n">
        <v>0.359614683772634</v>
      </c>
      <c r="C1717" s="22" t="n">
        <v>0.395665788163181</v>
      </c>
      <c r="D1717" s="23" t="n">
        <f aca="false">BETAINV(C1717,Test1_Hand!$B$21,Test1_Hand!$B$22,Test1_Hand!$B$9,Test1_Hand!$B$11)</f>
        <v>3.02085505830324</v>
      </c>
      <c r="E1717" s="2" t="n">
        <f aca="false">IF(B1717&lt;Test1_Hand!$B$12,1,0)</f>
        <v>1</v>
      </c>
      <c r="F1717" s="23" t="n">
        <f aca="false">Test1_Hand!$B$4+E1717*D1717</f>
        <v>19.0208550583032</v>
      </c>
      <c r="G1717" s="24" t="n">
        <f aca="false">Test1_Hand!$B$6*E1717*D1717+Test1_Hand!$B$7*MAX(0,F1717-Test1_Hand!$B$5)</f>
        <v>24166.8404664259</v>
      </c>
      <c r="H1717" s="2" t="n">
        <f aca="false">IF(B1717&lt;Test1_Hand!$B$13,1,0)</f>
        <v>0</v>
      </c>
      <c r="I1717" s="23" t="n">
        <f aca="false">Test1_Hand!$B$4+H1717*D1717</f>
        <v>16</v>
      </c>
      <c r="J1717" s="24" t="n">
        <f aca="false">Test1_Hand!$B$6*H1717*D1717+Test1_Hand!$B$7*MAX(0,I1717-Test1_Hand!$B$5)+Test1_Hand!$B$14</f>
        <v>6000</v>
      </c>
    </row>
    <row r="1718" customFormat="false" ht="15" hidden="false" customHeight="false" outlineLevel="0" collapsed="false">
      <c r="A1718" s="2" t="n">
        <v>1706</v>
      </c>
      <c r="B1718" s="22" t="n">
        <v>0.360159606750513</v>
      </c>
      <c r="C1718" s="22" t="n">
        <v>0.135288150255977</v>
      </c>
      <c r="D1718" s="23" t="n">
        <f aca="false">BETAINV(C1718,Test1_Hand!$B$21,Test1_Hand!$B$22,Test1_Hand!$B$9,Test1_Hand!$B$11)</f>
        <v>2.06505104933663</v>
      </c>
      <c r="E1718" s="2" t="n">
        <f aca="false">IF(B1718&lt;Test1_Hand!$B$12,1,0)</f>
        <v>1</v>
      </c>
      <c r="F1718" s="23" t="n">
        <f aca="false">Test1_Hand!$B$4+E1718*D1718</f>
        <v>18.0650510493366</v>
      </c>
      <c r="G1718" s="24" t="n">
        <f aca="false">Test1_Hand!$B$6*E1718*D1718+Test1_Hand!$B$7*MAX(0,F1718-Test1_Hand!$B$5)</f>
        <v>16520.4083946931</v>
      </c>
      <c r="H1718" s="2" t="n">
        <f aca="false">IF(B1718&lt;Test1_Hand!$B$13,1,0)</f>
        <v>0</v>
      </c>
      <c r="I1718" s="23" t="n">
        <f aca="false">Test1_Hand!$B$4+H1718*D1718</f>
        <v>16</v>
      </c>
      <c r="J1718" s="24" t="n">
        <f aca="false">Test1_Hand!$B$6*H1718*D1718+Test1_Hand!$B$7*MAX(0,I1718-Test1_Hand!$B$5)+Test1_Hand!$B$14</f>
        <v>6000</v>
      </c>
    </row>
    <row r="1719" customFormat="false" ht="15" hidden="false" customHeight="false" outlineLevel="0" collapsed="false">
      <c r="A1719" s="2" t="n">
        <v>1707</v>
      </c>
      <c r="B1719" s="22" t="n">
        <v>0.272456629739294</v>
      </c>
      <c r="C1719" s="22" t="n">
        <v>0.584165089121402</v>
      </c>
      <c r="D1719" s="23" t="n">
        <f aca="false">BETAINV(C1719,Test1_Hand!$B$21,Test1_Hand!$B$22,Test1_Hand!$B$9,Test1_Hand!$B$11)</f>
        <v>3.68744959048306</v>
      </c>
      <c r="E1719" s="2" t="n">
        <f aca="false">IF(B1719&lt;Test1_Hand!$B$12,1,0)</f>
        <v>1</v>
      </c>
      <c r="F1719" s="23" t="n">
        <f aca="false">Test1_Hand!$B$4+E1719*D1719</f>
        <v>19.6874495904831</v>
      </c>
      <c r="G1719" s="24" t="n">
        <f aca="false">Test1_Hand!$B$6*E1719*D1719+Test1_Hand!$B$7*MAX(0,F1719-Test1_Hand!$B$5)</f>
        <v>29499.5967238645</v>
      </c>
      <c r="H1719" s="2" t="n">
        <f aca="false">IF(B1719&lt;Test1_Hand!$B$13,1,0)</f>
        <v>0</v>
      </c>
      <c r="I1719" s="23" t="n">
        <f aca="false">Test1_Hand!$B$4+H1719*D1719</f>
        <v>16</v>
      </c>
      <c r="J1719" s="24" t="n">
        <f aca="false">Test1_Hand!$B$6*H1719*D1719+Test1_Hand!$B$7*MAX(0,I1719-Test1_Hand!$B$5)+Test1_Hand!$B$14</f>
        <v>6000</v>
      </c>
    </row>
    <row r="1720" customFormat="false" ht="15" hidden="false" customHeight="false" outlineLevel="0" collapsed="false">
      <c r="A1720" s="2" t="n">
        <v>1708</v>
      </c>
      <c r="B1720" s="22" t="n">
        <v>0.218257971739347</v>
      </c>
      <c r="C1720" s="22" t="n">
        <v>0.14879331635713</v>
      </c>
      <c r="D1720" s="23" t="n">
        <f aca="false">BETAINV(C1720,Test1_Hand!$B$21,Test1_Hand!$B$22,Test1_Hand!$B$9,Test1_Hand!$B$11)</f>
        <v>2.1224790043906</v>
      </c>
      <c r="E1720" s="2" t="n">
        <f aca="false">IF(B1720&lt;Test1_Hand!$B$12,1,0)</f>
        <v>1</v>
      </c>
      <c r="F1720" s="23" t="n">
        <f aca="false">Test1_Hand!$B$4+E1720*D1720</f>
        <v>18.1224790043906</v>
      </c>
      <c r="G1720" s="24" t="n">
        <f aca="false">Test1_Hand!$B$6*E1720*D1720+Test1_Hand!$B$7*MAX(0,F1720-Test1_Hand!$B$5)</f>
        <v>16979.8320351248</v>
      </c>
      <c r="H1720" s="2" t="n">
        <f aca="false">IF(B1720&lt;Test1_Hand!$B$13,1,0)</f>
        <v>0</v>
      </c>
      <c r="I1720" s="23" t="n">
        <f aca="false">Test1_Hand!$B$4+H1720*D1720</f>
        <v>16</v>
      </c>
      <c r="J1720" s="24" t="n">
        <f aca="false">Test1_Hand!$B$6*H1720*D1720+Test1_Hand!$B$7*MAX(0,I1720-Test1_Hand!$B$5)+Test1_Hand!$B$14</f>
        <v>6000</v>
      </c>
    </row>
    <row r="1721" customFormat="false" ht="15" hidden="false" customHeight="false" outlineLevel="0" collapsed="false">
      <c r="A1721" s="2" t="n">
        <v>1709</v>
      </c>
      <c r="B1721" s="22" t="n">
        <v>0.111614719583084</v>
      </c>
      <c r="C1721" s="22" t="n">
        <v>0.863178630502983</v>
      </c>
      <c r="D1721" s="23" t="n">
        <f aca="false">BETAINV(C1721,Test1_Hand!$B$21,Test1_Hand!$B$22,Test1_Hand!$B$9,Test1_Hand!$B$11)</f>
        <v>5.00177282006653</v>
      </c>
      <c r="E1721" s="2" t="n">
        <f aca="false">IF(B1721&lt;Test1_Hand!$B$12,1,0)</f>
        <v>1</v>
      </c>
      <c r="F1721" s="23" t="n">
        <f aca="false">Test1_Hand!$B$4+E1721*D1721</f>
        <v>21.0017728200665</v>
      </c>
      <c r="G1721" s="24" t="n">
        <f aca="false">Test1_Hand!$B$6*E1721*D1721+Test1_Hand!$B$7*MAX(0,F1721-Test1_Hand!$B$5)</f>
        <v>45023.0466608648</v>
      </c>
      <c r="H1721" s="2" t="n">
        <f aca="false">IF(B1721&lt;Test1_Hand!$B$13,1,0)</f>
        <v>1</v>
      </c>
      <c r="I1721" s="23" t="n">
        <f aca="false">Test1_Hand!$B$4+H1721*D1721</f>
        <v>21.0017728200665</v>
      </c>
      <c r="J1721" s="24" t="n">
        <f aca="false">Test1_Hand!$B$6*H1721*D1721+Test1_Hand!$B$7*MAX(0,I1721-Test1_Hand!$B$5)+Test1_Hand!$B$14</f>
        <v>51023.0466608648</v>
      </c>
    </row>
    <row r="1722" customFormat="false" ht="15" hidden="false" customHeight="false" outlineLevel="0" collapsed="false">
      <c r="A1722" s="2" t="n">
        <v>1710</v>
      </c>
      <c r="B1722" s="22" t="n">
        <v>0.610379679780071</v>
      </c>
      <c r="C1722" s="22" t="n">
        <v>0.429837184454319</v>
      </c>
      <c r="D1722" s="23" t="n">
        <f aca="false">BETAINV(C1722,Test1_Hand!$B$21,Test1_Hand!$B$22,Test1_Hand!$B$9,Test1_Hand!$B$11)</f>
        <v>3.13834977416723</v>
      </c>
      <c r="E1722" s="2" t="n">
        <f aca="false">IF(B1722&lt;Test1_Hand!$B$12,1,0)</f>
        <v>0</v>
      </c>
      <c r="F1722" s="23" t="n">
        <f aca="false">Test1_Hand!$B$4+E1722*D1722</f>
        <v>16</v>
      </c>
      <c r="G1722" s="24" t="n">
        <f aca="false">Test1_Hand!$B$6*E1722*D1722+Test1_Hand!$B$7*MAX(0,F1722-Test1_Hand!$B$5)</f>
        <v>0</v>
      </c>
      <c r="H1722" s="2" t="n">
        <f aca="false">IF(B1722&lt;Test1_Hand!$B$13,1,0)</f>
        <v>0</v>
      </c>
      <c r="I1722" s="23" t="n">
        <f aca="false">Test1_Hand!$B$4+H1722*D1722</f>
        <v>16</v>
      </c>
      <c r="J1722" s="24" t="n">
        <f aca="false">Test1_Hand!$B$6*H1722*D1722+Test1_Hand!$B$7*MAX(0,I1722-Test1_Hand!$B$5)+Test1_Hand!$B$14</f>
        <v>6000</v>
      </c>
    </row>
    <row r="1723" customFormat="false" ht="15" hidden="false" customHeight="false" outlineLevel="0" collapsed="false">
      <c r="A1723" s="2" t="n">
        <v>1711</v>
      </c>
      <c r="B1723" s="22" t="n">
        <v>0.38854447296611</v>
      </c>
      <c r="C1723" s="22" t="n">
        <v>0.719077900417698</v>
      </c>
      <c r="D1723" s="23" t="n">
        <f aca="false">BETAINV(C1723,Test1_Hand!$B$21,Test1_Hand!$B$22,Test1_Hand!$B$9,Test1_Hand!$B$11)</f>
        <v>4.23301988977606</v>
      </c>
      <c r="E1723" s="2" t="n">
        <f aca="false">IF(B1723&lt;Test1_Hand!$B$12,1,0)</f>
        <v>1</v>
      </c>
      <c r="F1723" s="23" t="n">
        <f aca="false">Test1_Hand!$B$4+E1723*D1723</f>
        <v>20.2330198897761</v>
      </c>
      <c r="G1723" s="24" t="n">
        <f aca="false">Test1_Hand!$B$6*E1723*D1723+Test1_Hand!$B$7*MAX(0,F1723-Test1_Hand!$B$5)</f>
        <v>35029.2585670888</v>
      </c>
      <c r="H1723" s="2" t="n">
        <f aca="false">IF(B1723&lt;Test1_Hand!$B$13,1,0)</f>
        <v>0</v>
      </c>
      <c r="I1723" s="23" t="n">
        <f aca="false">Test1_Hand!$B$4+H1723*D1723</f>
        <v>16</v>
      </c>
      <c r="J1723" s="24" t="n">
        <f aca="false">Test1_Hand!$B$6*H1723*D1723+Test1_Hand!$B$7*MAX(0,I1723-Test1_Hand!$B$5)+Test1_Hand!$B$14</f>
        <v>6000</v>
      </c>
    </row>
    <row r="1724" customFormat="false" ht="15" hidden="false" customHeight="false" outlineLevel="0" collapsed="false">
      <c r="A1724" s="2" t="n">
        <v>1712</v>
      </c>
      <c r="B1724" s="22" t="n">
        <v>0.202420307014529</v>
      </c>
      <c r="C1724" s="22" t="n">
        <v>0.460603132352724</v>
      </c>
      <c r="D1724" s="23" t="n">
        <f aca="false">BETAINV(C1724,Test1_Hand!$B$21,Test1_Hand!$B$22,Test1_Hand!$B$9,Test1_Hand!$B$11)</f>
        <v>3.24474862337434</v>
      </c>
      <c r="E1724" s="2" t="n">
        <f aca="false">IF(B1724&lt;Test1_Hand!$B$12,1,0)</f>
        <v>1</v>
      </c>
      <c r="F1724" s="23" t="n">
        <f aca="false">Test1_Hand!$B$4+E1724*D1724</f>
        <v>19.2447486233743</v>
      </c>
      <c r="G1724" s="24" t="n">
        <f aca="false">Test1_Hand!$B$6*E1724*D1724+Test1_Hand!$B$7*MAX(0,F1724-Test1_Hand!$B$5)</f>
        <v>25957.9889869947</v>
      </c>
      <c r="H1724" s="2" t="n">
        <f aca="false">IF(B1724&lt;Test1_Hand!$B$13,1,0)</f>
        <v>0</v>
      </c>
      <c r="I1724" s="23" t="n">
        <f aca="false">Test1_Hand!$B$4+H1724*D1724</f>
        <v>16</v>
      </c>
      <c r="J1724" s="24" t="n">
        <f aca="false">Test1_Hand!$B$6*H1724*D1724+Test1_Hand!$B$7*MAX(0,I1724-Test1_Hand!$B$5)+Test1_Hand!$B$14</f>
        <v>6000</v>
      </c>
    </row>
    <row r="1725" customFormat="false" ht="15" hidden="false" customHeight="false" outlineLevel="0" collapsed="false">
      <c r="A1725" s="2" t="n">
        <v>1713</v>
      </c>
      <c r="B1725" s="22" t="n">
        <v>0.457522109286319</v>
      </c>
      <c r="C1725" s="22" t="n">
        <v>0.270795962469579</v>
      </c>
      <c r="D1725" s="23" t="n">
        <f aca="false">BETAINV(C1725,Test1_Hand!$B$21,Test1_Hand!$B$22,Test1_Hand!$B$9,Test1_Hand!$B$11)</f>
        <v>2.58715407992725</v>
      </c>
      <c r="E1725" s="2" t="n">
        <f aca="false">IF(B1725&lt;Test1_Hand!$B$12,1,0)</f>
        <v>1</v>
      </c>
      <c r="F1725" s="23" t="n">
        <f aca="false">Test1_Hand!$B$4+E1725*D1725</f>
        <v>18.5871540799272</v>
      </c>
      <c r="G1725" s="24" t="n">
        <f aca="false">Test1_Hand!$B$6*E1725*D1725+Test1_Hand!$B$7*MAX(0,F1725-Test1_Hand!$B$5)</f>
        <v>20697.232639418</v>
      </c>
      <c r="H1725" s="2" t="n">
        <f aca="false">IF(B1725&lt;Test1_Hand!$B$13,1,0)</f>
        <v>0</v>
      </c>
      <c r="I1725" s="23" t="n">
        <f aca="false">Test1_Hand!$B$4+H1725*D1725</f>
        <v>16</v>
      </c>
      <c r="J1725" s="24" t="n">
        <f aca="false">Test1_Hand!$B$6*H1725*D1725+Test1_Hand!$B$7*MAX(0,I1725-Test1_Hand!$B$5)+Test1_Hand!$B$14</f>
        <v>6000</v>
      </c>
    </row>
    <row r="1726" customFormat="false" ht="15" hidden="false" customHeight="false" outlineLevel="0" collapsed="false">
      <c r="A1726" s="2" t="n">
        <v>1714</v>
      </c>
      <c r="B1726" s="22" t="n">
        <v>0.233776148915333</v>
      </c>
      <c r="C1726" s="22" t="n">
        <v>0.737664779753546</v>
      </c>
      <c r="D1726" s="23" t="n">
        <f aca="false">BETAINV(C1726,Test1_Hand!$B$21,Test1_Hand!$B$22,Test1_Hand!$B$9,Test1_Hand!$B$11)</f>
        <v>4.31724779719379</v>
      </c>
      <c r="E1726" s="2" t="n">
        <f aca="false">IF(B1726&lt;Test1_Hand!$B$12,1,0)</f>
        <v>1</v>
      </c>
      <c r="F1726" s="23" t="n">
        <f aca="false">Test1_Hand!$B$4+E1726*D1726</f>
        <v>20.3172477971938</v>
      </c>
      <c r="G1726" s="24" t="n">
        <f aca="false">Test1_Hand!$B$6*E1726*D1726+Test1_Hand!$B$7*MAX(0,F1726-Test1_Hand!$B$5)</f>
        <v>36124.2213635192</v>
      </c>
      <c r="H1726" s="2" t="n">
        <f aca="false">IF(B1726&lt;Test1_Hand!$B$13,1,0)</f>
        <v>0</v>
      </c>
      <c r="I1726" s="23" t="n">
        <f aca="false">Test1_Hand!$B$4+H1726*D1726</f>
        <v>16</v>
      </c>
      <c r="J1726" s="24" t="n">
        <f aca="false">Test1_Hand!$B$6*H1726*D1726+Test1_Hand!$B$7*MAX(0,I1726-Test1_Hand!$B$5)+Test1_Hand!$B$14</f>
        <v>6000</v>
      </c>
    </row>
    <row r="1727" customFormat="false" ht="15" hidden="false" customHeight="false" outlineLevel="0" collapsed="false">
      <c r="A1727" s="2" t="n">
        <v>1715</v>
      </c>
      <c r="B1727" s="22" t="n">
        <v>0.810238778804661</v>
      </c>
      <c r="C1727" s="22" t="n">
        <v>0.830088489438722</v>
      </c>
      <c r="D1727" s="23" t="n">
        <f aca="false">BETAINV(C1727,Test1_Hand!$B$21,Test1_Hand!$B$22,Test1_Hand!$B$9,Test1_Hand!$B$11)</f>
        <v>4.79447871207918</v>
      </c>
      <c r="E1727" s="2" t="n">
        <f aca="false">IF(B1727&lt;Test1_Hand!$B$12,1,0)</f>
        <v>0</v>
      </c>
      <c r="F1727" s="23" t="n">
        <f aca="false">Test1_Hand!$B$4+E1727*D1727</f>
        <v>16</v>
      </c>
      <c r="G1727" s="24" t="n">
        <f aca="false">Test1_Hand!$B$6*E1727*D1727+Test1_Hand!$B$7*MAX(0,F1727-Test1_Hand!$B$5)</f>
        <v>0</v>
      </c>
      <c r="H1727" s="2" t="n">
        <f aca="false">IF(B1727&lt;Test1_Hand!$B$13,1,0)</f>
        <v>0</v>
      </c>
      <c r="I1727" s="23" t="n">
        <f aca="false">Test1_Hand!$B$4+H1727*D1727</f>
        <v>16</v>
      </c>
      <c r="J1727" s="24" t="n">
        <f aca="false">Test1_Hand!$B$6*H1727*D1727+Test1_Hand!$B$7*MAX(0,I1727-Test1_Hand!$B$5)+Test1_Hand!$B$14</f>
        <v>6000</v>
      </c>
    </row>
    <row r="1728" customFormat="false" ht="15" hidden="false" customHeight="false" outlineLevel="0" collapsed="false">
      <c r="A1728" s="2" t="n">
        <v>1716</v>
      </c>
      <c r="B1728" s="22" t="n">
        <v>0.139222087213576</v>
      </c>
      <c r="C1728" s="22" t="n">
        <v>0.438831617023049</v>
      </c>
      <c r="D1728" s="23" t="n">
        <f aca="false">BETAINV(C1728,Test1_Hand!$B$21,Test1_Hand!$B$22,Test1_Hand!$B$9,Test1_Hand!$B$11)</f>
        <v>3.16937363710993</v>
      </c>
      <c r="E1728" s="2" t="n">
        <f aca="false">IF(B1728&lt;Test1_Hand!$B$12,1,0)</f>
        <v>1</v>
      </c>
      <c r="F1728" s="23" t="n">
        <f aca="false">Test1_Hand!$B$4+E1728*D1728</f>
        <v>19.1693736371099</v>
      </c>
      <c r="G1728" s="24" t="n">
        <f aca="false">Test1_Hand!$B$6*E1728*D1728+Test1_Hand!$B$7*MAX(0,F1728-Test1_Hand!$B$5)</f>
        <v>25354.9890968794</v>
      </c>
      <c r="H1728" s="2" t="n">
        <f aca="false">IF(B1728&lt;Test1_Hand!$B$13,1,0)</f>
        <v>1</v>
      </c>
      <c r="I1728" s="23" t="n">
        <f aca="false">Test1_Hand!$B$4+H1728*D1728</f>
        <v>19.1693736371099</v>
      </c>
      <c r="J1728" s="24" t="n">
        <f aca="false">Test1_Hand!$B$6*H1728*D1728+Test1_Hand!$B$7*MAX(0,I1728-Test1_Hand!$B$5)+Test1_Hand!$B$14</f>
        <v>31354.9890968794</v>
      </c>
    </row>
    <row r="1729" customFormat="false" ht="15" hidden="false" customHeight="false" outlineLevel="0" collapsed="false">
      <c r="A1729" s="2" t="n">
        <v>1717</v>
      </c>
      <c r="B1729" s="22" t="n">
        <v>0.0634672510885548</v>
      </c>
      <c r="C1729" s="22" t="n">
        <v>0.0924128457162196</v>
      </c>
      <c r="D1729" s="23" t="n">
        <f aca="false">BETAINV(C1729,Test1_Hand!$B$21,Test1_Hand!$B$22,Test1_Hand!$B$9,Test1_Hand!$B$11)</f>
        <v>1.86716328950676</v>
      </c>
      <c r="E1729" s="2" t="n">
        <f aca="false">IF(B1729&lt;Test1_Hand!$B$12,1,0)</f>
        <v>1</v>
      </c>
      <c r="F1729" s="23" t="n">
        <f aca="false">Test1_Hand!$B$4+E1729*D1729</f>
        <v>17.8671632895068</v>
      </c>
      <c r="G1729" s="24" t="n">
        <f aca="false">Test1_Hand!$B$6*E1729*D1729+Test1_Hand!$B$7*MAX(0,F1729-Test1_Hand!$B$5)</f>
        <v>14937.306316054</v>
      </c>
      <c r="H1729" s="2" t="n">
        <f aca="false">IF(B1729&lt;Test1_Hand!$B$13,1,0)</f>
        <v>1</v>
      </c>
      <c r="I1729" s="23" t="n">
        <f aca="false">Test1_Hand!$B$4+H1729*D1729</f>
        <v>17.8671632895068</v>
      </c>
      <c r="J1729" s="24" t="n">
        <f aca="false">Test1_Hand!$B$6*H1729*D1729+Test1_Hand!$B$7*MAX(0,I1729-Test1_Hand!$B$5)+Test1_Hand!$B$14</f>
        <v>20937.306316054</v>
      </c>
    </row>
    <row r="1730" customFormat="false" ht="15" hidden="false" customHeight="false" outlineLevel="0" collapsed="false">
      <c r="A1730" s="2" t="n">
        <v>1718</v>
      </c>
      <c r="B1730" s="22" t="n">
        <v>0.218606004282543</v>
      </c>
      <c r="C1730" s="22" t="n">
        <v>0.593129861423684</v>
      </c>
      <c r="D1730" s="23" t="n">
        <f aca="false">BETAINV(C1730,Test1_Hand!$B$21,Test1_Hand!$B$22,Test1_Hand!$B$9,Test1_Hand!$B$11)</f>
        <v>3.72109345432388</v>
      </c>
      <c r="E1730" s="2" t="n">
        <f aca="false">IF(B1730&lt;Test1_Hand!$B$12,1,0)</f>
        <v>1</v>
      </c>
      <c r="F1730" s="23" t="n">
        <f aca="false">Test1_Hand!$B$4+E1730*D1730</f>
        <v>19.7210934543239</v>
      </c>
      <c r="G1730" s="24" t="n">
        <f aca="false">Test1_Hand!$B$6*E1730*D1730+Test1_Hand!$B$7*MAX(0,F1730-Test1_Hand!$B$5)</f>
        <v>29768.7476345911</v>
      </c>
      <c r="H1730" s="2" t="n">
        <f aca="false">IF(B1730&lt;Test1_Hand!$B$13,1,0)</f>
        <v>0</v>
      </c>
      <c r="I1730" s="23" t="n">
        <f aca="false">Test1_Hand!$B$4+H1730*D1730</f>
        <v>16</v>
      </c>
      <c r="J1730" s="24" t="n">
        <f aca="false">Test1_Hand!$B$6*H1730*D1730+Test1_Hand!$B$7*MAX(0,I1730-Test1_Hand!$B$5)+Test1_Hand!$B$14</f>
        <v>6000</v>
      </c>
    </row>
    <row r="1731" customFormat="false" ht="15" hidden="false" customHeight="false" outlineLevel="0" collapsed="false">
      <c r="A1731" s="2" t="n">
        <v>1719</v>
      </c>
      <c r="B1731" s="22" t="n">
        <v>0.0179971155527561</v>
      </c>
      <c r="C1731" s="22" t="n">
        <v>0.929901663374286</v>
      </c>
      <c r="D1731" s="23" t="n">
        <f aca="false">BETAINV(C1731,Test1_Hand!$B$21,Test1_Hand!$B$22,Test1_Hand!$B$9,Test1_Hand!$B$11)</f>
        <v>5.54456140727655</v>
      </c>
      <c r="E1731" s="2" t="n">
        <f aca="false">IF(B1731&lt;Test1_Hand!$B$12,1,0)</f>
        <v>1</v>
      </c>
      <c r="F1731" s="23" t="n">
        <f aca="false">Test1_Hand!$B$4+E1731*D1731</f>
        <v>21.5445614072765</v>
      </c>
      <c r="G1731" s="24" t="n">
        <f aca="false">Test1_Hand!$B$6*E1731*D1731+Test1_Hand!$B$7*MAX(0,F1731-Test1_Hand!$B$5)</f>
        <v>52079.2982945951</v>
      </c>
      <c r="H1731" s="2" t="n">
        <f aca="false">IF(B1731&lt;Test1_Hand!$B$13,1,0)</f>
        <v>1</v>
      </c>
      <c r="I1731" s="23" t="n">
        <f aca="false">Test1_Hand!$B$4+H1731*D1731</f>
        <v>21.5445614072765</v>
      </c>
      <c r="J1731" s="24" t="n">
        <f aca="false">Test1_Hand!$B$6*H1731*D1731+Test1_Hand!$B$7*MAX(0,I1731-Test1_Hand!$B$5)+Test1_Hand!$B$14</f>
        <v>58079.2982945951</v>
      </c>
    </row>
    <row r="1732" customFormat="false" ht="15" hidden="false" customHeight="false" outlineLevel="0" collapsed="false">
      <c r="A1732" s="2" t="n">
        <v>1720</v>
      </c>
      <c r="B1732" s="22" t="n">
        <v>0.0819751062553934</v>
      </c>
      <c r="C1732" s="22" t="n">
        <v>0.943493375450217</v>
      </c>
      <c r="D1732" s="23" t="n">
        <f aca="false">BETAINV(C1732,Test1_Hand!$B$21,Test1_Hand!$B$22,Test1_Hand!$B$9,Test1_Hand!$B$11)</f>
        <v>5.69387315319416</v>
      </c>
      <c r="E1732" s="2" t="n">
        <f aca="false">IF(B1732&lt;Test1_Hand!$B$12,1,0)</f>
        <v>1</v>
      </c>
      <c r="F1732" s="23" t="n">
        <f aca="false">Test1_Hand!$B$4+E1732*D1732</f>
        <v>21.6938731531942</v>
      </c>
      <c r="G1732" s="24" t="n">
        <f aca="false">Test1_Hand!$B$6*E1732*D1732+Test1_Hand!$B$7*MAX(0,F1732-Test1_Hand!$B$5)</f>
        <v>54020.3509915241</v>
      </c>
      <c r="H1732" s="2" t="n">
        <f aca="false">IF(B1732&lt;Test1_Hand!$B$13,1,0)</f>
        <v>1</v>
      </c>
      <c r="I1732" s="23" t="n">
        <f aca="false">Test1_Hand!$B$4+H1732*D1732</f>
        <v>21.6938731531942</v>
      </c>
      <c r="J1732" s="24" t="n">
        <f aca="false">Test1_Hand!$B$6*H1732*D1732+Test1_Hand!$B$7*MAX(0,I1732-Test1_Hand!$B$5)+Test1_Hand!$B$14</f>
        <v>60020.3509915241</v>
      </c>
    </row>
    <row r="1733" customFormat="false" ht="15" hidden="false" customHeight="false" outlineLevel="0" collapsed="false">
      <c r="A1733" s="2" t="n">
        <v>1721</v>
      </c>
      <c r="B1733" s="22" t="n">
        <v>0.615007540321711</v>
      </c>
      <c r="C1733" s="22" t="n">
        <v>0.0778888832337161</v>
      </c>
      <c r="D1733" s="23" t="n">
        <f aca="false">BETAINV(C1733,Test1_Hand!$B$21,Test1_Hand!$B$22,Test1_Hand!$B$9,Test1_Hand!$B$11)</f>
        <v>1.79241627165466</v>
      </c>
      <c r="E1733" s="2" t="n">
        <f aca="false">IF(B1733&lt;Test1_Hand!$B$12,1,0)</f>
        <v>0</v>
      </c>
      <c r="F1733" s="23" t="n">
        <f aca="false">Test1_Hand!$B$4+E1733*D1733</f>
        <v>16</v>
      </c>
      <c r="G1733" s="24" t="n">
        <f aca="false">Test1_Hand!$B$6*E1733*D1733+Test1_Hand!$B$7*MAX(0,F1733-Test1_Hand!$B$5)</f>
        <v>0</v>
      </c>
      <c r="H1733" s="2" t="n">
        <f aca="false">IF(B1733&lt;Test1_Hand!$B$13,1,0)</f>
        <v>0</v>
      </c>
      <c r="I1733" s="23" t="n">
        <f aca="false">Test1_Hand!$B$4+H1733*D1733</f>
        <v>16</v>
      </c>
      <c r="J1733" s="24" t="n">
        <f aca="false">Test1_Hand!$B$6*H1733*D1733+Test1_Hand!$B$7*MAX(0,I1733-Test1_Hand!$B$5)+Test1_Hand!$B$14</f>
        <v>6000</v>
      </c>
    </row>
    <row r="1734" customFormat="false" ht="15" hidden="false" customHeight="false" outlineLevel="0" collapsed="false">
      <c r="A1734" s="2" t="n">
        <v>1722</v>
      </c>
      <c r="B1734" s="22" t="n">
        <v>0.754242805998345</v>
      </c>
      <c r="C1734" s="22" t="n">
        <v>0.366922911179268</v>
      </c>
      <c r="D1734" s="23" t="n">
        <f aca="false">BETAINV(C1734,Test1_Hand!$B$21,Test1_Hand!$B$22,Test1_Hand!$B$9,Test1_Hand!$B$11)</f>
        <v>2.92213818939027</v>
      </c>
      <c r="E1734" s="2" t="n">
        <f aca="false">IF(B1734&lt;Test1_Hand!$B$12,1,0)</f>
        <v>0</v>
      </c>
      <c r="F1734" s="23" t="n">
        <f aca="false">Test1_Hand!$B$4+E1734*D1734</f>
        <v>16</v>
      </c>
      <c r="G1734" s="24" t="n">
        <f aca="false">Test1_Hand!$B$6*E1734*D1734+Test1_Hand!$B$7*MAX(0,F1734-Test1_Hand!$B$5)</f>
        <v>0</v>
      </c>
      <c r="H1734" s="2" t="n">
        <f aca="false">IF(B1734&lt;Test1_Hand!$B$13,1,0)</f>
        <v>0</v>
      </c>
      <c r="I1734" s="23" t="n">
        <f aca="false">Test1_Hand!$B$4+H1734*D1734</f>
        <v>16</v>
      </c>
      <c r="J1734" s="24" t="n">
        <f aca="false">Test1_Hand!$B$6*H1734*D1734+Test1_Hand!$B$7*MAX(0,I1734-Test1_Hand!$B$5)+Test1_Hand!$B$14</f>
        <v>6000</v>
      </c>
    </row>
    <row r="1735" customFormat="false" ht="15" hidden="false" customHeight="false" outlineLevel="0" collapsed="false">
      <c r="A1735" s="2" t="n">
        <v>1723</v>
      </c>
      <c r="B1735" s="22" t="n">
        <v>0.796521677997532</v>
      </c>
      <c r="C1735" s="22" t="n">
        <v>0.638668054061575</v>
      </c>
      <c r="D1735" s="23" t="n">
        <f aca="false">BETAINV(C1735,Test1_Hand!$B$21,Test1_Hand!$B$22,Test1_Hand!$B$9,Test1_Hand!$B$11)</f>
        <v>3.89673360785597</v>
      </c>
      <c r="E1735" s="2" t="n">
        <f aca="false">IF(B1735&lt;Test1_Hand!$B$12,1,0)</f>
        <v>0</v>
      </c>
      <c r="F1735" s="23" t="n">
        <f aca="false">Test1_Hand!$B$4+E1735*D1735</f>
        <v>16</v>
      </c>
      <c r="G1735" s="24" t="n">
        <f aca="false">Test1_Hand!$B$6*E1735*D1735+Test1_Hand!$B$7*MAX(0,F1735-Test1_Hand!$B$5)</f>
        <v>0</v>
      </c>
      <c r="H1735" s="2" t="n">
        <f aca="false">IF(B1735&lt;Test1_Hand!$B$13,1,0)</f>
        <v>0</v>
      </c>
      <c r="I1735" s="23" t="n">
        <f aca="false">Test1_Hand!$B$4+H1735*D1735</f>
        <v>16</v>
      </c>
      <c r="J1735" s="24" t="n">
        <f aca="false">Test1_Hand!$B$6*H1735*D1735+Test1_Hand!$B$7*MAX(0,I1735-Test1_Hand!$B$5)+Test1_Hand!$B$14</f>
        <v>6000</v>
      </c>
    </row>
    <row r="1736" customFormat="false" ht="15" hidden="false" customHeight="false" outlineLevel="0" collapsed="false">
      <c r="A1736" s="2" t="n">
        <v>1724</v>
      </c>
      <c r="B1736" s="22" t="n">
        <v>0.542175829618179</v>
      </c>
      <c r="C1736" s="22" t="n">
        <v>0.574352561274807</v>
      </c>
      <c r="D1736" s="23" t="n">
        <f aca="false">BETAINV(C1736,Test1_Hand!$B$21,Test1_Hand!$B$22,Test1_Hand!$B$9,Test1_Hand!$B$11)</f>
        <v>3.65092905507967</v>
      </c>
      <c r="E1736" s="2" t="n">
        <f aca="false">IF(B1736&lt;Test1_Hand!$B$12,1,0)</f>
        <v>0</v>
      </c>
      <c r="F1736" s="23" t="n">
        <f aca="false">Test1_Hand!$B$4+E1736*D1736</f>
        <v>16</v>
      </c>
      <c r="G1736" s="24" t="n">
        <f aca="false">Test1_Hand!$B$6*E1736*D1736+Test1_Hand!$B$7*MAX(0,F1736-Test1_Hand!$B$5)</f>
        <v>0</v>
      </c>
      <c r="H1736" s="2" t="n">
        <f aca="false">IF(B1736&lt;Test1_Hand!$B$13,1,0)</f>
        <v>0</v>
      </c>
      <c r="I1736" s="23" t="n">
        <f aca="false">Test1_Hand!$B$4+H1736*D1736</f>
        <v>16</v>
      </c>
      <c r="J1736" s="24" t="n">
        <f aca="false">Test1_Hand!$B$6*H1736*D1736+Test1_Hand!$B$7*MAX(0,I1736-Test1_Hand!$B$5)+Test1_Hand!$B$14</f>
        <v>6000</v>
      </c>
    </row>
    <row r="1737" customFormat="false" ht="15" hidden="false" customHeight="false" outlineLevel="0" collapsed="false">
      <c r="A1737" s="2" t="n">
        <v>1725</v>
      </c>
      <c r="B1737" s="22" t="n">
        <v>0.93461577620585</v>
      </c>
      <c r="C1737" s="22" t="n">
        <v>0.642063202121571</v>
      </c>
      <c r="D1737" s="23" t="n">
        <f aca="false">BETAINV(C1737,Test1_Hand!$B$21,Test1_Hand!$B$22,Test1_Hand!$B$9,Test1_Hand!$B$11)</f>
        <v>3.91018785004257</v>
      </c>
      <c r="E1737" s="2" t="n">
        <f aca="false">IF(B1737&lt;Test1_Hand!$B$12,1,0)</f>
        <v>0</v>
      </c>
      <c r="F1737" s="23" t="n">
        <f aca="false">Test1_Hand!$B$4+E1737*D1737</f>
        <v>16</v>
      </c>
      <c r="G1737" s="24" t="n">
        <f aca="false">Test1_Hand!$B$6*E1737*D1737+Test1_Hand!$B$7*MAX(0,F1737-Test1_Hand!$B$5)</f>
        <v>0</v>
      </c>
      <c r="H1737" s="2" t="n">
        <f aca="false">IF(B1737&lt;Test1_Hand!$B$13,1,0)</f>
        <v>0</v>
      </c>
      <c r="I1737" s="23" t="n">
        <f aca="false">Test1_Hand!$B$4+H1737*D1737</f>
        <v>16</v>
      </c>
      <c r="J1737" s="24" t="n">
        <f aca="false">Test1_Hand!$B$6*H1737*D1737+Test1_Hand!$B$7*MAX(0,I1737-Test1_Hand!$B$5)+Test1_Hand!$B$14</f>
        <v>6000</v>
      </c>
    </row>
    <row r="1738" customFormat="false" ht="15" hidden="false" customHeight="false" outlineLevel="0" collapsed="false">
      <c r="A1738" s="2" t="n">
        <v>1726</v>
      </c>
      <c r="B1738" s="22" t="n">
        <v>0.541608559362157</v>
      </c>
      <c r="C1738" s="22" t="n">
        <v>0.977214526794095</v>
      </c>
      <c r="D1738" s="23" t="n">
        <f aca="false">BETAINV(C1738,Test1_Hand!$B$21,Test1_Hand!$B$22,Test1_Hand!$B$9,Test1_Hand!$B$11)</f>
        <v>6.21901491145618</v>
      </c>
      <c r="E1738" s="2" t="n">
        <f aca="false">IF(B1738&lt;Test1_Hand!$B$12,1,0)</f>
        <v>0</v>
      </c>
      <c r="F1738" s="23" t="n">
        <f aca="false">Test1_Hand!$B$4+E1738*D1738</f>
        <v>16</v>
      </c>
      <c r="G1738" s="24" t="n">
        <f aca="false">Test1_Hand!$B$6*E1738*D1738+Test1_Hand!$B$7*MAX(0,F1738-Test1_Hand!$B$5)</f>
        <v>0</v>
      </c>
      <c r="H1738" s="2" t="n">
        <f aca="false">IF(B1738&lt;Test1_Hand!$B$13,1,0)</f>
        <v>0</v>
      </c>
      <c r="I1738" s="23" t="n">
        <f aca="false">Test1_Hand!$B$4+H1738*D1738</f>
        <v>16</v>
      </c>
      <c r="J1738" s="24" t="n">
        <f aca="false">Test1_Hand!$B$6*H1738*D1738+Test1_Hand!$B$7*MAX(0,I1738-Test1_Hand!$B$5)+Test1_Hand!$B$14</f>
        <v>6000</v>
      </c>
    </row>
    <row r="1739" customFormat="false" ht="15" hidden="false" customHeight="false" outlineLevel="0" collapsed="false">
      <c r="A1739" s="2" t="n">
        <v>1727</v>
      </c>
      <c r="B1739" s="22" t="n">
        <v>0.990618882189368</v>
      </c>
      <c r="C1739" s="22" t="n">
        <v>0.199250275858082</v>
      </c>
      <c r="D1739" s="23" t="n">
        <f aca="false">BETAINV(C1739,Test1_Hand!$B$21,Test1_Hand!$B$22,Test1_Hand!$B$9,Test1_Hand!$B$11)</f>
        <v>2.3238392077762</v>
      </c>
      <c r="E1739" s="2" t="n">
        <f aca="false">IF(B1739&lt;Test1_Hand!$B$12,1,0)</f>
        <v>0</v>
      </c>
      <c r="F1739" s="23" t="n">
        <f aca="false">Test1_Hand!$B$4+E1739*D1739</f>
        <v>16</v>
      </c>
      <c r="G1739" s="24" t="n">
        <f aca="false">Test1_Hand!$B$6*E1739*D1739+Test1_Hand!$B$7*MAX(0,F1739-Test1_Hand!$B$5)</f>
        <v>0</v>
      </c>
      <c r="H1739" s="2" t="n">
        <f aca="false">IF(B1739&lt;Test1_Hand!$B$13,1,0)</f>
        <v>0</v>
      </c>
      <c r="I1739" s="23" t="n">
        <f aca="false">Test1_Hand!$B$4+H1739*D1739</f>
        <v>16</v>
      </c>
      <c r="J1739" s="24" t="n">
        <f aca="false">Test1_Hand!$B$6*H1739*D1739+Test1_Hand!$B$7*MAX(0,I1739-Test1_Hand!$B$5)+Test1_Hand!$B$14</f>
        <v>6000</v>
      </c>
    </row>
    <row r="1740" customFormat="false" ht="15" hidden="false" customHeight="false" outlineLevel="0" collapsed="false">
      <c r="A1740" s="2" t="n">
        <v>1728</v>
      </c>
      <c r="B1740" s="22" t="n">
        <v>0.57217821786385</v>
      </c>
      <c r="C1740" s="22" t="n">
        <v>0.996739516091915</v>
      </c>
      <c r="D1740" s="23" t="n">
        <f aca="false">BETAINV(C1740,Test1_Hand!$B$21,Test1_Hand!$B$22,Test1_Hand!$B$9,Test1_Hand!$B$11)</f>
        <v>6.95538953012326</v>
      </c>
      <c r="E1740" s="2" t="n">
        <f aca="false">IF(B1740&lt;Test1_Hand!$B$12,1,0)</f>
        <v>0</v>
      </c>
      <c r="F1740" s="23" t="n">
        <f aca="false">Test1_Hand!$B$4+E1740*D1740</f>
        <v>16</v>
      </c>
      <c r="G1740" s="24" t="n">
        <f aca="false">Test1_Hand!$B$6*E1740*D1740+Test1_Hand!$B$7*MAX(0,F1740-Test1_Hand!$B$5)</f>
        <v>0</v>
      </c>
      <c r="H1740" s="2" t="n">
        <f aca="false">IF(B1740&lt;Test1_Hand!$B$13,1,0)</f>
        <v>0</v>
      </c>
      <c r="I1740" s="23" t="n">
        <f aca="false">Test1_Hand!$B$4+H1740*D1740</f>
        <v>16</v>
      </c>
      <c r="J1740" s="24" t="n">
        <f aca="false">Test1_Hand!$B$6*H1740*D1740+Test1_Hand!$B$7*MAX(0,I1740-Test1_Hand!$B$5)+Test1_Hand!$B$14</f>
        <v>6000</v>
      </c>
    </row>
    <row r="1741" customFormat="false" ht="15" hidden="false" customHeight="false" outlineLevel="0" collapsed="false">
      <c r="A1741" s="2" t="n">
        <v>1729</v>
      </c>
      <c r="B1741" s="22" t="n">
        <v>0.737284156729962</v>
      </c>
      <c r="C1741" s="22" t="n">
        <v>0.148925042397438</v>
      </c>
      <c r="D1741" s="23" t="n">
        <f aca="false">BETAINV(C1741,Test1_Hand!$B$21,Test1_Hand!$B$22,Test1_Hand!$B$9,Test1_Hand!$B$11)</f>
        <v>2.12303028609175</v>
      </c>
      <c r="E1741" s="2" t="n">
        <f aca="false">IF(B1741&lt;Test1_Hand!$B$12,1,0)</f>
        <v>0</v>
      </c>
      <c r="F1741" s="23" t="n">
        <f aca="false">Test1_Hand!$B$4+E1741*D1741</f>
        <v>16</v>
      </c>
      <c r="G1741" s="24" t="n">
        <f aca="false">Test1_Hand!$B$6*E1741*D1741+Test1_Hand!$B$7*MAX(0,F1741-Test1_Hand!$B$5)</f>
        <v>0</v>
      </c>
      <c r="H1741" s="2" t="n">
        <f aca="false">IF(B1741&lt;Test1_Hand!$B$13,1,0)</f>
        <v>0</v>
      </c>
      <c r="I1741" s="23" t="n">
        <f aca="false">Test1_Hand!$B$4+H1741*D1741</f>
        <v>16</v>
      </c>
      <c r="J1741" s="24" t="n">
        <f aca="false">Test1_Hand!$B$6*H1741*D1741+Test1_Hand!$B$7*MAX(0,I1741-Test1_Hand!$B$5)+Test1_Hand!$B$14</f>
        <v>6000</v>
      </c>
    </row>
    <row r="1742" customFormat="false" ht="15" hidden="false" customHeight="false" outlineLevel="0" collapsed="false">
      <c r="A1742" s="2" t="n">
        <v>1730</v>
      </c>
      <c r="B1742" s="22" t="n">
        <v>0.599409712079586</v>
      </c>
      <c r="C1742" s="22" t="n">
        <v>0.756575825165179</v>
      </c>
      <c r="D1742" s="23" t="n">
        <f aca="false">BETAINV(C1742,Test1_Hand!$B$21,Test1_Hand!$B$22,Test1_Hand!$B$9,Test1_Hand!$B$11)</f>
        <v>4.40620866372167</v>
      </c>
      <c r="E1742" s="2" t="n">
        <f aca="false">IF(B1742&lt;Test1_Hand!$B$12,1,0)</f>
        <v>0</v>
      </c>
      <c r="F1742" s="23" t="n">
        <f aca="false">Test1_Hand!$B$4+E1742*D1742</f>
        <v>16</v>
      </c>
      <c r="G1742" s="24" t="n">
        <f aca="false">Test1_Hand!$B$6*E1742*D1742+Test1_Hand!$B$7*MAX(0,F1742-Test1_Hand!$B$5)</f>
        <v>0</v>
      </c>
      <c r="H1742" s="2" t="n">
        <f aca="false">IF(B1742&lt;Test1_Hand!$B$13,1,0)</f>
        <v>0</v>
      </c>
      <c r="I1742" s="23" t="n">
        <f aca="false">Test1_Hand!$B$4+H1742*D1742</f>
        <v>16</v>
      </c>
      <c r="J1742" s="24" t="n">
        <f aca="false">Test1_Hand!$B$6*H1742*D1742+Test1_Hand!$B$7*MAX(0,I1742-Test1_Hand!$B$5)+Test1_Hand!$B$14</f>
        <v>6000</v>
      </c>
    </row>
    <row r="1743" customFormat="false" ht="15" hidden="false" customHeight="false" outlineLevel="0" collapsed="false">
      <c r="A1743" s="2" t="n">
        <v>1731</v>
      </c>
      <c r="B1743" s="22" t="n">
        <v>0.811300189354834</v>
      </c>
      <c r="C1743" s="22" t="n">
        <v>0.0368816978611567</v>
      </c>
      <c r="D1743" s="23" t="n">
        <f aca="false">BETAINV(C1743,Test1_Hand!$B$21,Test1_Hand!$B$22,Test1_Hand!$B$9,Test1_Hand!$B$11)</f>
        <v>1.54008326641182</v>
      </c>
      <c r="E1743" s="2" t="n">
        <f aca="false">IF(B1743&lt;Test1_Hand!$B$12,1,0)</f>
        <v>0</v>
      </c>
      <c r="F1743" s="23" t="n">
        <f aca="false">Test1_Hand!$B$4+E1743*D1743</f>
        <v>16</v>
      </c>
      <c r="G1743" s="24" t="n">
        <f aca="false">Test1_Hand!$B$6*E1743*D1743+Test1_Hand!$B$7*MAX(0,F1743-Test1_Hand!$B$5)</f>
        <v>0</v>
      </c>
      <c r="H1743" s="2" t="n">
        <f aca="false">IF(B1743&lt;Test1_Hand!$B$13,1,0)</f>
        <v>0</v>
      </c>
      <c r="I1743" s="23" t="n">
        <f aca="false">Test1_Hand!$B$4+H1743*D1743</f>
        <v>16</v>
      </c>
      <c r="J1743" s="24" t="n">
        <f aca="false">Test1_Hand!$B$6*H1743*D1743+Test1_Hand!$B$7*MAX(0,I1743-Test1_Hand!$B$5)+Test1_Hand!$B$14</f>
        <v>6000</v>
      </c>
    </row>
    <row r="1744" customFormat="false" ht="15" hidden="false" customHeight="false" outlineLevel="0" collapsed="false">
      <c r="A1744" s="2" t="n">
        <v>1732</v>
      </c>
      <c r="B1744" s="22" t="n">
        <v>0.0279449739579987</v>
      </c>
      <c r="C1744" s="22" t="n">
        <v>0.22650760271351</v>
      </c>
      <c r="D1744" s="23" t="n">
        <f aca="false">BETAINV(C1744,Test1_Hand!$B$21,Test1_Hand!$B$22,Test1_Hand!$B$9,Test1_Hand!$B$11)</f>
        <v>2.42643251179825</v>
      </c>
      <c r="E1744" s="2" t="n">
        <f aca="false">IF(B1744&lt;Test1_Hand!$B$12,1,0)</f>
        <v>1</v>
      </c>
      <c r="F1744" s="23" t="n">
        <f aca="false">Test1_Hand!$B$4+E1744*D1744</f>
        <v>18.4264325117983</v>
      </c>
      <c r="G1744" s="24" t="n">
        <f aca="false">Test1_Hand!$B$6*E1744*D1744+Test1_Hand!$B$7*MAX(0,F1744-Test1_Hand!$B$5)</f>
        <v>19411.460094386</v>
      </c>
      <c r="H1744" s="2" t="n">
        <f aca="false">IF(B1744&lt;Test1_Hand!$B$13,1,0)</f>
        <v>1</v>
      </c>
      <c r="I1744" s="23" t="n">
        <f aca="false">Test1_Hand!$B$4+H1744*D1744</f>
        <v>18.4264325117983</v>
      </c>
      <c r="J1744" s="24" t="n">
        <f aca="false">Test1_Hand!$B$6*H1744*D1744+Test1_Hand!$B$7*MAX(0,I1744-Test1_Hand!$B$5)+Test1_Hand!$B$14</f>
        <v>25411.460094386</v>
      </c>
    </row>
    <row r="1745" customFormat="false" ht="15" hidden="false" customHeight="false" outlineLevel="0" collapsed="false">
      <c r="A1745" s="2" t="n">
        <v>1733</v>
      </c>
      <c r="B1745" s="22" t="n">
        <v>0.373755032105528</v>
      </c>
      <c r="C1745" s="22" t="n">
        <v>0.349130313332524</v>
      </c>
      <c r="D1745" s="23" t="n">
        <f aca="false">BETAINV(C1745,Test1_Hand!$B$21,Test1_Hand!$B$22,Test1_Hand!$B$9,Test1_Hand!$B$11)</f>
        <v>2.86089859832952</v>
      </c>
      <c r="E1745" s="2" t="n">
        <f aca="false">IF(B1745&lt;Test1_Hand!$B$12,1,0)</f>
        <v>1</v>
      </c>
      <c r="F1745" s="23" t="n">
        <f aca="false">Test1_Hand!$B$4+E1745*D1745</f>
        <v>18.8608985983295</v>
      </c>
      <c r="G1745" s="24" t="n">
        <f aca="false">Test1_Hand!$B$6*E1745*D1745+Test1_Hand!$B$7*MAX(0,F1745-Test1_Hand!$B$5)</f>
        <v>22887.1887866361</v>
      </c>
      <c r="H1745" s="2" t="n">
        <f aca="false">IF(B1745&lt;Test1_Hand!$B$13,1,0)</f>
        <v>0</v>
      </c>
      <c r="I1745" s="23" t="n">
        <f aca="false">Test1_Hand!$B$4+H1745*D1745</f>
        <v>16</v>
      </c>
      <c r="J1745" s="24" t="n">
        <f aca="false">Test1_Hand!$B$6*H1745*D1745+Test1_Hand!$B$7*MAX(0,I1745-Test1_Hand!$B$5)+Test1_Hand!$B$14</f>
        <v>6000</v>
      </c>
    </row>
    <row r="1746" customFormat="false" ht="15" hidden="false" customHeight="false" outlineLevel="0" collapsed="false">
      <c r="A1746" s="2" t="n">
        <v>1734</v>
      </c>
      <c r="B1746" s="22" t="n">
        <v>0.748907227182937</v>
      </c>
      <c r="C1746" s="22" t="n">
        <v>0.398987383676914</v>
      </c>
      <c r="D1746" s="23" t="n">
        <f aca="false">BETAINV(C1746,Test1_Hand!$B$21,Test1_Hand!$B$22,Test1_Hand!$B$9,Test1_Hand!$B$11)</f>
        <v>3.03226089150868</v>
      </c>
      <c r="E1746" s="2" t="n">
        <f aca="false">IF(B1746&lt;Test1_Hand!$B$12,1,0)</f>
        <v>0</v>
      </c>
      <c r="F1746" s="23" t="n">
        <f aca="false">Test1_Hand!$B$4+E1746*D1746</f>
        <v>16</v>
      </c>
      <c r="G1746" s="24" t="n">
        <f aca="false">Test1_Hand!$B$6*E1746*D1746+Test1_Hand!$B$7*MAX(0,F1746-Test1_Hand!$B$5)</f>
        <v>0</v>
      </c>
      <c r="H1746" s="2" t="n">
        <f aca="false">IF(B1746&lt;Test1_Hand!$B$13,1,0)</f>
        <v>0</v>
      </c>
      <c r="I1746" s="23" t="n">
        <f aca="false">Test1_Hand!$B$4+H1746*D1746</f>
        <v>16</v>
      </c>
      <c r="J1746" s="24" t="n">
        <f aca="false">Test1_Hand!$B$6*H1746*D1746+Test1_Hand!$B$7*MAX(0,I1746-Test1_Hand!$B$5)+Test1_Hand!$B$14</f>
        <v>6000</v>
      </c>
    </row>
    <row r="1747" customFormat="false" ht="15" hidden="false" customHeight="false" outlineLevel="0" collapsed="false">
      <c r="A1747" s="2" t="n">
        <v>1735</v>
      </c>
      <c r="B1747" s="22" t="n">
        <v>0.568367400830945</v>
      </c>
      <c r="C1747" s="22" t="n">
        <v>0.777657174999736</v>
      </c>
      <c r="D1747" s="23" t="n">
        <f aca="false">BETAINV(C1747,Test1_Hand!$B$21,Test1_Hand!$B$22,Test1_Hand!$B$9,Test1_Hand!$B$11)</f>
        <v>4.50987900442167</v>
      </c>
      <c r="E1747" s="2" t="n">
        <f aca="false">IF(B1747&lt;Test1_Hand!$B$12,1,0)</f>
        <v>0</v>
      </c>
      <c r="F1747" s="23" t="n">
        <f aca="false">Test1_Hand!$B$4+E1747*D1747</f>
        <v>16</v>
      </c>
      <c r="G1747" s="24" t="n">
        <f aca="false">Test1_Hand!$B$6*E1747*D1747+Test1_Hand!$B$7*MAX(0,F1747-Test1_Hand!$B$5)</f>
        <v>0</v>
      </c>
      <c r="H1747" s="2" t="n">
        <f aca="false">IF(B1747&lt;Test1_Hand!$B$13,1,0)</f>
        <v>0</v>
      </c>
      <c r="I1747" s="23" t="n">
        <f aca="false">Test1_Hand!$B$4+H1747*D1747</f>
        <v>16</v>
      </c>
      <c r="J1747" s="24" t="n">
        <f aca="false">Test1_Hand!$B$6*H1747*D1747+Test1_Hand!$B$7*MAX(0,I1747-Test1_Hand!$B$5)+Test1_Hand!$B$14</f>
        <v>6000</v>
      </c>
    </row>
    <row r="1748" customFormat="false" ht="15" hidden="false" customHeight="false" outlineLevel="0" collapsed="false">
      <c r="A1748" s="2" t="n">
        <v>1736</v>
      </c>
      <c r="B1748" s="22" t="n">
        <v>0.628621487236761</v>
      </c>
      <c r="C1748" s="22" t="n">
        <v>0.874956409020272</v>
      </c>
      <c r="D1748" s="23" t="n">
        <f aca="false">BETAINV(C1748,Test1_Hand!$B$21,Test1_Hand!$B$22,Test1_Hand!$B$9,Test1_Hand!$B$11)</f>
        <v>5.08286855739231</v>
      </c>
      <c r="E1748" s="2" t="n">
        <f aca="false">IF(B1748&lt;Test1_Hand!$B$12,1,0)</f>
        <v>0</v>
      </c>
      <c r="F1748" s="23" t="n">
        <f aca="false">Test1_Hand!$B$4+E1748*D1748</f>
        <v>16</v>
      </c>
      <c r="G1748" s="24" t="n">
        <f aca="false">Test1_Hand!$B$6*E1748*D1748+Test1_Hand!$B$7*MAX(0,F1748-Test1_Hand!$B$5)</f>
        <v>0</v>
      </c>
      <c r="H1748" s="2" t="n">
        <f aca="false">IF(B1748&lt;Test1_Hand!$B$13,1,0)</f>
        <v>0</v>
      </c>
      <c r="I1748" s="23" t="n">
        <f aca="false">Test1_Hand!$B$4+H1748*D1748</f>
        <v>16</v>
      </c>
      <c r="J1748" s="24" t="n">
        <f aca="false">Test1_Hand!$B$6*H1748*D1748+Test1_Hand!$B$7*MAX(0,I1748-Test1_Hand!$B$5)+Test1_Hand!$B$14</f>
        <v>6000</v>
      </c>
    </row>
    <row r="1749" customFormat="false" ht="15" hidden="false" customHeight="false" outlineLevel="0" collapsed="false">
      <c r="A1749" s="2" t="n">
        <v>1737</v>
      </c>
      <c r="B1749" s="22" t="n">
        <v>0.499543118530258</v>
      </c>
      <c r="C1749" s="22" t="n">
        <v>0.518969452925269</v>
      </c>
      <c r="D1749" s="23" t="n">
        <f aca="false">BETAINV(C1749,Test1_Hand!$B$21,Test1_Hand!$B$22,Test1_Hand!$B$9,Test1_Hand!$B$11)</f>
        <v>3.44985669442578</v>
      </c>
      <c r="E1749" s="2" t="n">
        <f aca="false">IF(B1749&lt;Test1_Hand!$B$12,1,0)</f>
        <v>1</v>
      </c>
      <c r="F1749" s="23" t="n">
        <f aca="false">Test1_Hand!$B$4+E1749*D1749</f>
        <v>19.4498566944258</v>
      </c>
      <c r="G1749" s="24" t="n">
        <f aca="false">Test1_Hand!$B$6*E1749*D1749+Test1_Hand!$B$7*MAX(0,F1749-Test1_Hand!$B$5)</f>
        <v>27598.8535554063</v>
      </c>
      <c r="H1749" s="2" t="n">
        <f aca="false">IF(B1749&lt;Test1_Hand!$B$13,1,0)</f>
        <v>0</v>
      </c>
      <c r="I1749" s="23" t="n">
        <f aca="false">Test1_Hand!$B$4+H1749*D1749</f>
        <v>16</v>
      </c>
      <c r="J1749" s="24" t="n">
        <f aca="false">Test1_Hand!$B$6*H1749*D1749+Test1_Hand!$B$7*MAX(0,I1749-Test1_Hand!$B$5)+Test1_Hand!$B$14</f>
        <v>6000</v>
      </c>
    </row>
    <row r="1750" customFormat="false" ht="15" hidden="false" customHeight="false" outlineLevel="0" collapsed="false">
      <c r="A1750" s="2" t="n">
        <v>1738</v>
      </c>
      <c r="B1750" s="22" t="n">
        <v>0.918932516102845</v>
      </c>
      <c r="C1750" s="22" t="n">
        <v>0.234564207005901</v>
      </c>
      <c r="D1750" s="23" t="n">
        <f aca="false">BETAINV(C1750,Test1_Hand!$B$21,Test1_Hand!$B$22,Test1_Hand!$B$9,Test1_Hand!$B$11)</f>
        <v>2.45615213397411</v>
      </c>
      <c r="E1750" s="2" t="n">
        <f aca="false">IF(B1750&lt;Test1_Hand!$B$12,1,0)</f>
        <v>0</v>
      </c>
      <c r="F1750" s="23" t="n">
        <f aca="false">Test1_Hand!$B$4+E1750*D1750</f>
        <v>16</v>
      </c>
      <c r="G1750" s="24" t="n">
        <f aca="false">Test1_Hand!$B$6*E1750*D1750+Test1_Hand!$B$7*MAX(0,F1750-Test1_Hand!$B$5)</f>
        <v>0</v>
      </c>
      <c r="H1750" s="2" t="n">
        <f aca="false">IF(B1750&lt;Test1_Hand!$B$13,1,0)</f>
        <v>0</v>
      </c>
      <c r="I1750" s="23" t="n">
        <f aca="false">Test1_Hand!$B$4+H1750*D1750</f>
        <v>16</v>
      </c>
      <c r="J1750" s="24" t="n">
        <f aca="false">Test1_Hand!$B$6*H1750*D1750+Test1_Hand!$B$7*MAX(0,I1750-Test1_Hand!$B$5)+Test1_Hand!$B$14</f>
        <v>6000</v>
      </c>
    </row>
    <row r="1751" customFormat="false" ht="15" hidden="false" customHeight="false" outlineLevel="0" collapsed="false">
      <c r="A1751" s="2" t="n">
        <v>1739</v>
      </c>
      <c r="B1751" s="22" t="n">
        <v>0.249499328999112</v>
      </c>
      <c r="C1751" s="22" t="n">
        <v>0.245001687224677</v>
      </c>
      <c r="D1751" s="23" t="n">
        <f aca="false">BETAINV(C1751,Test1_Hand!$B$21,Test1_Hand!$B$22,Test1_Hand!$B$9,Test1_Hand!$B$11)</f>
        <v>2.49430611646158</v>
      </c>
      <c r="E1751" s="2" t="n">
        <f aca="false">IF(B1751&lt;Test1_Hand!$B$12,1,0)</f>
        <v>1</v>
      </c>
      <c r="F1751" s="23" t="n">
        <f aca="false">Test1_Hand!$B$4+E1751*D1751</f>
        <v>18.4943061164616</v>
      </c>
      <c r="G1751" s="24" t="n">
        <f aca="false">Test1_Hand!$B$6*E1751*D1751+Test1_Hand!$B$7*MAX(0,F1751-Test1_Hand!$B$5)</f>
        <v>19954.4489316926</v>
      </c>
      <c r="H1751" s="2" t="n">
        <f aca="false">IF(B1751&lt;Test1_Hand!$B$13,1,0)</f>
        <v>0</v>
      </c>
      <c r="I1751" s="23" t="n">
        <f aca="false">Test1_Hand!$B$4+H1751*D1751</f>
        <v>16</v>
      </c>
      <c r="J1751" s="24" t="n">
        <f aca="false">Test1_Hand!$B$6*H1751*D1751+Test1_Hand!$B$7*MAX(0,I1751-Test1_Hand!$B$5)+Test1_Hand!$B$14</f>
        <v>6000</v>
      </c>
    </row>
    <row r="1752" customFormat="false" ht="15" hidden="false" customHeight="false" outlineLevel="0" collapsed="false">
      <c r="A1752" s="2" t="n">
        <v>1740</v>
      </c>
      <c r="B1752" s="22" t="n">
        <v>0.353013571679636</v>
      </c>
      <c r="C1752" s="22" t="n">
        <v>0.33637519017365</v>
      </c>
      <c r="D1752" s="23" t="n">
        <f aca="false">BETAINV(C1752,Test1_Hand!$B$21,Test1_Hand!$B$22,Test1_Hand!$B$9,Test1_Hand!$B$11)</f>
        <v>2.81686828107898</v>
      </c>
      <c r="E1752" s="2" t="n">
        <f aca="false">IF(B1752&lt;Test1_Hand!$B$12,1,0)</f>
        <v>1</v>
      </c>
      <c r="F1752" s="23" t="n">
        <f aca="false">Test1_Hand!$B$4+E1752*D1752</f>
        <v>18.816868281079</v>
      </c>
      <c r="G1752" s="24" t="n">
        <f aca="false">Test1_Hand!$B$6*E1752*D1752+Test1_Hand!$B$7*MAX(0,F1752-Test1_Hand!$B$5)</f>
        <v>22534.9462486318</v>
      </c>
      <c r="H1752" s="2" t="n">
        <f aca="false">IF(B1752&lt;Test1_Hand!$B$13,1,0)</f>
        <v>0</v>
      </c>
      <c r="I1752" s="23" t="n">
        <f aca="false">Test1_Hand!$B$4+H1752*D1752</f>
        <v>16</v>
      </c>
      <c r="J1752" s="24" t="n">
        <f aca="false">Test1_Hand!$B$6*H1752*D1752+Test1_Hand!$B$7*MAX(0,I1752-Test1_Hand!$B$5)+Test1_Hand!$B$14</f>
        <v>6000</v>
      </c>
    </row>
    <row r="1753" customFormat="false" ht="15" hidden="false" customHeight="false" outlineLevel="0" collapsed="false">
      <c r="A1753" s="2" t="n">
        <v>1741</v>
      </c>
      <c r="B1753" s="22" t="n">
        <v>0.979894426114091</v>
      </c>
      <c r="C1753" s="22" t="n">
        <v>0.0252233298608876</v>
      </c>
      <c r="D1753" s="23" t="n">
        <f aca="false">BETAINV(C1753,Test1_Hand!$B$21,Test1_Hand!$B$22,Test1_Hand!$B$9,Test1_Hand!$B$11)</f>
        <v>1.44666664641866</v>
      </c>
      <c r="E1753" s="2" t="n">
        <f aca="false">IF(B1753&lt;Test1_Hand!$B$12,1,0)</f>
        <v>0</v>
      </c>
      <c r="F1753" s="23" t="n">
        <f aca="false">Test1_Hand!$B$4+E1753*D1753</f>
        <v>16</v>
      </c>
      <c r="G1753" s="24" t="n">
        <f aca="false">Test1_Hand!$B$6*E1753*D1753+Test1_Hand!$B$7*MAX(0,F1753-Test1_Hand!$B$5)</f>
        <v>0</v>
      </c>
      <c r="H1753" s="2" t="n">
        <f aca="false">IF(B1753&lt;Test1_Hand!$B$13,1,0)</f>
        <v>0</v>
      </c>
      <c r="I1753" s="23" t="n">
        <f aca="false">Test1_Hand!$B$4+H1753*D1753</f>
        <v>16</v>
      </c>
      <c r="J1753" s="24" t="n">
        <f aca="false">Test1_Hand!$B$6*H1753*D1753+Test1_Hand!$B$7*MAX(0,I1753-Test1_Hand!$B$5)+Test1_Hand!$B$14</f>
        <v>6000</v>
      </c>
    </row>
    <row r="1754" customFormat="false" ht="15" hidden="false" customHeight="false" outlineLevel="0" collapsed="false">
      <c r="A1754" s="2" t="n">
        <v>1742</v>
      </c>
      <c r="B1754" s="22" t="n">
        <v>0.374267390598108</v>
      </c>
      <c r="C1754" s="22" t="n">
        <v>0.277820099597136</v>
      </c>
      <c r="D1754" s="23" t="n">
        <f aca="false">BETAINV(C1754,Test1_Hand!$B$21,Test1_Hand!$B$22,Test1_Hand!$B$9,Test1_Hand!$B$11)</f>
        <v>2.61213472305937</v>
      </c>
      <c r="E1754" s="2" t="n">
        <f aca="false">IF(B1754&lt;Test1_Hand!$B$12,1,0)</f>
        <v>1</v>
      </c>
      <c r="F1754" s="23" t="n">
        <f aca="false">Test1_Hand!$B$4+E1754*D1754</f>
        <v>18.6121347230594</v>
      </c>
      <c r="G1754" s="24" t="n">
        <f aca="false">Test1_Hand!$B$6*E1754*D1754+Test1_Hand!$B$7*MAX(0,F1754-Test1_Hand!$B$5)</f>
        <v>20897.0777844749</v>
      </c>
      <c r="H1754" s="2" t="n">
        <f aca="false">IF(B1754&lt;Test1_Hand!$B$13,1,0)</f>
        <v>0</v>
      </c>
      <c r="I1754" s="23" t="n">
        <f aca="false">Test1_Hand!$B$4+H1754*D1754</f>
        <v>16</v>
      </c>
      <c r="J1754" s="24" t="n">
        <f aca="false">Test1_Hand!$B$6*H1754*D1754+Test1_Hand!$B$7*MAX(0,I1754-Test1_Hand!$B$5)+Test1_Hand!$B$14</f>
        <v>6000</v>
      </c>
    </row>
    <row r="1755" customFormat="false" ht="15" hidden="false" customHeight="false" outlineLevel="0" collapsed="false">
      <c r="A1755" s="2" t="n">
        <v>1743</v>
      </c>
      <c r="B1755" s="22" t="n">
        <v>0.672411311699292</v>
      </c>
      <c r="C1755" s="22" t="n">
        <v>0.62506805620494</v>
      </c>
      <c r="D1755" s="23" t="n">
        <f aca="false">BETAINV(C1755,Test1_Hand!$B$21,Test1_Hand!$B$22,Test1_Hand!$B$9,Test1_Hand!$B$11)</f>
        <v>3.84337359036314</v>
      </c>
      <c r="E1755" s="2" t="n">
        <f aca="false">IF(B1755&lt;Test1_Hand!$B$12,1,0)</f>
        <v>0</v>
      </c>
      <c r="F1755" s="23" t="n">
        <f aca="false">Test1_Hand!$B$4+E1755*D1755</f>
        <v>16</v>
      </c>
      <c r="G1755" s="24" t="n">
        <f aca="false">Test1_Hand!$B$6*E1755*D1755+Test1_Hand!$B$7*MAX(0,F1755-Test1_Hand!$B$5)</f>
        <v>0</v>
      </c>
      <c r="H1755" s="2" t="n">
        <f aca="false">IF(B1755&lt;Test1_Hand!$B$13,1,0)</f>
        <v>0</v>
      </c>
      <c r="I1755" s="23" t="n">
        <f aca="false">Test1_Hand!$B$4+H1755*D1755</f>
        <v>16</v>
      </c>
      <c r="J1755" s="24" t="n">
        <f aca="false">Test1_Hand!$B$6*H1755*D1755+Test1_Hand!$B$7*MAX(0,I1755-Test1_Hand!$B$5)+Test1_Hand!$B$14</f>
        <v>6000</v>
      </c>
    </row>
    <row r="1756" customFormat="false" ht="15" hidden="false" customHeight="false" outlineLevel="0" collapsed="false">
      <c r="A1756" s="2" t="n">
        <v>1744</v>
      </c>
      <c r="B1756" s="22" t="n">
        <v>0.038905603994888</v>
      </c>
      <c r="C1756" s="22" t="n">
        <v>0.969909278525814</v>
      </c>
      <c r="D1756" s="23" t="n">
        <f aca="false">BETAINV(C1756,Test1_Hand!$B$21,Test1_Hand!$B$22,Test1_Hand!$B$9,Test1_Hand!$B$11)</f>
        <v>6.07404340084459</v>
      </c>
      <c r="E1756" s="2" t="n">
        <f aca="false">IF(B1756&lt;Test1_Hand!$B$12,1,0)</f>
        <v>1</v>
      </c>
      <c r="F1756" s="23" t="n">
        <f aca="false">Test1_Hand!$B$4+E1756*D1756</f>
        <v>22.0740434008446</v>
      </c>
      <c r="G1756" s="24" t="n">
        <f aca="false">Test1_Hand!$B$6*E1756*D1756+Test1_Hand!$B$7*MAX(0,F1756-Test1_Hand!$B$5)</f>
        <v>58962.5642109797</v>
      </c>
      <c r="H1756" s="2" t="n">
        <f aca="false">IF(B1756&lt;Test1_Hand!$B$13,1,0)</f>
        <v>1</v>
      </c>
      <c r="I1756" s="23" t="n">
        <f aca="false">Test1_Hand!$B$4+H1756*D1756</f>
        <v>22.0740434008446</v>
      </c>
      <c r="J1756" s="24" t="n">
        <f aca="false">Test1_Hand!$B$6*H1756*D1756+Test1_Hand!$B$7*MAX(0,I1756-Test1_Hand!$B$5)+Test1_Hand!$B$14</f>
        <v>64962.5642109797</v>
      </c>
    </row>
    <row r="1757" customFormat="false" ht="15" hidden="false" customHeight="false" outlineLevel="0" collapsed="false">
      <c r="A1757" s="2" t="n">
        <v>1745</v>
      </c>
      <c r="B1757" s="22" t="n">
        <v>0.215109197947125</v>
      </c>
      <c r="C1757" s="22" t="n">
        <v>0.386848273399211</v>
      </c>
      <c r="D1757" s="23" t="n">
        <f aca="false">BETAINV(C1757,Test1_Hand!$B$21,Test1_Hand!$B$22,Test1_Hand!$B$9,Test1_Hand!$B$11)</f>
        <v>2.99058076282595</v>
      </c>
      <c r="E1757" s="2" t="n">
        <f aca="false">IF(B1757&lt;Test1_Hand!$B$12,1,0)</f>
        <v>1</v>
      </c>
      <c r="F1757" s="23" t="n">
        <f aca="false">Test1_Hand!$B$4+E1757*D1757</f>
        <v>18.990580762826</v>
      </c>
      <c r="G1757" s="24" t="n">
        <f aca="false">Test1_Hand!$B$6*E1757*D1757+Test1_Hand!$B$7*MAX(0,F1757-Test1_Hand!$B$5)</f>
        <v>23924.6461026076</v>
      </c>
      <c r="H1757" s="2" t="n">
        <f aca="false">IF(B1757&lt;Test1_Hand!$B$13,1,0)</f>
        <v>0</v>
      </c>
      <c r="I1757" s="23" t="n">
        <f aca="false">Test1_Hand!$B$4+H1757*D1757</f>
        <v>16</v>
      </c>
      <c r="J1757" s="24" t="n">
        <f aca="false">Test1_Hand!$B$6*H1757*D1757+Test1_Hand!$B$7*MAX(0,I1757-Test1_Hand!$B$5)+Test1_Hand!$B$14</f>
        <v>6000</v>
      </c>
    </row>
    <row r="1758" customFormat="false" ht="15" hidden="false" customHeight="false" outlineLevel="0" collapsed="false">
      <c r="A1758" s="2" t="n">
        <v>1746</v>
      </c>
      <c r="B1758" s="22" t="n">
        <v>0.598369300918285</v>
      </c>
      <c r="C1758" s="22" t="n">
        <v>0.359776481700005</v>
      </c>
      <c r="D1758" s="23" t="n">
        <f aca="false">BETAINV(C1758,Test1_Hand!$B$21,Test1_Hand!$B$22,Test1_Hand!$B$9,Test1_Hand!$B$11)</f>
        <v>2.89756105009784</v>
      </c>
      <c r="E1758" s="2" t="n">
        <f aca="false">IF(B1758&lt;Test1_Hand!$B$12,1,0)</f>
        <v>0</v>
      </c>
      <c r="F1758" s="23" t="n">
        <f aca="false">Test1_Hand!$B$4+E1758*D1758</f>
        <v>16</v>
      </c>
      <c r="G1758" s="24" t="n">
        <f aca="false">Test1_Hand!$B$6*E1758*D1758+Test1_Hand!$B$7*MAX(0,F1758-Test1_Hand!$B$5)</f>
        <v>0</v>
      </c>
      <c r="H1758" s="2" t="n">
        <f aca="false">IF(B1758&lt;Test1_Hand!$B$13,1,0)</f>
        <v>0</v>
      </c>
      <c r="I1758" s="23" t="n">
        <f aca="false">Test1_Hand!$B$4+H1758*D1758</f>
        <v>16</v>
      </c>
      <c r="J1758" s="24" t="n">
        <f aca="false">Test1_Hand!$B$6*H1758*D1758+Test1_Hand!$B$7*MAX(0,I1758-Test1_Hand!$B$5)+Test1_Hand!$B$14</f>
        <v>6000</v>
      </c>
    </row>
    <row r="1759" customFormat="false" ht="15" hidden="false" customHeight="false" outlineLevel="0" collapsed="false">
      <c r="A1759" s="2" t="n">
        <v>1747</v>
      </c>
      <c r="B1759" s="22" t="n">
        <v>0.395623892326287</v>
      </c>
      <c r="C1759" s="22" t="n">
        <v>0.926840186448211</v>
      </c>
      <c r="D1759" s="23" t="n">
        <f aca="false">BETAINV(C1759,Test1_Hand!$B$21,Test1_Hand!$B$22,Test1_Hand!$B$9,Test1_Hand!$B$11)</f>
        <v>5.51361853895801</v>
      </c>
      <c r="E1759" s="2" t="n">
        <f aca="false">IF(B1759&lt;Test1_Hand!$B$12,1,0)</f>
        <v>1</v>
      </c>
      <c r="F1759" s="23" t="n">
        <f aca="false">Test1_Hand!$B$4+E1759*D1759</f>
        <v>21.513618538958</v>
      </c>
      <c r="G1759" s="24" t="n">
        <f aca="false">Test1_Hand!$B$6*E1759*D1759+Test1_Hand!$B$7*MAX(0,F1759-Test1_Hand!$B$5)</f>
        <v>51677.0410064541</v>
      </c>
      <c r="H1759" s="2" t="n">
        <f aca="false">IF(B1759&lt;Test1_Hand!$B$13,1,0)</f>
        <v>0</v>
      </c>
      <c r="I1759" s="23" t="n">
        <f aca="false">Test1_Hand!$B$4+H1759*D1759</f>
        <v>16</v>
      </c>
      <c r="J1759" s="24" t="n">
        <f aca="false">Test1_Hand!$B$6*H1759*D1759+Test1_Hand!$B$7*MAX(0,I1759-Test1_Hand!$B$5)+Test1_Hand!$B$14</f>
        <v>6000</v>
      </c>
    </row>
    <row r="1760" customFormat="false" ht="15" hidden="false" customHeight="false" outlineLevel="0" collapsed="false">
      <c r="A1760" s="2" t="n">
        <v>1748</v>
      </c>
      <c r="B1760" s="22" t="n">
        <v>0.564234177610257</v>
      </c>
      <c r="C1760" s="22" t="n">
        <v>0.801352508969239</v>
      </c>
      <c r="D1760" s="23" t="n">
        <f aca="false">BETAINV(C1760,Test1_Hand!$B$21,Test1_Hand!$B$22,Test1_Hand!$B$9,Test1_Hand!$B$11)</f>
        <v>4.63313114802097</v>
      </c>
      <c r="E1760" s="2" t="n">
        <f aca="false">IF(B1760&lt;Test1_Hand!$B$12,1,0)</f>
        <v>0</v>
      </c>
      <c r="F1760" s="23" t="n">
        <f aca="false">Test1_Hand!$B$4+E1760*D1760</f>
        <v>16</v>
      </c>
      <c r="G1760" s="24" t="n">
        <f aca="false">Test1_Hand!$B$6*E1760*D1760+Test1_Hand!$B$7*MAX(0,F1760-Test1_Hand!$B$5)</f>
        <v>0</v>
      </c>
      <c r="H1760" s="2" t="n">
        <f aca="false">IF(B1760&lt;Test1_Hand!$B$13,1,0)</f>
        <v>0</v>
      </c>
      <c r="I1760" s="23" t="n">
        <f aca="false">Test1_Hand!$B$4+H1760*D1760</f>
        <v>16</v>
      </c>
      <c r="J1760" s="24" t="n">
        <f aca="false">Test1_Hand!$B$6*H1760*D1760+Test1_Hand!$B$7*MAX(0,I1760-Test1_Hand!$B$5)+Test1_Hand!$B$14</f>
        <v>6000</v>
      </c>
    </row>
    <row r="1761" customFormat="false" ht="15" hidden="false" customHeight="false" outlineLevel="0" collapsed="false">
      <c r="A1761" s="2" t="n">
        <v>1749</v>
      </c>
      <c r="B1761" s="22" t="n">
        <v>0.436378050722013</v>
      </c>
      <c r="C1761" s="22" t="n">
        <v>0.74989886363663</v>
      </c>
      <c r="D1761" s="23" t="n">
        <f aca="false">BETAINV(C1761,Test1_Hand!$B$21,Test1_Hand!$B$22,Test1_Hand!$B$9,Test1_Hand!$B$11)</f>
        <v>4.37439380651273</v>
      </c>
      <c r="E1761" s="2" t="n">
        <f aca="false">IF(B1761&lt;Test1_Hand!$B$12,1,0)</f>
        <v>1</v>
      </c>
      <c r="F1761" s="23" t="n">
        <f aca="false">Test1_Hand!$B$4+E1761*D1761</f>
        <v>20.3743938065127</v>
      </c>
      <c r="G1761" s="24" t="n">
        <f aca="false">Test1_Hand!$B$6*E1761*D1761+Test1_Hand!$B$7*MAX(0,F1761-Test1_Hand!$B$5)</f>
        <v>36867.1194846655</v>
      </c>
      <c r="H1761" s="2" t="n">
        <f aca="false">IF(B1761&lt;Test1_Hand!$B$13,1,0)</f>
        <v>0</v>
      </c>
      <c r="I1761" s="23" t="n">
        <f aca="false">Test1_Hand!$B$4+H1761*D1761</f>
        <v>16</v>
      </c>
      <c r="J1761" s="24" t="n">
        <f aca="false">Test1_Hand!$B$6*H1761*D1761+Test1_Hand!$B$7*MAX(0,I1761-Test1_Hand!$B$5)+Test1_Hand!$B$14</f>
        <v>6000</v>
      </c>
    </row>
    <row r="1762" customFormat="false" ht="15" hidden="false" customHeight="false" outlineLevel="0" collapsed="false">
      <c r="A1762" s="2" t="n">
        <v>1750</v>
      </c>
      <c r="B1762" s="22" t="n">
        <v>0.439568772833133</v>
      </c>
      <c r="C1762" s="22" t="n">
        <v>0.706398621527976</v>
      </c>
      <c r="D1762" s="23" t="n">
        <f aca="false">BETAINV(C1762,Test1_Hand!$B$21,Test1_Hand!$B$22,Test1_Hand!$B$9,Test1_Hand!$B$11)</f>
        <v>4.17717927905703</v>
      </c>
      <c r="E1762" s="2" t="n">
        <f aca="false">IF(B1762&lt;Test1_Hand!$B$12,1,0)</f>
        <v>1</v>
      </c>
      <c r="F1762" s="23" t="n">
        <f aca="false">Test1_Hand!$B$4+E1762*D1762</f>
        <v>20.177179279057</v>
      </c>
      <c r="G1762" s="24" t="n">
        <f aca="false">Test1_Hand!$B$6*E1762*D1762+Test1_Hand!$B$7*MAX(0,F1762-Test1_Hand!$B$5)</f>
        <v>34303.3306277414</v>
      </c>
      <c r="H1762" s="2" t="n">
        <f aca="false">IF(B1762&lt;Test1_Hand!$B$13,1,0)</f>
        <v>0</v>
      </c>
      <c r="I1762" s="23" t="n">
        <f aca="false">Test1_Hand!$B$4+H1762*D1762</f>
        <v>16</v>
      </c>
      <c r="J1762" s="24" t="n">
        <f aca="false">Test1_Hand!$B$6*H1762*D1762+Test1_Hand!$B$7*MAX(0,I1762-Test1_Hand!$B$5)+Test1_Hand!$B$14</f>
        <v>6000</v>
      </c>
    </row>
    <row r="1763" customFormat="false" ht="15" hidden="false" customHeight="false" outlineLevel="0" collapsed="false">
      <c r="A1763" s="2" t="n">
        <v>1751</v>
      </c>
      <c r="B1763" s="22" t="n">
        <v>0.76021367785991</v>
      </c>
      <c r="C1763" s="22" t="n">
        <v>0.76037307971763</v>
      </c>
      <c r="D1763" s="23" t="n">
        <f aca="false">BETAINV(C1763,Test1_Hand!$B$21,Test1_Hand!$B$22,Test1_Hand!$B$9,Test1_Hand!$B$11)</f>
        <v>4.42451107604488</v>
      </c>
      <c r="E1763" s="2" t="n">
        <f aca="false">IF(B1763&lt;Test1_Hand!$B$12,1,0)</f>
        <v>0</v>
      </c>
      <c r="F1763" s="23" t="n">
        <f aca="false">Test1_Hand!$B$4+E1763*D1763</f>
        <v>16</v>
      </c>
      <c r="G1763" s="24" t="n">
        <f aca="false">Test1_Hand!$B$6*E1763*D1763+Test1_Hand!$B$7*MAX(0,F1763-Test1_Hand!$B$5)</f>
        <v>0</v>
      </c>
      <c r="H1763" s="2" t="n">
        <f aca="false">IF(B1763&lt;Test1_Hand!$B$13,1,0)</f>
        <v>0</v>
      </c>
      <c r="I1763" s="23" t="n">
        <f aca="false">Test1_Hand!$B$4+H1763*D1763</f>
        <v>16</v>
      </c>
      <c r="J1763" s="24" t="n">
        <f aca="false">Test1_Hand!$B$6*H1763*D1763+Test1_Hand!$B$7*MAX(0,I1763-Test1_Hand!$B$5)+Test1_Hand!$B$14</f>
        <v>6000</v>
      </c>
    </row>
    <row r="1764" customFormat="false" ht="15" hidden="false" customHeight="false" outlineLevel="0" collapsed="false">
      <c r="A1764" s="2" t="n">
        <v>1752</v>
      </c>
      <c r="B1764" s="22" t="n">
        <v>0.387180780410176</v>
      </c>
      <c r="C1764" s="22" t="n">
        <v>0.572853440541344</v>
      </c>
      <c r="D1764" s="23" t="n">
        <f aca="false">BETAINV(C1764,Test1_Hand!$B$21,Test1_Hand!$B$22,Test1_Hand!$B$9,Test1_Hand!$B$11)</f>
        <v>3.64537639242108</v>
      </c>
      <c r="E1764" s="2" t="n">
        <f aca="false">IF(B1764&lt;Test1_Hand!$B$12,1,0)</f>
        <v>1</v>
      </c>
      <c r="F1764" s="23" t="n">
        <f aca="false">Test1_Hand!$B$4+E1764*D1764</f>
        <v>19.6453763924211</v>
      </c>
      <c r="G1764" s="24" t="n">
        <f aca="false">Test1_Hand!$B$6*E1764*D1764+Test1_Hand!$B$7*MAX(0,F1764-Test1_Hand!$B$5)</f>
        <v>29163.0111393687</v>
      </c>
      <c r="H1764" s="2" t="n">
        <f aca="false">IF(B1764&lt;Test1_Hand!$B$13,1,0)</f>
        <v>0</v>
      </c>
      <c r="I1764" s="23" t="n">
        <f aca="false">Test1_Hand!$B$4+H1764*D1764</f>
        <v>16</v>
      </c>
      <c r="J1764" s="24" t="n">
        <f aca="false">Test1_Hand!$B$6*H1764*D1764+Test1_Hand!$B$7*MAX(0,I1764-Test1_Hand!$B$5)+Test1_Hand!$B$14</f>
        <v>6000</v>
      </c>
    </row>
    <row r="1765" customFormat="false" ht="15" hidden="false" customHeight="false" outlineLevel="0" collapsed="false">
      <c r="A1765" s="2" t="n">
        <v>1753</v>
      </c>
      <c r="B1765" s="22" t="n">
        <v>0.355717050676325</v>
      </c>
      <c r="C1765" s="22" t="n">
        <v>0.892636222346638</v>
      </c>
      <c r="D1765" s="23" t="n">
        <f aca="false">BETAINV(C1765,Test1_Hand!$B$21,Test1_Hand!$B$22,Test1_Hand!$B$9,Test1_Hand!$B$11)</f>
        <v>5.21404909035671</v>
      </c>
      <c r="E1765" s="2" t="n">
        <f aca="false">IF(B1765&lt;Test1_Hand!$B$12,1,0)</f>
        <v>1</v>
      </c>
      <c r="F1765" s="23" t="n">
        <f aca="false">Test1_Hand!$B$4+E1765*D1765</f>
        <v>21.2140490903567</v>
      </c>
      <c r="G1765" s="24" t="n">
        <f aca="false">Test1_Hand!$B$6*E1765*D1765+Test1_Hand!$B$7*MAX(0,F1765-Test1_Hand!$B$5)</f>
        <v>47782.6381746373</v>
      </c>
      <c r="H1765" s="2" t="n">
        <f aca="false">IF(B1765&lt;Test1_Hand!$B$13,1,0)</f>
        <v>0</v>
      </c>
      <c r="I1765" s="23" t="n">
        <f aca="false">Test1_Hand!$B$4+H1765*D1765</f>
        <v>16</v>
      </c>
      <c r="J1765" s="24" t="n">
        <f aca="false">Test1_Hand!$B$6*H1765*D1765+Test1_Hand!$B$7*MAX(0,I1765-Test1_Hand!$B$5)+Test1_Hand!$B$14</f>
        <v>6000</v>
      </c>
    </row>
    <row r="1766" customFormat="false" ht="15" hidden="false" customHeight="false" outlineLevel="0" collapsed="false">
      <c r="A1766" s="2" t="n">
        <v>1754</v>
      </c>
      <c r="B1766" s="22" t="n">
        <v>0.99430114075078</v>
      </c>
      <c r="C1766" s="22" t="n">
        <v>0.288070537846374</v>
      </c>
      <c r="D1766" s="23" t="n">
        <f aca="false">BETAINV(C1766,Test1_Hand!$B$21,Test1_Hand!$B$22,Test1_Hand!$B$9,Test1_Hand!$B$11)</f>
        <v>2.64839272652109</v>
      </c>
      <c r="E1766" s="2" t="n">
        <f aca="false">IF(B1766&lt;Test1_Hand!$B$12,1,0)</f>
        <v>0</v>
      </c>
      <c r="F1766" s="23" t="n">
        <f aca="false">Test1_Hand!$B$4+E1766*D1766</f>
        <v>16</v>
      </c>
      <c r="G1766" s="24" t="n">
        <f aca="false">Test1_Hand!$B$6*E1766*D1766+Test1_Hand!$B$7*MAX(0,F1766-Test1_Hand!$B$5)</f>
        <v>0</v>
      </c>
      <c r="H1766" s="2" t="n">
        <f aca="false">IF(B1766&lt;Test1_Hand!$B$13,1,0)</f>
        <v>0</v>
      </c>
      <c r="I1766" s="23" t="n">
        <f aca="false">Test1_Hand!$B$4+H1766*D1766</f>
        <v>16</v>
      </c>
      <c r="J1766" s="24" t="n">
        <f aca="false">Test1_Hand!$B$6*H1766*D1766+Test1_Hand!$B$7*MAX(0,I1766-Test1_Hand!$B$5)+Test1_Hand!$B$14</f>
        <v>6000</v>
      </c>
    </row>
    <row r="1767" customFormat="false" ht="15" hidden="false" customHeight="false" outlineLevel="0" collapsed="false">
      <c r="A1767" s="2" t="n">
        <v>1755</v>
      </c>
      <c r="B1767" s="22" t="n">
        <v>0.157884738299725</v>
      </c>
      <c r="C1767" s="22" t="n">
        <v>0.189846107250668</v>
      </c>
      <c r="D1767" s="23" t="n">
        <f aca="false">BETAINV(C1767,Test1_Hand!$B$21,Test1_Hand!$B$22,Test1_Hand!$B$9,Test1_Hand!$B$11)</f>
        <v>2.28758574480615</v>
      </c>
      <c r="E1767" s="2" t="n">
        <f aca="false">IF(B1767&lt;Test1_Hand!$B$12,1,0)</f>
        <v>1</v>
      </c>
      <c r="F1767" s="23" t="n">
        <f aca="false">Test1_Hand!$B$4+E1767*D1767</f>
        <v>18.2875857448062</v>
      </c>
      <c r="G1767" s="24" t="n">
        <f aca="false">Test1_Hand!$B$6*E1767*D1767+Test1_Hand!$B$7*MAX(0,F1767-Test1_Hand!$B$5)</f>
        <v>18300.6859584492</v>
      </c>
      <c r="H1767" s="2" t="n">
        <f aca="false">IF(B1767&lt;Test1_Hand!$B$13,1,0)</f>
        <v>1</v>
      </c>
      <c r="I1767" s="23" t="n">
        <f aca="false">Test1_Hand!$B$4+H1767*D1767</f>
        <v>18.2875857448062</v>
      </c>
      <c r="J1767" s="24" t="n">
        <f aca="false">Test1_Hand!$B$6*H1767*D1767+Test1_Hand!$B$7*MAX(0,I1767-Test1_Hand!$B$5)+Test1_Hand!$B$14</f>
        <v>24300.6859584492</v>
      </c>
    </row>
    <row r="1768" customFormat="false" ht="15" hidden="false" customHeight="false" outlineLevel="0" collapsed="false">
      <c r="A1768" s="2" t="n">
        <v>1756</v>
      </c>
      <c r="B1768" s="22" t="n">
        <v>0.531280768980694</v>
      </c>
      <c r="C1768" s="22" t="n">
        <v>0.431080938276362</v>
      </c>
      <c r="D1768" s="23" t="n">
        <f aca="false">BETAINV(C1768,Test1_Hand!$B$21,Test1_Hand!$B$22,Test1_Hand!$B$9,Test1_Hand!$B$11)</f>
        <v>3.14263646622205</v>
      </c>
      <c r="E1768" s="2" t="n">
        <f aca="false">IF(B1768&lt;Test1_Hand!$B$12,1,0)</f>
        <v>0</v>
      </c>
      <c r="F1768" s="23" t="n">
        <f aca="false">Test1_Hand!$B$4+E1768*D1768</f>
        <v>16</v>
      </c>
      <c r="G1768" s="24" t="n">
        <f aca="false">Test1_Hand!$B$6*E1768*D1768+Test1_Hand!$B$7*MAX(0,F1768-Test1_Hand!$B$5)</f>
        <v>0</v>
      </c>
      <c r="H1768" s="2" t="n">
        <f aca="false">IF(B1768&lt;Test1_Hand!$B$13,1,0)</f>
        <v>0</v>
      </c>
      <c r="I1768" s="23" t="n">
        <f aca="false">Test1_Hand!$B$4+H1768*D1768</f>
        <v>16</v>
      </c>
      <c r="J1768" s="24" t="n">
        <f aca="false">Test1_Hand!$B$6*H1768*D1768+Test1_Hand!$B$7*MAX(0,I1768-Test1_Hand!$B$5)+Test1_Hand!$B$14</f>
        <v>6000</v>
      </c>
    </row>
    <row r="1769" customFormat="false" ht="15" hidden="false" customHeight="false" outlineLevel="0" collapsed="false">
      <c r="A1769" s="2" t="n">
        <v>1757</v>
      </c>
      <c r="B1769" s="22" t="n">
        <v>0.183397008584952</v>
      </c>
      <c r="C1769" s="22" t="n">
        <v>0.500203498902883</v>
      </c>
      <c r="D1769" s="23" t="n">
        <f aca="false">BETAINV(C1769,Test1_Hand!$B$21,Test1_Hand!$B$22,Test1_Hand!$B$9,Test1_Hand!$B$11)</f>
        <v>3.38330672431441</v>
      </c>
      <c r="E1769" s="2" t="n">
        <f aca="false">IF(B1769&lt;Test1_Hand!$B$12,1,0)</f>
        <v>1</v>
      </c>
      <c r="F1769" s="23" t="n">
        <f aca="false">Test1_Hand!$B$4+E1769*D1769</f>
        <v>19.3833067243144</v>
      </c>
      <c r="G1769" s="24" t="n">
        <f aca="false">Test1_Hand!$B$6*E1769*D1769+Test1_Hand!$B$7*MAX(0,F1769-Test1_Hand!$B$5)</f>
        <v>27066.4537945152</v>
      </c>
      <c r="H1769" s="2" t="n">
        <f aca="false">IF(B1769&lt;Test1_Hand!$B$13,1,0)</f>
        <v>1</v>
      </c>
      <c r="I1769" s="23" t="n">
        <f aca="false">Test1_Hand!$B$4+H1769*D1769</f>
        <v>19.3833067243144</v>
      </c>
      <c r="J1769" s="24" t="n">
        <f aca="false">Test1_Hand!$B$6*H1769*D1769+Test1_Hand!$B$7*MAX(0,I1769-Test1_Hand!$B$5)+Test1_Hand!$B$14</f>
        <v>33066.4537945152</v>
      </c>
    </row>
    <row r="1770" customFormat="false" ht="15" hidden="false" customHeight="false" outlineLevel="0" collapsed="false">
      <c r="A1770" s="2" t="n">
        <v>1758</v>
      </c>
      <c r="B1770" s="22" t="n">
        <v>0.0347777133394848</v>
      </c>
      <c r="C1770" s="22" t="n">
        <v>0.450247891771367</v>
      </c>
      <c r="D1770" s="23" t="n">
        <f aca="false">BETAINV(C1770,Test1_Hand!$B$21,Test1_Hand!$B$22,Test1_Hand!$B$9,Test1_Hand!$B$11)</f>
        <v>3.20884221667928</v>
      </c>
      <c r="E1770" s="2" t="n">
        <f aca="false">IF(B1770&lt;Test1_Hand!$B$12,1,0)</f>
        <v>1</v>
      </c>
      <c r="F1770" s="23" t="n">
        <f aca="false">Test1_Hand!$B$4+E1770*D1770</f>
        <v>19.2088422166793</v>
      </c>
      <c r="G1770" s="24" t="n">
        <f aca="false">Test1_Hand!$B$6*E1770*D1770+Test1_Hand!$B$7*MAX(0,F1770-Test1_Hand!$B$5)</f>
        <v>25670.7377334343</v>
      </c>
      <c r="H1770" s="2" t="n">
        <f aca="false">IF(B1770&lt;Test1_Hand!$B$13,1,0)</f>
        <v>1</v>
      </c>
      <c r="I1770" s="23" t="n">
        <f aca="false">Test1_Hand!$B$4+H1770*D1770</f>
        <v>19.2088422166793</v>
      </c>
      <c r="J1770" s="24" t="n">
        <f aca="false">Test1_Hand!$B$6*H1770*D1770+Test1_Hand!$B$7*MAX(0,I1770-Test1_Hand!$B$5)+Test1_Hand!$B$14</f>
        <v>31670.7377334343</v>
      </c>
    </row>
    <row r="1771" customFormat="false" ht="15" hidden="false" customHeight="false" outlineLevel="0" collapsed="false">
      <c r="A1771" s="2" t="n">
        <v>1759</v>
      </c>
      <c r="B1771" s="22" t="n">
        <v>0.801320418254081</v>
      </c>
      <c r="C1771" s="22" t="n">
        <v>0.923116083601563</v>
      </c>
      <c r="D1771" s="23" t="n">
        <f aca="false">BETAINV(C1771,Test1_Hand!$B$21,Test1_Hand!$B$22,Test1_Hand!$B$9,Test1_Hand!$B$11)</f>
        <v>5.4770981502747</v>
      </c>
      <c r="E1771" s="2" t="n">
        <f aca="false">IF(B1771&lt;Test1_Hand!$B$12,1,0)</f>
        <v>0</v>
      </c>
      <c r="F1771" s="23" t="n">
        <f aca="false">Test1_Hand!$B$4+E1771*D1771</f>
        <v>16</v>
      </c>
      <c r="G1771" s="24" t="n">
        <f aca="false">Test1_Hand!$B$6*E1771*D1771+Test1_Hand!$B$7*MAX(0,F1771-Test1_Hand!$B$5)</f>
        <v>0</v>
      </c>
      <c r="H1771" s="2" t="n">
        <f aca="false">IF(B1771&lt;Test1_Hand!$B$13,1,0)</f>
        <v>0</v>
      </c>
      <c r="I1771" s="23" t="n">
        <f aca="false">Test1_Hand!$B$4+H1771*D1771</f>
        <v>16</v>
      </c>
      <c r="J1771" s="24" t="n">
        <f aca="false">Test1_Hand!$B$6*H1771*D1771+Test1_Hand!$B$7*MAX(0,I1771-Test1_Hand!$B$5)+Test1_Hand!$B$14</f>
        <v>6000</v>
      </c>
    </row>
    <row r="1772" customFormat="false" ht="15" hidden="false" customHeight="false" outlineLevel="0" collapsed="false">
      <c r="A1772" s="2" t="n">
        <v>1760</v>
      </c>
      <c r="B1772" s="22" t="n">
        <v>0.663069208058913</v>
      </c>
      <c r="C1772" s="22" t="n">
        <v>0.90010218357489</v>
      </c>
      <c r="D1772" s="23" t="n">
        <f aca="false">BETAINV(C1772,Test1_Hand!$B$21,Test1_Hand!$B$22,Test1_Hand!$B$9,Test1_Hand!$B$11)</f>
        <v>5.27353561984926</v>
      </c>
      <c r="E1772" s="2" t="n">
        <f aca="false">IF(B1772&lt;Test1_Hand!$B$12,1,0)</f>
        <v>0</v>
      </c>
      <c r="F1772" s="23" t="n">
        <f aca="false">Test1_Hand!$B$4+E1772*D1772</f>
        <v>16</v>
      </c>
      <c r="G1772" s="24" t="n">
        <f aca="false">Test1_Hand!$B$6*E1772*D1772+Test1_Hand!$B$7*MAX(0,F1772-Test1_Hand!$B$5)</f>
        <v>0</v>
      </c>
      <c r="H1772" s="2" t="n">
        <f aca="false">IF(B1772&lt;Test1_Hand!$B$13,1,0)</f>
        <v>0</v>
      </c>
      <c r="I1772" s="23" t="n">
        <f aca="false">Test1_Hand!$B$4+H1772*D1772</f>
        <v>16</v>
      </c>
      <c r="J1772" s="24" t="n">
        <f aca="false">Test1_Hand!$B$6*H1772*D1772+Test1_Hand!$B$7*MAX(0,I1772-Test1_Hand!$B$5)+Test1_Hand!$B$14</f>
        <v>6000</v>
      </c>
    </row>
    <row r="1773" customFormat="false" ht="15" hidden="false" customHeight="false" outlineLevel="0" collapsed="false">
      <c r="A1773" s="2" t="n">
        <v>1761</v>
      </c>
      <c r="B1773" s="22" t="n">
        <v>0.0764960311612417</v>
      </c>
      <c r="C1773" s="22" t="n">
        <v>0.031050227544098</v>
      </c>
      <c r="D1773" s="23" t="n">
        <f aca="false">BETAINV(C1773,Test1_Hand!$B$21,Test1_Hand!$B$22,Test1_Hand!$B$9,Test1_Hand!$B$11)</f>
        <v>1.49540037292611</v>
      </c>
      <c r="E1773" s="2" t="n">
        <f aca="false">IF(B1773&lt;Test1_Hand!$B$12,1,0)</f>
        <v>1</v>
      </c>
      <c r="F1773" s="23" t="n">
        <f aca="false">Test1_Hand!$B$4+E1773*D1773</f>
        <v>17.4954003729261</v>
      </c>
      <c r="G1773" s="24" t="n">
        <f aca="false">Test1_Hand!$B$6*E1773*D1773+Test1_Hand!$B$7*MAX(0,F1773-Test1_Hand!$B$5)</f>
        <v>11963.2029834089</v>
      </c>
      <c r="H1773" s="2" t="n">
        <f aca="false">IF(B1773&lt;Test1_Hand!$B$13,1,0)</f>
        <v>1</v>
      </c>
      <c r="I1773" s="23" t="n">
        <f aca="false">Test1_Hand!$B$4+H1773*D1773</f>
        <v>17.4954003729261</v>
      </c>
      <c r="J1773" s="24" t="n">
        <f aca="false">Test1_Hand!$B$6*H1773*D1773+Test1_Hand!$B$7*MAX(0,I1773-Test1_Hand!$B$5)+Test1_Hand!$B$14</f>
        <v>17963.2029834089</v>
      </c>
    </row>
    <row r="1774" customFormat="false" ht="15" hidden="false" customHeight="false" outlineLevel="0" collapsed="false">
      <c r="A1774" s="2" t="n">
        <v>1762</v>
      </c>
      <c r="B1774" s="22" t="n">
        <v>0.373230419472335</v>
      </c>
      <c r="C1774" s="22" t="n">
        <v>0.651456291088645</v>
      </c>
      <c r="D1774" s="23" t="n">
        <f aca="false">BETAINV(C1774,Test1_Hand!$B$21,Test1_Hand!$B$22,Test1_Hand!$B$9,Test1_Hand!$B$11)</f>
        <v>3.94770411166304</v>
      </c>
      <c r="E1774" s="2" t="n">
        <f aca="false">IF(B1774&lt;Test1_Hand!$B$12,1,0)</f>
        <v>1</v>
      </c>
      <c r="F1774" s="23" t="n">
        <f aca="false">Test1_Hand!$B$4+E1774*D1774</f>
        <v>19.947704111663</v>
      </c>
      <c r="G1774" s="24" t="n">
        <f aca="false">Test1_Hand!$B$6*E1774*D1774+Test1_Hand!$B$7*MAX(0,F1774-Test1_Hand!$B$5)</f>
        <v>31581.6328933043</v>
      </c>
      <c r="H1774" s="2" t="n">
        <f aca="false">IF(B1774&lt;Test1_Hand!$B$13,1,0)</f>
        <v>0</v>
      </c>
      <c r="I1774" s="23" t="n">
        <f aca="false">Test1_Hand!$B$4+H1774*D1774</f>
        <v>16</v>
      </c>
      <c r="J1774" s="24" t="n">
        <f aca="false">Test1_Hand!$B$6*H1774*D1774+Test1_Hand!$B$7*MAX(0,I1774-Test1_Hand!$B$5)+Test1_Hand!$B$14</f>
        <v>6000</v>
      </c>
    </row>
    <row r="1775" customFormat="false" ht="15" hidden="false" customHeight="false" outlineLevel="0" collapsed="false">
      <c r="A1775" s="2" t="n">
        <v>1763</v>
      </c>
      <c r="B1775" s="22" t="n">
        <v>0.377012319275647</v>
      </c>
      <c r="C1775" s="22" t="n">
        <v>0.868896487495532</v>
      </c>
      <c r="D1775" s="23" t="n">
        <f aca="false">BETAINV(C1775,Test1_Hand!$B$21,Test1_Hand!$B$22,Test1_Hand!$B$9,Test1_Hand!$B$11)</f>
        <v>5.04058238787641</v>
      </c>
      <c r="E1775" s="2" t="n">
        <f aca="false">IF(B1775&lt;Test1_Hand!$B$12,1,0)</f>
        <v>1</v>
      </c>
      <c r="F1775" s="23" t="n">
        <f aca="false">Test1_Hand!$B$4+E1775*D1775</f>
        <v>21.0405823878764</v>
      </c>
      <c r="G1775" s="24" t="n">
        <f aca="false">Test1_Hand!$B$6*E1775*D1775+Test1_Hand!$B$7*MAX(0,F1775-Test1_Hand!$B$5)</f>
        <v>45527.5710423933</v>
      </c>
      <c r="H1775" s="2" t="n">
        <f aca="false">IF(B1775&lt;Test1_Hand!$B$13,1,0)</f>
        <v>0</v>
      </c>
      <c r="I1775" s="23" t="n">
        <f aca="false">Test1_Hand!$B$4+H1775*D1775</f>
        <v>16</v>
      </c>
      <c r="J1775" s="24" t="n">
        <f aca="false">Test1_Hand!$B$6*H1775*D1775+Test1_Hand!$B$7*MAX(0,I1775-Test1_Hand!$B$5)+Test1_Hand!$B$14</f>
        <v>6000</v>
      </c>
    </row>
    <row r="1776" customFormat="false" ht="15" hidden="false" customHeight="false" outlineLevel="0" collapsed="false">
      <c r="A1776" s="2" t="n">
        <v>1764</v>
      </c>
      <c r="B1776" s="22" t="n">
        <v>0.311562386508966</v>
      </c>
      <c r="C1776" s="22" t="n">
        <v>0.564969023889616</v>
      </c>
      <c r="D1776" s="23" t="n">
        <f aca="false">BETAINV(C1776,Test1_Hand!$B$21,Test1_Hand!$B$22,Test1_Hand!$B$9,Test1_Hand!$B$11)</f>
        <v>3.61628488391161</v>
      </c>
      <c r="E1776" s="2" t="n">
        <f aca="false">IF(B1776&lt;Test1_Hand!$B$12,1,0)</f>
        <v>1</v>
      </c>
      <c r="F1776" s="23" t="n">
        <f aca="false">Test1_Hand!$B$4+E1776*D1776</f>
        <v>19.6162848839116</v>
      </c>
      <c r="G1776" s="24" t="n">
        <f aca="false">Test1_Hand!$B$6*E1776*D1776+Test1_Hand!$B$7*MAX(0,F1776-Test1_Hand!$B$5)</f>
        <v>28930.2790712929</v>
      </c>
      <c r="H1776" s="2" t="n">
        <f aca="false">IF(B1776&lt;Test1_Hand!$B$13,1,0)</f>
        <v>0</v>
      </c>
      <c r="I1776" s="23" t="n">
        <f aca="false">Test1_Hand!$B$4+H1776*D1776</f>
        <v>16</v>
      </c>
      <c r="J1776" s="24" t="n">
        <f aca="false">Test1_Hand!$B$6*H1776*D1776+Test1_Hand!$B$7*MAX(0,I1776-Test1_Hand!$B$5)+Test1_Hand!$B$14</f>
        <v>6000</v>
      </c>
    </row>
    <row r="1777" customFormat="false" ht="15" hidden="false" customHeight="false" outlineLevel="0" collapsed="false">
      <c r="A1777" s="2" t="n">
        <v>1765</v>
      </c>
      <c r="B1777" s="22" t="n">
        <v>0.779865275588376</v>
      </c>
      <c r="C1777" s="22" t="n">
        <v>0.165952854632176</v>
      </c>
      <c r="D1777" s="23" t="n">
        <f aca="false">BETAINV(C1777,Test1_Hand!$B$21,Test1_Hand!$B$22,Test1_Hand!$B$9,Test1_Hand!$B$11)</f>
        <v>2.19302069512252</v>
      </c>
      <c r="E1777" s="2" t="n">
        <f aca="false">IF(B1777&lt;Test1_Hand!$B$12,1,0)</f>
        <v>0</v>
      </c>
      <c r="F1777" s="23" t="n">
        <f aca="false">Test1_Hand!$B$4+E1777*D1777</f>
        <v>16</v>
      </c>
      <c r="G1777" s="24" t="n">
        <f aca="false">Test1_Hand!$B$6*E1777*D1777+Test1_Hand!$B$7*MAX(0,F1777-Test1_Hand!$B$5)</f>
        <v>0</v>
      </c>
      <c r="H1777" s="2" t="n">
        <f aca="false">IF(B1777&lt;Test1_Hand!$B$13,1,0)</f>
        <v>0</v>
      </c>
      <c r="I1777" s="23" t="n">
        <f aca="false">Test1_Hand!$B$4+H1777*D1777</f>
        <v>16</v>
      </c>
      <c r="J1777" s="24" t="n">
        <f aca="false">Test1_Hand!$B$6*H1777*D1777+Test1_Hand!$B$7*MAX(0,I1777-Test1_Hand!$B$5)+Test1_Hand!$B$14</f>
        <v>6000</v>
      </c>
    </row>
    <row r="1778" customFormat="false" ht="15" hidden="false" customHeight="false" outlineLevel="0" collapsed="false">
      <c r="A1778" s="2" t="n">
        <v>1766</v>
      </c>
      <c r="B1778" s="22" t="n">
        <v>0.455894144745951</v>
      </c>
      <c r="C1778" s="22" t="n">
        <v>0.749814610359911</v>
      </c>
      <c r="D1778" s="23" t="n">
        <f aca="false">BETAINV(C1778,Test1_Hand!$B$21,Test1_Hand!$B$22,Test1_Hand!$B$9,Test1_Hand!$B$11)</f>
        <v>4.37399526361195</v>
      </c>
      <c r="E1778" s="2" t="n">
        <f aca="false">IF(B1778&lt;Test1_Hand!$B$12,1,0)</f>
        <v>1</v>
      </c>
      <c r="F1778" s="23" t="n">
        <f aca="false">Test1_Hand!$B$4+E1778*D1778</f>
        <v>20.3739952636119</v>
      </c>
      <c r="G1778" s="24" t="n">
        <f aca="false">Test1_Hand!$B$6*E1778*D1778+Test1_Hand!$B$7*MAX(0,F1778-Test1_Hand!$B$5)</f>
        <v>36861.9384269553</v>
      </c>
      <c r="H1778" s="2" t="n">
        <f aca="false">IF(B1778&lt;Test1_Hand!$B$13,1,0)</f>
        <v>0</v>
      </c>
      <c r="I1778" s="23" t="n">
        <f aca="false">Test1_Hand!$B$4+H1778*D1778</f>
        <v>16</v>
      </c>
      <c r="J1778" s="24" t="n">
        <f aca="false">Test1_Hand!$B$6*H1778*D1778+Test1_Hand!$B$7*MAX(0,I1778-Test1_Hand!$B$5)+Test1_Hand!$B$14</f>
        <v>6000</v>
      </c>
    </row>
    <row r="1779" customFormat="false" ht="15" hidden="false" customHeight="false" outlineLevel="0" collapsed="false">
      <c r="A1779" s="2" t="n">
        <v>1767</v>
      </c>
      <c r="B1779" s="22" t="n">
        <v>0.966538327369823</v>
      </c>
      <c r="C1779" s="22" t="n">
        <v>0.782177653229859</v>
      </c>
      <c r="D1779" s="23" t="n">
        <f aca="false">BETAINV(C1779,Test1_Hand!$B$21,Test1_Hand!$B$22,Test1_Hand!$B$9,Test1_Hand!$B$11)</f>
        <v>4.53280323446682</v>
      </c>
      <c r="E1779" s="2" t="n">
        <f aca="false">IF(B1779&lt;Test1_Hand!$B$12,1,0)</f>
        <v>0</v>
      </c>
      <c r="F1779" s="23" t="n">
        <f aca="false">Test1_Hand!$B$4+E1779*D1779</f>
        <v>16</v>
      </c>
      <c r="G1779" s="24" t="n">
        <f aca="false">Test1_Hand!$B$6*E1779*D1779+Test1_Hand!$B$7*MAX(0,F1779-Test1_Hand!$B$5)</f>
        <v>0</v>
      </c>
      <c r="H1779" s="2" t="n">
        <f aca="false">IF(B1779&lt;Test1_Hand!$B$13,1,0)</f>
        <v>0</v>
      </c>
      <c r="I1779" s="23" t="n">
        <f aca="false">Test1_Hand!$B$4+H1779*D1779</f>
        <v>16</v>
      </c>
      <c r="J1779" s="24" t="n">
        <f aca="false">Test1_Hand!$B$6*H1779*D1779+Test1_Hand!$B$7*MAX(0,I1779-Test1_Hand!$B$5)+Test1_Hand!$B$14</f>
        <v>6000</v>
      </c>
    </row>
    <row r="1780" customFormat="false" ht="15" hidden="false" customHeight="false" outlineLevel="0" collapsed="false">
      <c r="A1780" s="2" t="n">
        <v>1768</v>
      </c>
      <c r="B1780" s="22" t="n">
        <v>0.828498896008716</v>
      </c>
      <c r="C1780" s="22" t="n">
        <v>0.550008191115612</v>
      </c>
      <c r="D1780" s="23" t="n">
        <f aca="false">BETAINV(C1780,Test1_Hand!$B$21,Test1_Hand!$B$22,Test1_Hand!$B$9,Test1_Hand!$B$11)</f>
        <v>3.56157211165113</v>
      </c>
      <c r="E1780" s="2" t="n">
        <f aca="false">IF(B1780&lt;Test1_Hand!$B$12,1,0)</f>
        <v>0</v>
      </c>
      <c r="F1780" s="23" t="n">
        <f aca="false">Test1_Hand!$B$4+E1780*D1780</f>
        <v>16</v>
      </c>
      <c r="G1780" s="24" t="n">
        <f aca="false">Test1_Hand!$B$6*E1780*D1780+Test1_Hand!$B$7*MAX(0,F1780-Test1_Hand!$B$5)</f>
        <v>0</v>
      </c>
      <c r="H1780" s="2" t="n">
        <f aca="false">IF(B1780&lt;Test1_Hand!$B$13,1,0)</f>
        <v>0</v>
      </c>
      <c r="I1780" s="23" t="n">
        <f aca="false">Test1_Hand!$B$4+H1780*D1780</f>
        <v>16</v>
      </c>
      <c r="J1780" s="24" t="n">
        <f aca="false">Test1_Hand!$B$6*H1780*D1780+Test1_Hand!$B$7*MAX(0,I1780-Test1_Hand!$B$5)+Test1_Hand!$B$14</f>
        <v>6000</v>
      </c>
    </row>
    <row r="1781" customFormat="false" ht="15" hidden="false" customHeight="false" outlineLevel="0" collapsed="false">
      <c r="A1781" s="2" t="n">
        <v>1769</v>
      </c>
      <c r="B1781" s="22" t="n">
        <v>0.951527348026562</v>
      </c>
      <c r="C1781" s="22" t="n">
        <v>0.760647311322587</v>
      </c>
      <c r="D1781" s="23" t="n">
        <f aca="false">BETAINV(C1781,Test1_Hand!$B$21,Test1_Hand!$B$22,Test1_Hand!$B$9,Test1_Hand!$B$11)</f>
        <v>4.42583887818091</v>
      </c>
      <c r="E1781" s="2" t="n">
        <f aca="false">IF(B1781&lt;Test1_Hand!$B$12,1,0)</f>
        <v>0</v>
      </c>
      <c r="F1781" s="23" t="n">
        <f aca="false">Test1_Hand!$B$4+E1781*D1781</f>
        <v>16</v>
      </c>
      <c r="G1781" s="24" t="n">
        <f aca="false">Test1_Hand!$B$6*E1781*D1781+Test1_Hand!$B$7*MAX(0,F1781-Test1_Hand!$B$5)</f>
        <v>0</v>
      </c>
      <c r="H1781" s="2" t="n">
        <f aca="false">IF(B1781&lt;Test1_Hand!$B$13,1,0)</f>
        <v>0</v>
      </c>
      <c r="I1781" s="23" t="n">
        <f aca="false">Test1_Hand!$B$4+H1781*D1781</f>
        <v>16</v>
      </c>
      <c r="J1781" s="24" t="n">
        <f aca="false">Test1_Hand!$B$6*H1781*D1781+Test1_Hand!$B$7*MAX(0,I1781-Test1_Hand!$B$5)+Test1_Hand!$B$14</f>
        <v>6000</v>
      </c>
    </row>
    <row r="1782" customFormat="false" ht="15" hidden="false" customHeight="false" outlineLevel="0" collapsed="false">
      <c r="A1782" s="2" t="n">
        <v>1770</v>
      </c>
      <c r="B1782" s="22" t="n">
        <v>0.0611035499864011</v>
      </c>
      <c r="C1782" s="22" t="n">
        <v>0.57312996898381</v>
      </c>
      <c r="D1782" s="23" t="n">
        <f aca="false">BETAINV(C1782,Test1_Hand!$B$21,Test1_Hand!$B$22,Test1_Hand!$B$9,Test1_Hand!$B$11)</f>
        <v>3.64640011775335</v>
      </c>
      <c r="E1782" s="2" t="n">
        <f aca="false">IF(B1782&lt;Test1_Hand!$B$12,1,0)</f>
        <v>1</v>
      </c>
      <c r="F1782" s="23" t="n">
        <f aca="false">Test1_Hand!$B$4+E1782*D1782</f>
        <v>19.6464001177534</v>
      </c>
      <c r="G1782" s="24" t="n">
        <f aca="false">Test1_Hand!$B$6*E1782*D1782+Test1_Hand!$B$7*MAX(0,F1782-Test1_Hand!$B$5)</f>
        <v>29171.2009420268</v>
      </c>
      <c r="H1782" s="2" t="n">
        <f aca="false">IF(B1782&lt;Test1_Hand!$B$13,1,0)</f>
        <v>1</v>
      </c>
      <c r="I1782" s="23" t="n">
        <f aca="false">Test1_Hand!$B$4+H1782*D1782</f>
        <v>19.6464001177534</v>
      </c>
      <c r="J1782" s="24" t="n">
        <f aca="false">Test1_Hand!$B$6*H1782*D1782+Test1_Hand!$B$7*MAX(0,I1782-Test1_Hand!$B$5)+Test1_Hand!$B$14</f>
        <v>35171.2009420268</v>
      </c>
    </row>
    <row r="1783" customFormat="false" ht="15" hidden="false" customHeight="false" outlineLevel="0" collapsed="false">
      <c r="A1783" s="2" t="n">
        <v>1771</v>
      </c>
      <c r="B1783" s="22" t="n">
        <v>0.412583358659282</v>
      </c>
      <c r="C1783" s="22" t="n">
        <v>0.281087318532857</v>
      </c>
      <c r="D1783" s="23" t="n">
        <f aca="false">BETAINV(C1783,Test1_Hand!$B$21,Test1_Hand!$B$22,Test1_Hand!$B$9,Test1_Hand!$B$11)</f>
        <v>2.62371587738501</v>
      </c>
      <c r="E1783" s="2" t="n">
        <f aca="false">IF(B1783&lt;Test1_Hand!$B$12,1,0)</f>
        <v>1</v>
      </c>
      <c r="F1783" s="23" t="n">
        <f aca="false">Test1_Hand!$B$4+E1783*D1783</f>
        <v>18.623715877385</v>
      </c>
      <c r="G1783" s="24" t="n">
        <f aca="false">Test1_Hand!$B$6*E1783*D1783+Test1_Hand!$B$7*MAX(0,F1783-Test1_Hand!$B$5)</f>
        <v>20989.7270190801</v>
      </c>
      <c r="H1783" s="2" t="n">
        <f aca="false">IF(B1783&lt;Test1_Hand!$B$13,1,0)</f>
        <v>0</v>
      </c>
      <c r="I1783" s="23" t="n">
        <f aca="false">Test1_Hand!$B$4+H1783*D1783</f>
        <v>16</v>
      </c>
      <c r="J1783" s="24" t="n">
        <f aca="false">Test1_Hand!$B$6*H1783*D1783+Test1_Hand!$B$7*MAX(0,I1783-Test1_Hand!$B$5)+Test1_Hand!$B$14</f>
        <v>6000</v>
      </c>
    </row>
    <row r="1784" customFormat="false" ht="15" hidden="false" customHeight="false" outlineLevel="0" collapsed="false">
      <c r="A1784" s="2" t="n">
        <v>1772</v>
      </c>
      <c r="B1784" s="22" t="n">
        <v>0.346978627802937</v>
      </c>
      <c r="C1784" s="22" t="n">
        <v>0.616531410607478</v>
      </c>
      <c r="D1784" s="23" t="n">
        <f aca="false">BETAINV(C1784,Test1_Hand!$B$21,Test1_Hand!$B$22,Test1_Hand!$B$9,Test1_Hand!$B$11)</f>
        <v>3.81029319192773</v>
      </c>
      <c r="E1784" s="2" t="n">
        <f aca="false">IF(B1784&lt;Test1_Hand!$B$12,1,0)</f>
        <v>1</v>
      </c>
      <c r="F1784" s="23" t="n">
        <f aca="false">Test1_Hand!$B$4+E1784*D1784</f>
        <v>19.8102931919277</v>
      </c>
      <c r="G1784" s="24" t="n">
        <f aca="false">Test1_Hand!$B$6*E1784*D1784+Test1_Hand!$B$7*MAX(0,F1784-Test1_Hand!$B$5)</f>
        <v>30482.3455354219</v>
      </c>
      <c r="H1784" s="2" t="n">
        <f aca="false">IF(B1784&lt;Test1_Hand!$B$13,1,0)</f>
        <v>0</v>
      </c>
      <c r="I1784" s="23" t="n">
        <f aca="false">Test1_Hand!$B$4+H1784*D1784</f>
        <v>16</v>
      </c>
      <c r="J1784" s="24" t="n">
        <f aca="false">Test1_Hand!$B$6*H1784*D1784+Test1_Hand!$B$7*MAX(0,I1784-Test1_Hand!$B$5)+Test1_Hand!$B$14</f>
        <v>6000</v>
      </c>
    </row>
    <row r="1785" customFormat="false" ht="15" hidden="false" customHeight="false" outlineLevel="0" collapsed="false">
      <c r="A1785" s="2" t="n">
        <v>1773</v>
      </c>
      <c r="B1785" s="22" t="n">
        <v>0.767029671689959</v>
      </c>
      <c r="C1785" s="22" t="n">
        <v>0.0250596503864508</v>
      </c>
      <c r="D1785" s="23" t="n">
        <f aca="false">BETAINV(C1785,Test1_Hand!$B$21,Test1_Hand!$B$22,Test1_Hand!$B$9,Test1_Hand!$B$11)</f>
        <v>1.44522539884557</v>
      </c>
      <c r="E1785" s="2" t="n">
        <f aca="false">IF(B1785&lt;Test1_Hand!$B$12,1,0)</f>
        <v>0</v>
      </c>
      <c r="F1785" s="23" t="n">
        <f aca="false">Test1_Hand!$B$4+E1785*D1785</f>
        <v>16</v>
      </c>
      <c r="G1785" s="24" t="n">
        <f aca="false">Test1_Hand!$B$6*E1785*D1785+Test1_Hand!$B$7*MAX(0,F1785-Test1_Hand!$B$5)</f>
        <v>0</v>
      </c>
      <c r="H1785" s="2" t="n">
        <f aca="false">IF(B1785&lt;Test1_Hand!$B$13,1,0)</f>
        <v>0</v>
      </c>
      <c r="I1785" s="23" t="n">
        <f aca="false">Test1_Hand!$B$4+H1785*D1785</f>
        <v>16</v>
      </c>
      <c r="J1785" s="24" t="n">
        <f aca="false">Test1_Hand!$B$6*H1785*D1785+Test1_Hand!$B$7*MAX(0,I1785-Test1_Hand!$B$5)+Test1_Hand!$B$14</f>
        <v>6000</v>
      </c>
    </row>
    <row r="1786" customFormat="false" ht="15" hidden="false" customHeight="false" outlineLevel="0" collapsed="false">
      <c r="A1786" s="2" t="n">
        <v>1774</v>
      </c>
      <c r="B1786" s="22" t="n">
        <v>0.255925966317946</v>
      </c>
      <c r="C1786" s="22" t="n">
        <v>0.24113641873616</v>
      </c>
      <c r="D1786" s="23" t="n">
        <f aca="false">BETAINV(C1786,Test1_Hand!$B$21,Test1_Hand!$B$22,Test1_Hand!$B$9,Test1_Hand!$B$11)</f>
        <v>2.48022021504372</v>
      </c>
      <c r="E1786" s="2" t="n">
        <f aca="false">IF(B1786&lt;Test1_Hand!$B$12,1,0)</f>
        <v>1</v>
      </c>
      <c r="F1786" s="23" t="n">
        <f aca="false">Test1_Hand!$B$4+E1786*D1786</f>
        <v>18.4802202150437</v>
      </c>
      <c r="G1786" s="24" t="n">
        <f aca="false">Test1_Hand!$B$6*E1786*D1786+Test1_Hand!$B$7*MAX(0,F1786-Test1_Hand!$B$5)</f>
        <v>19841.7617203497</v>
      </c>
      <c r="H1786" s="2" t="n">
        <f aca="false">IF(B1786&lt;Test1_Hand!$B$13,1,0)</f>
        <v>0</v>
      </c>
      <c r="I1786" s="23" t="n">
        <f aca="false">Test1_Hand!$B$4+H1786*D1786</f>
        <v>16</v>
      </c>
      <c r="J1786" s="24" t="n">
        <f aca="false">Test1_Hand!$B$6*H1786*D1786+Test1_Hand!$B$7*MAX(0,I1786-Test1_Hand!$B$5)+Test1_Hand!$B$14</f>
        <v>6000</v>
      </c>
    </row>
    <row r="1787" customFormat="false" ht="15" hidden="false" customHeight="false" outlineLevel="0" collapsed="false">
      <c r="A1787" s="2" t="n">
        <v>1775</v>
      </c>
      <c r="B1787" s="22" t="n">
        <v>0.318774631478606</v>
      </c>
      <c r="C1787" s="22" t="n">
        <v>0.772657629825756</v>
      </c>
      <c r="D1787" s="23" t="n">
        <f aca="false">BETAINV(C1787,Test1_Hand!$B$21,Test1_Hand!$B$22,Test1_Hand!$B$9,Test1_Hand!$B$11)</f>
        <v>4.48482332422564</v>
      </c>
      <c r="E1787" s="2" t="n">
        <f aca="false">IF(B1787&lt;Test1_Hand!$B$12,1,0)</f>
        <v>1</v>
      </c>
      <c r="F1787" s="23" t="n">
        <f aca="false">Test1_Hand!$B$4+E1787*D1787</f>
        <v>20.4848233242256</v>
      </c>
      <c r="G1787" s="24" t="n">
        <f aca="false">Test1_Hand!$B$6*E1787*D1787+Test1_Hand!$B$7*MAX(0,F1787-Test1_Hand!$B$5)</f>
        <v>38302.7032149334</v>
      </c>
      <c r="H1787" s="2" t="n">
        <f aca="false">IF(B1787&lt;Test1_Hand!$B$13,1,0)</f>
        <v>0</v>
      </c>
      <c r="I1787" s="23" t="n">
        <f aca="false">Test1_Hand!$B$4+H1787*D1787</f>
        <v>16</v>
      </c>
      <c r="J1787" s="24" t="n">
        <f aca="false">Test1_Hand!$B$6*H1787*D1787+Test1_Hand!$B$7*MAX(0,I1787-Test1_Hand!$B$5)+Test1_Hand!$B$14</f>
        <v>6000</v>
      </c>
    </row>
    <row r="1788" customFormat="false" ht="15" hidden="false" customHeight="false" outlineLevel="0" collapsed="false">
      <c r="A1788" s="2" t="n">
        <v>1776</v>
      </c>
      <c r="B1788" s="22" t="n">
        <v>0.0156541826975393</v>
      </c>
      <c r="C1788" s="22" t="n">
        <v>0.15605351935602</v>
      </c>
      <c r="D1788" s="23" t="n">
        <f aca="false">BETAINV(C1788,Test1_Hand!$B$21,Test1_Hand!$B$22,Test1_Hand!$B$9,Test1_Hand!$B$11)</f>
        <v>2.15262926185636</v>
      </c>
      <c r="E1788" s="2" t="n">
        <f aca="false">IF(B1788&lt;Test1_Hand!$B$12,1,0)</f>
        <v>1</v>
      </c>
      <c r="F1788" s="23" t="n">
        <f aca="false">Test1_Hand!$B$4+E1788*D1788</f>
        <v>18.1526292618564</v>
      </c>
      <c r="G1788" s="24" t="n">
        <f aca="false">Test1_Hand!$B$6*E1788*D1788+Test1_Hand!$B$7*MAX(0,F1788-Test1_Hand!$B$5)</f>
        <v>17221.0340948509</v>
      </c>
      <c r="H1788" s="2" t="n">
        <f aca="false">IF(B1788&lt;Test1_Hand!$B$13,1,0)</f>
        <v>1</v>
      </c>
      <c r="I1788" s="23" t="n">
        <f aca="false">Test1_Hand!$B$4+H1788*D1788</f>
        <v>18.1526292618564</v>
      </c>
      <c r="J1788" s="24" t="n">
        <f aca="false">Test1_Hand!$B$6*H1788*D1788+Test1_Hand!$B$7*MAX(0,I1788-Test1_Hand!$B$5)+Test1_Hand!$B$14</f>
        <v>23221.0340948509</v>
      </c>
    </row>
    <row r="1789" customFormat="false" ht="15" hidden="false" customHeight="false" outlineLevel="0" collapsed="false">
      <c r="A1789" s="2" t="n">
        <v>1777</v>
      </c>
      <c r="B1789" s="22" t="n">
        <v>0.631353650158072</v>
      </c>
      <c r="C1789" s="22" t="n">
        <v>0.200893317070485</v>
      </c>
      <c r="D1789" s="23" t="n">
        <f aca="false">BETAINV(C1789,Test1_Hand!$B$21,Test1_Hand!$B$22,Test1_Hand!$B$9,Test1_Hand!$B$11)</f>
        <v>2.33012394133166</v>
      </c>
      <c r="E1789" s="2" t="n">
        <f aca="false">IF(B1789&lt;Test1_Hand!$B$12,1,0)</f>
        <v>0</v>
      </c>
      <c r="F1789" s="23" t="n">
        <f aca="false">Test1_Hand!$B$4+E1789*D1789</f>
        <v>16</v>
      </c>
      <c r="G1789" s="24" t="n">
        <f aca="false">Test1_Hand!$B$6*E1789*D1789+Test1_Hand!$B$7*MAX(0,F1789-Test1_Hand!$B$5)</f>
        <v>0</v>
      </c>
      <c r="H1789" s="2" t="n">
        <f aca="false">IF(B1789&lt;Test1_Hand!$B$13,1,0)</f>
        <v>0</v>
      </c>
      <c r="I1789" s="23" t="n">
        <f aca="false">Test1_Hand!$B$4+H1789*D1789</f>
        <v>16</v>
      </c>
      <c r="J1789" s="24" t="n">
        <f aca="false">Test1_Hand!$B$6*H1789*D1789+Test1_Hand!$B$7*MAX(0,I1789-Test1_Hand!$B$5)+Test1_Hand!$B$14</f>
        <v>6000</v>
      </c>
    </row>
    <row r="1790" customFormat="false" ht="15" hidden="false" customHeight="false" outlineLevel="0" collapsed="false">
      <c r="A1790" s="2" t="n">
        <v>1778</v>
      </c>
      <c r="B1790" s="22" t="n">
        <v>0.97592924803701</v>
      </c>
      <c r="C1790" s="22" t="n">
        <v>0.217007109869089</v>
      </c>
      <c r="D1790" s="23" t="n">
        <f aca="false">BETAINV(C1790,Test1_Hand!$B$21,Test1_Hand!$B$22,Test1_Hand!$B$9,Test1_Hand!$B$11)</f>
        <v>2.39105443421995</v>
      </c>
      <c r="E1790" s="2" t="n">
        <f aca="false">IF(B1790&lt;Test1_Hand!$B$12,1,0)</f>
        <v>0</v>
      </c>
      <c r="F1790" s="23" t="n">
        <f aca="false">Test1_Hand!$B$4+E1790*D1790</f>
        <v>16</v>
      </c>
      <c r="G1790" s="24" t="n">
        <f aca="false">Test1_Hand!$B$6*E1790*D1790+Test1_Hand!$B$7*MAX(0,F1790-Test1_Hand!$B$5)</f>
        <v>0</v>
      </c>
      <c r="H1790" s="2" t="n">
        <f aca="false">IF(B1790&lt;Test1_Hand!$B$13,1,0)</f>
        <v>0</v>
      </c>
      <c r="I1790" s="23" t="n">
        <f aca="false">Test1_Hand!$B$4+H1790*D1790</f>
        <v>16</v>
      </c>
      <c r="J1790" s="24" t="n">
        <f aca="false">Test1_Hand!$B$6*H1790*D1790+Test1_Hand!$B$7*MAX(0,I1790-Test1_Hand!$B$5)+Test1_Hand!$B$14</f>
        <v>6000</v>
      </c>
    </row>
    <row r="1791" customFormat="false" ht="15" hidden="false" customHeight="false" outlineLevel="0" collapsed="false">
      <c r="A1791" s="2" t="n">
        <v>1779</v>
      </c>
      <c r="B1791" s="22" t="n">
        <v>0.898425650108475</v>
      </c>
      <c r="C1791" s="22" t="n">
        <v>0.201574532903632</v>
      </c>
      <c r="D1791" s="23" t="n">
        <f aca="false">BETAINV(C1791,Test1_Hand!$B$21,Test1_Hand!$B$22,Test1_Hand!$B$9,Test1_Hand!$B$11)</f>
        <v>2.33272551355847</v>
      </c>
      <c r="E1791" s="2" t="n">
        <f aca="false">IF(B1791&lt;Test1_Hand!$B$12,1,0)</f>
        <v>0</v>
      </c>
      <c r="F1791" s="23" t="n">
        <f aca="false">Test1_Hand!$B$4+E1791*D1791</f>
        <v>16</v>
      </c>
      <c r="G1791" s="24" t="n">
        <f aca="false">Test1_Hand!$B$6*E1791*D1791+Test1_Hand!$B$7*MAX(0,F1791-Test1_Hand!$B$5)</f>
        <v>0</v>
      </c>
      <c r="H1791" s="2" t="n">
        <f aca="false">IF(B1791&lt;Test1_Hand!$B$13,1,0)</f>
        <v>0</v>
      </c>
      <c r="I1791" s="23" t="n">
        <f aca="false">Test1_Hand!$B$4+H1791*D1791</f>
        <v>16</v>
      </c>
      <c r="J1791" s="24" t="n">
        <f aca="false">Test1_Hand!$B$6*H1791*D1791+Test1_Hand!$B$7*MAX(0,I1791-Test1_Hand!$B$5)+Test1_Hand!$B$14</f>
        <v>6000</v>
      </c>
    </row>
    <row r="1792" customFormat="false" ht="15" hidden="false" customHeight="false" outlineLevel="0" collapsed="false">
      <c r="A1792" s="2" t="n">
        <v>1780</v>
      </c>
      <c r="B1792" s="22" t="n">
        <v>0.195053477943483</v>
      </c>
      <c r="C1792" s="22" t="n">
        <v>0.457102157732298</v>
      </c>
      <c r="D1792" s="23" t="n">
        <f aca="false">BETAINV(C1792,Test1_Hand!$B$21,Test1_Hand!$B$22,Test1_Hand!$B$9,Test1_Hand!$B$11)</f>
        <v>3.23259671057611</v>
      </c>
      <c r="E1792" s="2" t="n">
        <f aca="false">IF(B1792&lt;Test1_Hand!$B$12,1,0)</f>
        <v>1</v>
      </c>
      <c r="F1792" s="23" t="n">
        <f aca="false">Test1_Hand!$B$4+E1792*D1792</f>
        <v>19.2325967105761</v>
      </c>
      <c r="G1792" s="24" t="n">
        <f aca="false">Test1_Hand!$B$6*E1792*D1792+Test1_Hand!$B$7*MAX(0,F1792-Test1_Hand!$B$5)</f>
        <v>25860.7736846089</v>
      </c>
      <c r="H1792" s="2" t="n">
        <f aca="false">IF(B1792&lt;Test1_Hand!$B$13,1,0)</f>
        <v>1</v>
      </c>
      <c r="I1792" s="23" t="n">
        <f aca="false">Test1_Hand!$B$4+H1792*D1792</f>
        <v>19.2325967105761</v>
      </c>
      <c r="J1792" s="24" t="n">
        <f aca="false">Test1_Hand!$B$6*H1792*D1792+Test1_Hand!$B$7*MAX(0,I1792-Test1_Hand!$B$5)+Test1_Hand!$B$14</f>
        <v>31860.7736846089</v>
      </c>
    </row>
    <row r="1793" customFormat="false" ht="15" hidden="false" customHeight="false" outlineLevel="0" collapsed="false">
      <c r="A1793" s="2" t="n">
        <v>1781</v>
      </c>
      <c r="B1793" s="22" t="n">
        <v>0.284958274830332</v>
      </c>
      <c r="C1793" s="22" t="n">
        <v>0.861932397791998</v>
      </c>
      <c r="D1793" s="23" t="n">
        <f aca="false">BETAINV(C1793,Test1_Hand!$B$21,Test1_Hand!$B$22,Test1_Hand!$B$9,Test1_Hand!$B$11)</f>
        <v>4.99344665150105</v>
      </c>
      <c r="E1793" s="2" t="n">
        <f aca="false">IF(B1793&lt;Test1_Hand!$B$12,1,0)</f>
        <v>1</v>
      </c>
      <c r="F1793" s="23" t="n">
        <f aca="false">Test1_Hand!$B$4+E1793*D1793</f>
        <v>20.9934466515011</v>
      </c>
      <c r="G1793" s="24" t="n">
        <f aca="false">Test1_Hand!$B$6*E1793*D1793+Test1_Hand!$B$7*MAX(0,F1793-Test1_Hand!$B$5)</f>
        <v>44914.8064695136</v>
      </c>
      <c r="H1793" s="2" t="n">
        <f aca="false">IF(B1793&lt;Test1_Hand!$B$13,1,0)</f>
        <v>0</v>
      </c>
      <c r="I1793" s="23" t="n">
        <f aca="false">Test1_Hand!$B$4+H1793*D1793</f>
        <v>16</v>
      </c>
      <c r="J1793" s="24" t="n">
        <f aca="false">Test1_Hand!$B$6*H1793*D1793+Test1_Hand!$B$7*MAX(0,I1793-Test1_Hand!$B$5)+Test1_Hand!$B$14</f>
        <v>6000</v>
      </c>
    </row>
    <row r="1794" customFormat="false" ht="15" hidden="false" customHeight="false" outlineLevel="0" collapsed="false">
      <c r="A1794" s="2" t="n">
        <v>1782</v>
      </c>
      <c r="B1794" s="22" t="n">
        <v>0.676974115437929</v>
      </c>
      <c r="C1794" s="22" t="n">
        <v>0.161417967748181</v>
      </c>
      <c r="D1794" s="23" t="n">
        <f aca="false">BETAINV(C1794,Test1_Hand!$B$21,Test1_Hand!$B$22,Test1_Hand!$B$9,Test1_Hand!$B$11)</f>
        <v>2.17461525281472</v>
      </c>
      <c r="E1794" s="2" t="n">
        <f aca="false">IF(B1794&lt;Test1_Hand!$B$12,1,0)</f>
        <v>0</v>
      </c>
      <c r="F1794" s="23" t="n">
        <f aca="false">Test1_Hand!$B$4+E1794*D1794</f>
        <v>16</v>
      </c>
      <c r="G1794" s="24" t="n">
        <f aca="false">Test1_Hand!$B$6*E1794*D1794+Test1_Hand!$B$7*MAX(0,F1794-Test1_Hand!$B$5)</f>
        <v>0</v>
      </c>
      <c r="H1794" s="2" t="n">
        <f aca="false">IF(B1794&lt;Test1_Hand!$B$13,1,0)</f>
        <v>0</v>
      </c>
      <c r="I1794" s="23" t="n">
        <f aca="false">Test1_Hand!$B$4+H1794*D1794</f>
        <v>16</v>
      </c>
      <c r="J1794" s="24" t="n">
        <f aca="false">Test1_Hand!$B$6*H1794*D1794+Test1_Hand!$B$7*MAX(0,I1794-Test1_Hand!$B$5)+Test1_Hand!$B$14</f>
        <v>6000</v>
      </c>
    </row>
    <row r="1795" customFormat="false" ht="15" hidden="false" customHeight="false" outlineLevel="0" collapsed="false">
      <c r="A1795" s="2" t="n">
        <v>1783</v>
      </c>
      <c r="B1795" s="22" t="n">
        <v>0.556311353061233</v>
      </c>
      <c r="C1795" s="22" t="n">
        <v>0.610101617984485</v>
      </c>
      <c r="D1795" s="23" t="n">
        <f aca="false">BETAINV(C1795,Test1_Hand!$B$21,Test1_Hand!$B$22,Test1_Hand!$B$9,Test1_Hand!$B$11)</f>
        <v>3.78557506637012</v>
      </c>
      <c r="E1795" s="2" t="n">
        <f aca="false">IF(B1795&lt;Test1_Hand!$B$12,1,0)</f>
        <v>0</v>
      </c>
      <c r="F1795" s="23" t="n">
        <f aca="false">Test1_Hand!$B$4+E1795*D1795</f>
        <v>16</v>
      </c>
      <c r="G1795" s="24" t="n">
        <f aca="false">Test1_Hand!$B$6*E1795*D1795+Test1_Hand!$B$7*MAX(0,F1795-Test1_Hand!$B$5)</f>
        <v>0</v>
      </c>
      <c r="H1795" s="2" t="n">
        <f aca="false">IF(B1795&lt;Test1_Hand!$B$13,1,0)</f>
        <v>0</v>
      </c>
      <c r="I1795" s="23" t="n">
        <f aca="false">Test1_Hand!$B$4+H1795*D1795</f>
        <v>16</v>
      </c>
      <c r="J1795" s="24" t="n">
        <f aca="false">Test1_Hand!$B$6*H1795*D1795+Test1_Hand!$B$7*MAX(0,I1795-Test1_Hand!$B$5)+Test1_Hand!$B$14</f>
        <v>6000</v>
      </c>
    </row>
    <row r="1796" customFormat="false" ht="15" hidden="false" customHeight="false" outlineLevel="0" collapsed="false">
      <c r="A1796" s="2" t="n">
        <v>1784</v>
      </c>
      <c r="B1796" s="22" t="n">
        <v>0.660970624469561</v>
      </c>
      <c r="C1796" s="22" t="n">
        <v>0.200881986268448</v>
      </c>
      <c r="D1796" s="23" t="n">
        <f aca="false">BETAINV(C1796,Test1_Hand!$B$21,Test1_Hand!$B$22,Test1_Hand!$B$9,Test1_Hand!$B$11)</f>
        <v>2.33008064854746</v>
      </c>
      <c r="E1796" s="2" t="n">
        <f aca="false">IF(B1796&lt;Test1_Hand!$B$12,1,0)</f>
        <v>0</v>
      </c>
      <c r="F1796" s="23" t="n">
        <f aca="false">Test1_Hand!$B$4+E1796*D1796</f>
        <v>16</v>
      </c>
      <c r="G1796" s="24" t="n">
        <f aca="false">Test1_Hand!$B$6*E1796*D1796+Test1_Hand!$B$7*MAX(0,F1796-Test1_Hand!$B$5)</f>
        <v>0</v>
      </c>
      <c r="H1796" s="2" t="n">
        <f aca="false">IF(B1796&lt;Test1_Hand!$B$13,1,0)</f>
        <v>0</v>
      </c>
      <c r="I1796" s="23" t="n">
        <f aca="false">Test1_Hand!$B$4+H1796*D1796</f>
        <v>16</v>
      </c>
      <c r="J1796" s="24" t="n">
        <f aca="false">Test1_Hand!$B$6*H1796*D1796+Test1_Hand!$B$7*MAX(0,I1796-Test1_Hand!$B$5)+Test1_Hand!$B$14</f>
        <v>6000</v>
      </c>
    </row>
    <row r="1797" customFormat="false" ht="15" hidden="false" customHeight="false" outlineLevel="0" collapsed="false">
      <c r="A1797" s="2" t="n">
        <v>1785</v>
      </c>
      <c r="B1797" s="22" t="n">
        <v>0.526339125959746</v>
      </c>
      <c r="C1797" s="22" t="n">
        <v>0.169556338851317</v>
      </c>
      <c r="D1797" s="23" t="n">
        <f aca="false">BETAINV(C1797,Test1_Hand!$B$21,Test1_Hand!$B$22,Test1_Hand!$B$9,Test1_Hand!$B$11)</f>
        <v>2.20753392106654</v>
      </c>
      <c r="E1797" s="2" t="n">
        <f aca="false">IF(B1797&lt;Test1_Hand!$B$12,1,0)</f>
        <v>0</v>
      </c>
      <c r="F1797" s="23" t="n">
        <f aca="false">Test1_Hand!$B$4+E1797*D1797</f>
        <v>16</v>
      </c>
      <c r="G1797" s="24" t="n">
        <f aca="false">Test1_Hand!$B$6*E1797*D1797+Test1_Hand!$B$7*MAX(0,F1797-Test1_Hand!$B$5)</f>
        <v>0</v>
      </c>
      <c r="H1797" s="2" t="n">
        <f aca="false">IF(B1797&lt;Test1_Hand!$B$13,1,0)</f>
        <v>0</v>
      </c>
      <c r="I1797" s="23" t="n">
        <f aca="false">Test1_Hand!$B$4+H1797*D1797</f>
        <v>16</v>
      </c>
      <c r="J1797" s="24" t="n">
        <f aca="false">Test1_Hand!$B$6*H1797*D1797+Test1_Hand!$B$7*MAX(0,I1797-Test1_Hand!$B$5)+Test1_Hand!$B$14</f>
        <v>6000</v>
      </c>
    </row>
    <row r="1798" customFormat="false" ht="15" hidden="false" customHeight="false" outlineLevel="0" collapsed="false">
      <c r="A1798" s="2" t="n">
        <v>1786</v>
      </c>
      <c r="B1798" s="22" t="n">
        <v>0.744264726473046</v>
      </c>
      <c r="C1798" s="22" t="n">
        <v>0.481925018208399</v>
      </c>
      <c r="D1798" s="23" t="n">
        <f aca="false">BETAINV(C1798,Test1_Hand!$B$21,Test1_Hand!$B$22,Test1_Hand!$B$9,Test1_Hand!$B$11)</f>
        <v>3.31907429376857</v>
      </c>
      <c r="E1798" s="2" t="n">
        <f aca="false">IF(B1798&lt;Test1_Hand!$B$12,1,0)</f>
        <v>0</v>
      </c>
      <c r="F1798" s="23" t="n">
        <f aca="false">Test1_Hand!$B$4+E1798*D1798</f>
        <v>16</v>
      </c>
      <c r="G1798" s="24" t="n">
        <f aca="false">Test1_Hand!$B$6*E1798*D1798+Test1_Hand!$B$7*MAX(0,F1798-Test1_Hand!$B$5)</f>
        <v>0</v>
      </c>
      <c r="H1798" s="2" t="n">
        <f aca="false">IF(B1798&lt;Test1_Hand!$B$13,1,0)</f>
        <v>0</v>
      </c>
      <c r="I1798" s="23" t="n">
        <f aca="false">Test1_Hand!$B$4+H1798*D1798</f>
        <v>16</v>
      </c>
      <c r="J1798" s="24" t="n">
        <f aca="false">Test1_Hand!$B$6*H1798*D1798+Test1_Hand!$B$7*MAX(0,I1798-Test1_Hand!$B$5)+Test1_Hand!$B$14</f>
        <v>6000</v>
      </c>
    </row>
    <row r="1799" customFormat="false" ht="15" hidden="false" customHeight="false" outlineLevel="0" collapsed="false">
      <c r="A1799" s="2" t="n">
        <v>1787</v>
      </c>
      <c r="B1799" s="22" t="n">
        <v>0.163577198651141</v>
      </c>
      <c r="C1799" s="22" t="n">
        <v>0.083655642768682</v>
      </c>
      <c r="D1799" s="23" t="n">
        <f aca="false">BETAINV(C1799,Test1_Hand!$B$21,Test1_Hand!$B$22,Test1_Hand!$B$9,Test1_Hand!$B$11)</f>
        <v>1.82271182392411</v>
      </c>
      <c r="E1799" s="2" t="n">
        <f aca="false">IF(B1799&lt;Test1_Hand!$B$12,1,0)</f>
        <v>1</v>
      </c>
      <c r="F1799" s="23" t="n">
        <f aca="false">Test1_Hand!$B$4+E1799*D1799</f>
        <v>17.8227118239241</v>
      </c>
      <c r="G1799" s="24" t="n">
        <f aca="false">Test1_Hand!$B$6*E1799*D1799+Test1_Hand!$B$7*MAX(0,F1799-Test1_Hand!$B$5)</f>
        <v>14581.6945913929</v>
      </c>
      <c r="H1799" s="2" t="n">
        <f aca="false">IF(B1799&lt;Test1_Hand!$B$13,1,0)</f>
        <v>1</v>
      </c>
      <c r="I1799" s="23" t="n">
        <f aca="false">Test1_Hand!$B$4+H1799*D1799</f>
        <v>17.8227118239241</v>
      </c>
      <c r="J1799" s="24" t="n">
        <f aca="false">Test1_Hand!$B$6*H1799*D1799+Test1_Hand!$B$7*MAX(0,I1799-Test1_Hand!$B$5)+Test1_Hand!$B$14</f>
        <v>20581.6945913929</v>
      </c>
    </row>
    <row r="1800" customFormat="false" ht="15" hidden="false" customHeight="false" outlineLevel="0" collapsed="false">
      <c r="A1800" s="2" t="n">
        <v>1788</v>
      </c>
      <c r="B1800" s="22" t="n">
        <v>0.717951249155879</v>
      </c>
      <c r="C1800" s="22" t="n">
        <v>0.935409558672011</v>
      </c>
      <c r="D1800" s="23" t="n">
        <f aca="false">BETAINV(C1800,Test1_Hand!$B$21,Test1_Hand!$B$22,Test1_Hand!$B$9,Test1_Hand!$B$11)</f>
        <v>5.60254207777327</v>
      </c>
      <c r="E1800" s="2" t="n">
        <f aca="false">IF(B1800&lt;Test1_Hand!$B$12,1,0)</f>
        <v>0</v>
      </c>
      <c r="F1800" s="23" t="n">
        <f aca="false">Test1_Hand!$B$4+E1800*D1800</f>
        <v>16</v>
      </c>
      <c r="G1800" s="24" t="n">
        <f aca="false">Test1_Hand!$B$6*E1800*D1800+Test1_Hand!$B$7*MAX(0,F1800-Test1_Hand!$B$5)</f>
        <v>0</v>
      </c>
      <c r="H1800" s="2" t="n">
        <f aca="false">IF(B1800&lt;Test1_Hand!$B$13,1,0)</f>
        <v>0</v>
      </c>
      <c r="I1800" s="23" t="n">
        <f aca="false">Test1_Hand!$B$4+H1800*D1800</f>
        <v>16</v>
      </c>
      <c r="J1800" s="24" t="n">
        <f aca="false">Test1_Hand!$B$6*H1800*D1800+Test1_Hand!$B$7*MAX(0,I1800-Test1_Hand!$B$5)+Test1_Hand!$B$14</f>
        <v>6000</v>
      </c>
    </row>
    <row r="1801" customFormat="false" ht="15" hidden="false" customHeight="false" outlineLevel="0" collapsed="false">
      <c r="A1801" s="2" t="n">
        <v>1789</v>
      </c>
      <c r="B1801" s="22" t="n">
        <v>0.135656843891149</v>
      </c>
      <c r="C1801" s="22" t="n">
        <v>0.639626864086044</v>
      </c>
      <c r="D1801" s="23" t="n">
        <f aca="false">BETAINV(C1801,Test1_Hand!$B$21,Test1_Hand!$B$22,Test1_Hand!$B$9,Test1_Hand!$B$11)</f>
        <v>3.90052760188839</v>
      </c>
      <c r="E1801" s="2" t="n">
        <f aca="false">IF(B1801&lt;Test1_Hand!$B$12,1,0)</f>
        <v>1</v>
      </c>
      <c r="F1801" s="23" t="n">
        <f aca="false">Test1_Hand!$B$4+E1801*D1801</f>
        <v>19.9005276018884</v>
      </c>
      <c r="G1801" s="24" t="n">
        <f aca="false">Test1_Hand!$B$6*E1801*D1801+Test1_Hand!$B$7*MAX(0,F1801-Test1_Hand!$B$5)</f>
        <v>31204.2208151072</v>
      </c>
      <c r="H1801" s="2" t="n">
        <f aca="false">IF(B1801&lt;Test1_Hand!$B$13,1,0)</f>
        <v>1</v>
      </c>
      <c r="I1801" s="23" t="n">
        <f aca="false">Test1_Hand!$B$4+H1801*D1801</f>
        <v>19.9005276018884</v>
      </c>
      <c r="J1801" s="24" t="n">
        <f aca="false">Test1_Hand!$B$6*H1801*D1801+Test1_Hand!$B$7*MAX(0,I1801-Test1_Hand!$B$5)+Test1_Hand!$B$14</f>
        <v>37204.2208151072</v>
      </c>
    </row>
    <row r="1802" customFormat="false" ht="15" hidden="false" customHeight="false" outlineLevel="0" collapsed="false">
      <c r="A1802" s="2" t="n">
        <v>1790</v>
      </c>
      <c r="B1802" s="22" t="n">
        <v>0.935489150556933</v>
      </c>
      <c r="C1802" s="22" t="n">
        <v>0.712758011693189</v>
      </c>
      <c r="D1802" s="23" t="n">
        <f aca="false">BETAINV(C1802,Test1_Hand!$B$21,Test1_Hand!$B$22,Test1_Hand!$B$9,Test1_Hand!$B$11)</f>
        <v>4.20503210172267</v>
      </c>
      <c r="E1802" s="2" t="n">
        <f aca="false">IF(B1802&lt;Test1_Hand!$B$12,1,0)</f>
        <v>0</v>
      </c>
      <c r="F1802" s="23" t="n">
        <f aca="false">Test1_Hand!$B$4+E1802*D1802</f>
        <v>16</v>
      </c>
      <c r="G1802" s="24" t="n">
        <f aca="false">Test1_Hand!$B$6*E1802*D1802+Test1_Hand!$B$7*MAX(0,F1802-Test1_Hand!$B$5)</f>
        <v>0</v>
      </c>
      <c r="H1802" s="2" t="n">
        <f aca="false">IF(B1802&lt;Test1_Hand!$B$13,1,0)</f>
        <v>0</v>
      </c>
      <c r="I1802" s="23" t="n">
        <f aca="false">Test1_Hand!$B$4+H1802*D1802</f>
        <v>16</v>
      </c>
      <c r="J1802" s="24" t="n">
        <f aca="false">Test1_Hand!$B$6*H1802*D1802+Test1_Hand!$B$7*MAX(0,I1802-Test1_Hand!$B$5)+Test1_Hand!$B$14</f>
        <v>6000</v>
      </c>
    </row>
    <row r="1803" customFormat="false" ht="15" hidden="false" customHeight="false" outlineLevel="0" collapsed="false">
      <c r="A1803" s="2" t="n">
        <v>1791</v>
      </c>
      <c r="B1803" s="22" t="n">
        <v>0.166891498938137</v>
      </c>
      <c r="C1803" s="22" t="n">
        <v>0.834402212463079</v>
      </c>
      <c r="D1803" s="23" t="n">
        <f aca="false">BETAINV(C1803,Test1_Hand!$B$21,Test1_Hand!$B$22,Test1_Hand!$B$9,Test1_Hand!$B$11)</f>
        <v>4.82004324915093</v>
      </c>
      <c r="E1803" s="2" t="n">
        <f aca="false">IF(B1803&lt;Test1_Hand!$B$12,1,0)</f>
        <v>1</v>
      </c>
      <c r="F1803" s="23" t="n">
        <f aca="false">Test1_Hand!$B$4+E1803*D1803</f>
        <v>20.8200432491509</v>
      </c>
      <c r="G1803" s="24" t="n">
        <f aca="false">Test1_Hand!$B$6*E1803*D1803+Test1_Hand!$B$7*MAX(0,F1803-Test1_Hand!$B$5)</f>
        <v>42660.5622389621</v>
      </c>
      <c r="H1803" s="2" t="n">
        <f aca="false">IF(B1803&lt;Test1_Hand!$B$13,1,0)</f>
        <v>1</v>
      </c>
      <c r="I1803" s="23" t="n">
        <f aca="false">Test1_Hand!$B$4+H1803*D1803</f>
        <v>20.8200432491509</v>
      </c>
      <c r="J1803" s="24" t="n">
        <f aca="false">Test1_Hand!$B$6*H1803*D1803+Test1_Hand!$B$7*MAX(0,I1803-Test1_Hand!$B$5)+Test1_Hand!$B$14</f>
        <v>48660.5622389621</v>
      </c>
    </row>
    <row r="1804" customFormat="false" ht="15" hidden="false" customHeight="false" outlineLevel="0" collapsed="false">
      <c r="A1804" s="2" t="n">
        <v>1792</v>
      </c>
      <c r="B1804" s="22" t="n">
        <v>0.597236726186737</v>
      </c>
      <c r="C1804" s="22" t="n">
        <v>0.436534397376384</v>
      </c>
      <c r="D1804" s="23" t="n">
        <f aca="false">BETAINV(C1804,Test1_Hand!$B$21,Test1_Hand!$B$22,Test1_Hand!$B$9,Test1_Hand!$B$11)</f>
        <v>3.16144451659618</v>
      </c>
      <c r="E1804" s="2" t="n">
        <f aca="false">IF(B1804&lt;Test1_Hand!$B$12,1,0)</f>
        <v>0</v>
      </c>
      <c r="F1804" s="23" t="n">
        <f aca="false">Test1_Hand!$B$4+E1804*D1804</f>
        <v>16</v>
      </c>
      <c r="G1804" s="24" t="n">
        <f aca="false">Test1_Hand!$B$6*E1804*D1804+Test1_Hand!$B$7*MAX(0,F1804-Test1_Hand!$B$5)</f>
        <v>0</v>
      </c>
      <c r="H1804" s="2" t="n">
        <f aca="false">IF(B1804&lt;Test1_Hand!$B$13,1,0)</f>
        <v>0</v>
      </c>
      <c r="I1804" s="23" t="n">
        <f aca="false">Test1_Hand!$B$4+H1804*D1804</f>
        <v>16</v>
      </c>
      <c r="J1804" s="24" t="n">
        <f aca="false">Test1_Hand!$B$6*H1804*D1804+Test1_Hand!$B$7*MAX(0,I1804-Test1_Hand!$B$5)+Test1_Hand!$B$14</f>
        <v>6000</v>
      </c>
    </row>
    <row r="1805" customFormat="false" ht="15" hidden="false" customHeight="false" outlineLevel="0" collapsed="false">
      <c r="A1805" s="2" t="n">
        <v>1793</v>
      </c>
      <c r="B1805" s="22" t="n">
        <v>0.906303676577681</v>
      </c>
      <c r="C1805" s="22" t="n">
        <v>0.274253123289927</v>
      </c>
      <c r="D1805" s="23" t="n">
        <f aca="false">BETAINV(C1805,Test1_Hand!$B$21,Test1_Hand!$B$22,Test1_Hand!$B$9,Test1_Hand!$B$11)</f>
        <v>2.59946358766966</v>
      </c>
      <c r="E1805" s="2" t="n">
        <f aca="false">IF(B1805&lt;Test1_Hand!$B$12,1,0)</f>
        <v>0</v>
      </c>
      <c r="F1805" s="23" t="n">
        <f aca="false">Test1_Hand!$B$4+E1805*D1805</f>
        <v>16</v>
      </c>
      <c r="G1805" s="24" t="n">
        <f aca="false">Test1_Hand!$B$6*E1805*D1805+Test1_Hand!$B$7*MAX(0,F1805-Test1_Hand!$B$5)</f>
        <v>0</v>
      </c>
      <c r="H1805" s="2" t="n">
        <f aca="false">IF(B1805&lt;Test1_Hand!$B$13,1,0)</f>
        <v>0</v>
      </c>
      <c r="I1805" s="23" t="n">
        <f aca="false">Test1_Hand!$B$4+H1805*D1805</f>
        <v>16</v>
      </c>
      <c r="J1805" s="24" t="n">
        <f aca="false">Test1_Hand!$B$6*H1805*D1805+Test1_Hand!$B$7*MAX(0,I1805-Test1_Hand!$B$5)+Test1_Hand!$B$14</f>
        <v>6000</v>
      </c>
    </row>
    <row r="1806" customFormat="false" ht="15" hidden="false" customHeight="false" outlineLevel="0" collapsed="false">
      <c r="A1806" s="2" t="n">
        <v>1794</v>
      </c>
      <c r="B1806" s="22" t="n">
        <v>0.93821875977688</v>
      </c>
      <c r="C1806" s="22" t="n">
        <v>0.546615071511137</v>
      </c>
      <c r="D1806" s="23" t="n">
        <f aca="false">BETAINV(C1806,Test1_Hand!$B$21,Test1_Hand!$B$22,Test1_Hand!$B$9,Test1_Hand!$B$11)</f>
        <v>3.54924694596878</v>
      </c>
      <c r="E1806" s="2" t="n">
        <f aca="false">IF(B1806&lt;Test1_Hand!$B$12,1,0)</f>
        <v>0</v>
      </c>
      <c r="F1806" s="23" t="n">
        <f aca="false">Test1_Hand!$B$4+E1806*D1806</f>
        <v>16</v>
      </c>
      <c r="G1806" s="24" t="n">
        <f aca="false">Test1_Hand!$B$6*E1806*D1806+Test1_Hand!$B$7*MAX(0,F1806-Test1_Hand!$B$5)</f>
        <v>0</v>
      </c>
      <c r="H1806" s="2" t="n">
        <f aca="false">IF(B1806&lt;Test1_Hand!$B$13,1,0)</f>
        <v>0</v>
      </c>
      <c r="I1806" s="23" t="n">
        <f aca="false">Test1_Hand!$B$4+H1806*D1806</f>
        <v>16</v>
      </c>
      <c r="J1806" s="24" t="n">
        <f aca="false">Test1_Hand!$B$6*H1806*D1806+Test1_Hand!$B$7*MAX(0,I1806-Test1_Hand!$B$5)+Test1_Hand!$B$14</f>
        <v>6000</v>
      </c>
    </row>
    <row r="1807" customFormat="false" ht="15" hidden="false" customHeight="false" outlineLevel="0" collapsed="false">
      <c r="A1807" s="2" t="n">
        <v>1795</v>
      </c>
      <c r="B1807" s="22" t="n">
        <v>0.9487261473815</v>
      </c>
      <c r="C1807" s="22" t="n">
        <v>0.573278156857807</v>
      </c>
      <c r="D1807" s="23" t="n">
        <f aca="false">BETAINV(C1807,Test1_Hand!$B$21,Test1_Hand!$B$22,Test1_Hand!$B$9,Test1_Hand!$B$11)</f>
        <v>3.64694881517644</v>
      </c>
      <c r="E1807" s="2" t="n">
        <f aca="false">IF(B1807&lt;Test1_Hand!$B$12,1,0)</f>
        <v>0</v>
      </c>
      <c r="F1807" s="23" t="n">
        <f aca="false">Test1_Hand!$B$4+E1807*D1807</f>
        <v>16</v>
      </c>
      <c r="G1807" s="24" t="n">
        <f aca="false">Test1_Hand!$B$6*E1807*D1807+Test1_Hand!$B$7*MAX(0,F1807-Test1_Hand!$B$5)</f>
        <v>0</v>
      </c>
      <c r="H1807" s="2" t="n">
        <f aca="false">IF(B1807&lt;Test1_Hand!$B$13,1,0)</f>
        <v>0</v>
      </c>
      <c r="I1807" s="23" t="n">
        <f aca="false">Test1_Hand!$B$4+H1807*D1807</f>
        <v>16</v>
      </c>
      <c r="J1807" s="24" t="n">
        <f aca="false">Test1_Hand!$B$6*H1807*D1807+Test1_Hand!$B$7*MAX(0,I1807-Test1_Hand!$B$5)+Test1_Hand!$B$14</f>
        <v>6000</v>
      </c>
    </row>
    <row r="1808" customFormat="false" ht="15" hidden="false" customHeight="false" outlineLevel="0" collapsed="false">
      <c r="A1808" s="2" t="n">
        <v>1796</v>
      </c>
      <c r="B1808" s="22" t="n">
        <v>0.694006176099744</v>
      </c>
      <c r="C1808" s="22" t="n">
        <v>0.112347883253577</v>
      </c>
      <c r="D1808" s="23" t="n">
        <f aca="false">BETAINV(C1808,Test1_Hand!$B$21,Test1_Hand!$B$22,Test1_Hand!$B$9,Test1_Hand!$B$11)</f>
        <v>1.96264977692745</v>
      </c>
      <c r="E1808" s="2" t="n">
        <f aca="false">IF(B1808&lt;Test1_Hand!$B$12,1,0)</f>
        <v>0</v>
      </c>
      <c r="F1808" s="23" t="n">
        <f aca="false">Test1_Hand!$B$4+E1808*D1808</f>
        <v>16</v>
      </c>
      <c r="G1808" s="24" t="n">
        <f aca="false">Test1_Hand!$B$6*E1808*D1808+Test1_Hand!$B$7*MAX(0,F1808-Test1_Hand!$B$5)</f>
        <v>0</v>
      </c>
      <c r="H1808" s="2" t="n">
        <f aca="false">IF(B1808&lt;Test1_Hand!$B$13,1,0)</f>
        <v>0</v>
      </c>
      <c r="I1808" s="23" t="n">
        <f aca="false">Test1_Hand!$B$4+H1808*D1808</f>
        <v>16</v>
      </c>
      <c r="J1808" s="24" t="n">
        <f aca="false">Test1_Hand!$B$6*H1808*D1808+Test1_Hand!$B$7*MAX(0,I1808-Test1_Hand!$B$5)+Test1_Hand!$B$14</f>
        <v>6000</v>
      </c>
    </row>
    <row r="1809" customFormat="false" ht="15" hidden="false" customHeight="false" outlineLevel="0" collapsed="false">
      <c r="A1809" s="2" t="n">
        <v>1797</v>
      </c>
      <c r="B1809" s="22" t="n">
        <v>0.53986582116617</v>
      </c>
      <c r="C1809" s="22" t="n">
        <v>0.453082519150264</v>
      </c>
      <c r="D1809" s="23" t="n">
        <f aca="false">BETAINV(C1809,Test1_Hand!$B$21,Test1_Hand!$B$22,Test1_Hand!$B$9,Test1_Hand!$B$11)</f>
        <v>3.21866037150773</v>
      </c>
      <c r="E1809" s="2" t="n">
        <f aca="false">IF(B1809&lt;Test1_Hand!$B$12,1,0)</f>
        <v>0</v>
      </c>
      <c r="F1809" s="23" t="n">
        <f aca="false">Test1_Hand!$B$4+E1809*D1809</f>
        <v>16</v>
      </c>
      <c r="G1809" s="24" t="n">
        <f aca="false">Test1_Hand!$B$6*E1809*D1809+Test1_Hand!$B$7*MAX(0,F1809-Test1_Hand!$B$5)</f>
        <v>0</v>
      </c>
      <c r="H1809" s="2" t="n">
        <f aca="false">IF(B1809&lt;Test1_Hand!$B$13,1,0)</f>
        <v>0</v>
      </c>
      <c r="I1809" s="23" t="n">
        <f aca="false">Test1_Hand!$B$4+H1809*D1809</f>
        <v>16</v>
      </c>
      <c r="J1809" s="24" t="n">
        <f aca="false">Test1_Hand!$B$6*H1809*D1809+Test1_Hand!$B$7*MAX(0,I1809-Test1_Hand!$B$5)+Test1_Hand!$B$14</f>
        <v>6000</v>
      </c>
    </row>
    <row r="1810" customFormat="false" ht="15" hidden="false" customHeight="false" outlineLevel="0" collapsed="false">
      <c r="A1810" s="2" t="n">
        <v>1798</v>
      </c>
      <c r="B1810" s="22" t="n">
        <v>0.627193439000059</v>
      </c>
      <c r="C1810" s="22" t="n">
        <v>0.192996496551593</v>
      </c>
      <c r="D1810" s="23" t="n">
        <f aca="false">BETAINV(C1810,Test1_Hand!$B$21,Test1_Hand!$B$22,Test1_Hand!$B$9,Test1_Hand!$B$11)</f>
        <v>2.29978561403918</v>
      </c>
      <c r="E1810" s="2" t="n">
        <f aca="false">IF(B1810&lt;Test1_Hand!$B$12,1,0)</f>
        <v>0</v>
      </c>
      <c r="F1810" s="23" t="n">
        <f aca="false">Test1_Hand!$B$4+E1810*D1810</f>
        <v>16</v>
      </c>
      <c r="G1810" s="24" t="n">
        <f aca="false">Test1_Hand!$B$6*E1810*D1810+Test1_Hand!$B$7*MAX(0,F1810-Test1_Hand!$B$5)</f>
        <v>0</v>
      </c>
      <c r="H1810" s="2" t="n">
        <f aca="false">IF(B1810&lt;Test1_Hand!$B$13,1,0)</f>
        <v>0</v>
      </c>
      <c r="I1810" s="23" t="n">
        <f aca="false">Test1_Hand!$B$4+H1810*D1810</f>
        <v>16</v>
      </c>
      <c r="J1810" s="24" t="n">
        <f aca="false">Test1_Hand!$B$6*H1810*D1810+Test1_Hand!$B$7*MAX(0,I1810-Test1_Hand!$B$5)+Test1_Hand!$B$14</f>
        <v>6000</v>
      </c>
    </row>
    <row r="1811" customFormat="false" ht="15" hidden="false" customHeight="false" outlineLevel="0" collapsed="false">
      <c r="A1811" s="2" t="n">
        <v>1799</v>
      </c>
      <c r="B1811" s="22" t="n">
        <v>0.901238860936272</v>
      </c>
      <c r="C1811" s="22" t="n">
        <v>0.623662822529208</v>
      </c>
      <c r="D1811" s="23" t="n">
        <f aca="false">BETAINV(C1811,Test1_Hand!$B$21,Test1_Hand!$B$22,Test1_Hand!$B$9,Test1_Hand!$B$11)</f>
        <v>3.83790693838307</v>
      </c>
      <c r="E1811" s="2" t="n">
        <f aca="false">IF(B1811&lt;Test1_Hand!$B$12,1,0)</f>
        <v>0</v>
      </c>
      <c r="F1811" s="23" t="n">
        <f aca="false">Test1_Hand!$B$4+E1811*D1811</f>
        <v>16</v>
      </c>
      <c r="G1811" s="24" t="n">
        <f aca="false">Test1_Hand!$B$6*E1811*D1811+Test1_Hand!$B$7*MAX(0,F1811-Test1_Hand!$B$5)</f>
        <v>0</v>
      </c>
      <c r="H1811" s="2" t="n">
        <f aca="false">IF(B1811&lt;Test1_Hand!$B$13,1,0)</f>
        <v>0</v>
      </c>
      <c r="I1811" s="23" t="n">
        <f aca="false">Test1_Hand!$B$4+H1811*D1811</f>
        <v>16</v>
      </c>
      <c r="J1811" s="24" t="n">
        <f aca="false">Test1_Hand!$B$6*H1811*D1811+Test1_Hand!$B$7*MAX(0,I1811-Test1_Hand!$B$5)+Test1_Hand!$B$14</f>
        <v>6000</v>
      </c>
    </row>
    <row r="1812" customFormat="false" ht="15" hidden="false" customHeight="false" outlineLevel="0" collapsed="false">
      <c r="A1812" s="2" t="n">
        <v>1800</v>
      </c>
      <c r="B1812" s="22" t="n">
        <v>0.414327140688456</v>
      </c>
      <c r="C1812" s="22" t="n">
        <v>0.323341276730211</v>
      </c>
      <c r="D1812" s="23" t="n">
        <f aca="false">BETAINV(C1812,Test1_Hand!$B$21,Test1_Hand!$B$22,Test1_Hand!$B$9,Test1_Hand!$B$11)</f>
        <v>2.7717188182113</v>
      </c>
      <c r="E1812" s="2" t="n">
        <f aca="false">IF(B1812&lt;Test1_Hand!$B$12,1,0)</f>
        <v>1</v>
      </c>
      <c r="F1812" s="23" t="n">
        <f aca="false">Test1_Hand!$B$4+E1812*D1812</f>
        <v>18.7717188182113</v>
      </c>
      <c r="G1812" s="24" t="n">
        <f aca="false">Test1_Hand!$B$6*E1812*D1812+Test1_Hand!$B$7*MAX(0,F1812-Test1_Hand!$B$5)</f>
        <v>22173.7505456904</v>
      </c>
      <c r="H1812" s="2" t="n">
        <f aca="false">IF(B1812&lt;Test1_Hand!$B$13,1,0)</f>
        <v>0</v>
      </c>
      <c r="I1812" s="23" t="n">
        <f aca="false">Test1_Hand!$B$4+H1812*D1812</f>
        <v>16</v>
      </c>
      <c r="J1812" s="24" t="n">
        <f aca="false">Test1_Hand!$B$6*H1812*D1812+Test1_Hand!$B$7*MAX(0,I1812-Test1_Hand!$B$5)+Test1_Hand!$B$14</f>
        <v>6000</v>
      </c>
    </row>
    <row r="1813" customFormat="false" ht="15" hidden="false" customHeight="false" outlineLevel="0" collapsed="false">
      <c r="A1813" s="2" t="n">
        <v>1801</v>
      </c>
      <c r="B1813" s="22" t="n">
        <v>0.252179084225182</v>
      </c>
      <c r="C1813" s="22" t="n">
        <v>0.989394463372273</v>
      </c>
      <c r="D1813" s="23" t="n">
        <f aca="false">BETAINV(C1813,Test1_Hand!$B$21,Test1_Hand!$B$22,Test1_Hand!$B$9,Test1_Hand!$B$11)</f>
        <v>6.55961306124495</v>
      </c>
      <c r="E1813" s="2" t="n">
        <f aca="false">IF(B1813&lt;Test1_Hand!$B$12,1,0)</f>
        <v>1</v>
      </c>
      <c r="F1813" s="23" t="n">
        <f aca="false">Test1_Hand!$B$4+E1813*D1813</f>
        <v>22.559613061245</v>
      </c>
      <c r="G1813" s="24" t="n">
        <f aca="false">Test1_Hand!$B$6*E1813*D1813+Test1_Hand!$B$7*MAX(0,F1813-Test1_Hand!$B$5)</f>
        <v>65274.9697961844</v>
      </c>
      <c r="H1813" s="2" t="n">
        <f aca="false">IF(B1813&lt;Test1_Hand!$B$13,1,0)</f>
        <v>0</v>
      </c>
      <c r="I1813" s="23" t="n">
        <f aca="false">Test1_Hand!$B$4+H1813*D1813</f>
        <v>16</v>
      </c>
      <c r="J1813" s="24" t="n">
        <f aca="false">Test1_Hand!$B$6*H1813*D1813+Test1_Hand!$B$7*MAX(0,I1813-Test1_Hand!$B$5)+Test1_Hand!$B$14</f>
        <v>6000</v>
      </c>
    </row>
    <row r="1814" customFormat="false" ht="15" hidden="false" customHeight="false" outlineLevel="0" collapsed="false">
      <c r="A1814" s="2" t="n">
        <v>1802</v>
      </c>
      <c r="B1814" s="22" t="n">
        <v>0.905492579691178</v>
      </c>
      <c r="C1814" s="22" t="n">
        <v>0.862321714876462</v>
      </c>
      <c r="D1814" s="23" t="n">
        <f aca="false">BETAINV(C1814,Test1_Hand!$B$21,Test1_Hand!$B$22,Test1_Hand!$B$9,Test1_Hand!$B$11)</f>
        <v>4.99604275446656</v>
      </c>
      <c r="E1814" s="2" t="n">
        <f aca="false">IF(B1814&lt;Test1_Hand!$B$12,1,0)</f>
        <v>0</v>
      </c>
      <c r="F1814" s="23" t="n">
        <f aca="false">Test1_Hand!$B$4+E1814*D1814</f>
        <v>16</v>
      </c>
      <c r="G1814" s="24" t="n">
        <f aca="false">Test1_Hand!$B$6*E1814*D1814+Test1_Hand!$B$7*MAX(0,F1814-Test1_Hand!$B$5)</f>
        <v>0</v>
      </c>
      <c r="H1814" s="2" t="n">
        <f aca="false">IF(B1814&lt;Test1_Hand!$B$13,1,0)</f>
        <v>0</v>
      </c>
      <c r="I1814" s="23" t="n">
        <f aca="false">Test1_Hand!$B$4+H1814*D1814</f>
        <v>16</v>
      </c>
      <c r="J1814" s="24" t="n">
        <f aca="false">Test1_Hand!$B$6*H1814*D1814+Test1_Hand!$B$7*MAX(0,I1814-Test1_Hand!$B$5)+Test1_Hand!$B$14</f>
        <v>6000</v>
      </c>
    </row>
    <row r="1815" customFormat="false" ht="15" hidden="false" customHeight="false" outlineLevel="0" collapsed="false">
      <c r="A1815" s="2" t="n">
        <v>1803</v>
      </c>
      <c r="B1815" s="22" t="n">
        <v>0.398718680479237</v>
      </c>
      <c r="C1815" s="22" t="n">
        <v>0.855959282691651</v>
      </c>
      <c r="D1815" s="23" t="n">
        <f aca="false">BETAINV(C1815,Test1_Hand!$B$21,Test1_Hand!$B$22,Test1_Hand!$B$9,Test1_Hand!$B$11)</f>
        <v>4.95416310170844</v>
      </c>
      <c r="E1815" s="2" t="n">
        <f aca="false">IF(B1815&lt;Test1_Hand!$B$12,1,0)</f>
        <v>1</v>
      </c>
      <c r="F1815" s="23" t="n">
        <f aca="false">Test1_Hand!$B$4+E1815*D1815</f>
        <v>20.9541631017084</v>
      </c>
      <c r="G1815" s="24" t="n">
        <f aca="false">Test1_Hand!$B$6*E1815*D1815+Test1_Hand!$B$7*MAX(0,F1815-Test1_Hand!$B$5)</f>
        <v>44404.1203222097</v>
      </c>
      <c r="H1815" s="2" t="n">
        <f aca="false">IF(B1815&lt;Test1_Hand!$B$13,1,0)</f>
        <v>0</v>
      </c>
      <c r="I1815" s="23" t="n">
        <f aca="false">Test1_Hand!$B$4+H1815*D1815</f>
        <v>16</v>
      </c>
      <c r="J1815" s="24" t="n">
        <f aca="false">Test1_Hand!$B$6*H1815*D1815+Test1_Hand!$B$7*MAX(0,I1815-Test1_Hand!$B$5)+Test1_Hand!$B$14</f>
        <v>6000</v>
      </c>
    </row>
    <row r="1816" customFormat="false" ht="15" hidden="false" customHeight="false" outlineLevel="0" collapsed="false">
      <c r="A1816" s="2" t="n">
        <v>1804</v>
      </c>
      <c r="B1816" s="22" t="n">
        <v>0.470941022395454</v>
      </c>
      <c r="C1816" s="22" t="n">
        <v>0.832285982730592</v>
      </c>
      <c r="D1816" s="23" t="n">
        <f aca="false">BETAINV(C1816,Test1_Hand!$B$21,Test1_Hand!$B$22,Test1_Hand!$B$9,Test1_Hand!$B$11)</f>
        <v>4.80745320543557</v>
      </c>
      <c r="E1816" s="2" t="n">
        <f aca="false">IF(B1816&lt;Test1_Hand!$B$12,1,0)</f>
        <v>1</v>
      </c>
      <c r="F1816" s="23" t="n">
        <f aca="false">Test1_Hand!$B$4+E1816*D1816</f>
        <v>20.8074532054356</v>
      </c>
      <c r="G1816" s="24" t="n">
        <f aca="false">Test1_Hand!$B$6*E1816*D1816+Test1_Hand!$B$7*MAX(0,F1816-Test1_Hand!$B$5)</f>
        <v>42496.8916706625</v>
      </c>
      <c r="H1816" s="2" t="n">
        <f aca="false">IF(B1816&lt;Test1_Hand!$B$13,1,0)</f>
        <v>0</v>
      </c>
      <c r="I1816" s="23" t="n">
        <f aca="false">Test1_Hand!$B$4+H1816*D1816</f>
        <v>16</v>
      </c>
      <c r="J1816" s="24" t="n">
        <f aca="false">Test1_Hand!$B$6*H1816*D1816+Test1_Hand!$B$7*MAX(0,I1816-Test1_Hand!$B$5)+Test1_Hand!$B$14</f>
        <v>6000</v>
      </c>
    </row>
    <row r="1817" customFormat="false" ht="15" hidden="false" customHeight="false" outlineLevel="0" collapsed="false">
      <c r="A1817" s="2" t="n">
        <v>1805</v>
      </c>
      <c r="B1817" s="22" t="n">
        <v>0.848304697776275</v>
      </c>
      <c r="C1817" s="22" t="n">
        <v>0.924641915725523</v>
      </c>
      <c r="D1817" s="23" t="n">
        <f aca="false">BETAINV(C1817,Test1_Hand!$B$21,Test1_Hand!$B$22,Test1_Hand!$B$9,Test1_Hand!$B$11)</f>
        <v>5.49191861367344</v>
      </c>
      <c r="E1817" s="2" t="n">
        <f aca="false">IF(B1817&lt;Test1_Hand!$B$12,1,0)</f>
        <v>0</v>
      </c>
      <c r="F1817" s="23" t="n">
        <f aca="false">Test1_Hand!$B$4+E1817*D1817</f>
        <v>16</v>
      </c>
      <c r="G1817" s="24" t="n">
        <f aca="false">Test1_Hand!$B$6*E1817*D1817+Test1_Hand!$B$7*MAX(0,F1817-Test1_Hand!$B$5)</f>
        <v>0</v>
      </c>
      <c r="H1817" s="2" t="n">
        <f aca="false">IF(B1817&lt;Test1_Hand!$B$13,1,0)</f>
        <v>0</v>
      </c>
      <c r="I1817" s="23" t="n">
        <f aca="false">Test1_Hand!$B$4+H1817*D1817</f>
        <v>16</v>
      </c>
      <c r="J1817" s="24" t="n">
        <f aca="false">Test1_Hand!$B$6*H1817*D1817+Test1_Hand!$B$7*MAX(0,I1817-Test1_Hand!$B$5)+Test1_Hand!$B$14</f>
        <v>6000</v>
      </c>
    </row>
    <row r="1818" customFormat="false" ht="15" hidden="false" customHeight="false" outlineLevel="0" collapsed="false">
      <c r="A1818" s="2" t="n">
        <v>1806</v>
      </c>
      <c r="B1818" s="22" t="n">
        <v>0.238073606950815</v>
      </c>
      <c r="C1818" s="22" t="n">
        <v>0.0822879110968474</v>
      </c>
      <c r="D1818" s="23" t="n">
        <f aca="false">BETAINV(C1818,Test1_Hand!$B$21,Test1_Hand!$B$22,Test1_Hand!$B$9,Test1_Hand!$B$11)</f>
        <v>1.81560486704218</v>
      </c>
      <c r="E1818" s="2" t="n">
        <f aca="false">IF(B1818&lt;Test1_Hand!$B$12,1,0)</f>
        <v>1</v>
      </c>
      <c r="F1818" s="23" t="n">
        <f aca="false">Test1_Hand!$B$4+E1818*D1818</f>
        <v>17.8156048670422</v>
      </c>
      <c r="G1818" s="24" t="n">
        <f aca="false">Test1_Hand!$B$6*E1818*D1818+Test1_Hand!$B$7*MAX(0,F1818-Test1_Hand!$B$5)</f>
        <v>14524.8389363375</v>
      </c>
      <c r="H1818" s="2" t="n">
        <f aca="false">IF(B1818&lt;Test1_Hand!$B$13,1,0)</f>
        <v>0</v>
      </c>
      <c r="I1818" s="23" t="n">
        <f aca="false">Test1_Hand!$B$4+H1818*D1818</f>
        <v>16</v>
      </c>
      <c r="J1818" s="24" t="n">
        <f aca="false">Test1_Hand!$B$6*H1818*D1818+Test1_Hand!$B$7*MAX(0,I1818-Test1_Hand!$B$5)+Test1_Hand!$B$14</f>
        <v>6000</v>
      </c>
    </row>
    <row r="1819" customFormat="false" ht="15" hidden="false" customHeight="false" outlineLevel="0" collapsed="false">
      <c r="A1819" s="2" t="n">
        <v>1807</v>
      </c>
      <c r="B1819" s="22" t="n">
        <v>0.710393284603471</v>
      </c>
      <c r="C1819" s="22" t="n">
        <v>0.226531361582075</v>
      </c>
      <c r="D1819" s="23" t="n">
        <f aca="false">BETAINV(C1819,Test1_Hand!$B$21,Test1_Hand!$B$22,Test1_Hand!$B$9,Test1_Hand!$B$11)</f>
        <v>2.42652052212496</v>
      </c>
      <c r="E1819" s="2" t="n">
        <f aca="false">IF(B1819&lt;Test1_Hand!$B$12,1,0)</f>
        <v>0</v>
      </c>
      <c r="F1819" s="23" t="n">
        <f aca="false">Test1_Hand!$B$4+E1819*D1819</f>
        <v>16</v>
      </c>
      <c r="G1819" s="24" t="n">
        <f aca="false">Test1_Hand!$B$6*E1819*D1819+Test1_Hand!$B$7*MAX(0,F1819-Test1_Hand!$B$5)</f>
        <v>0</v>
      </c>
      <c r="H1819" s="2" t="n">
        <f aca="false">IF(B1819&lt;Test1_Hand!$B$13,1,0)</f>
        <v>0</v>
      </c>
      <c r="I1819" s="23" t="n">
        <f aca="false">Test1_Hand!$B$4+H1819*D1819</f>
        <v>16</v>
      </c>
      <c r="J1819" s="24" t="n">
        <f aca="false">Test1_Hand!$B$6*H1819*D1819+Test1_Hand!$B$7*MAX(0,I1819-Test1_Hand!$B$5)+Test1_Hand!$B$14</f>
        <v>6000</v>
      </c>
    </row>
    <row r="1820" customFormat="false" ht="15" hidden="false" customHeight="false" outlineLevel="0" collapsed="false">
      <c r="A1820" s="2" t="n">
        <v>1808</v>
      </c>
      <c r="B1820" s="22" t="n">
        <v>0.920422460734712</v>
      </c>
      <c r="C1820" s="22" t="n">
        <v>0.731331082376884</v>
      </c>
      <c r="D1820" s="23" t="n">
        <f aca="false">BETAINV(C1820,Test1_Hand!$B$21,Test1_Hand!$B$22,Test1_Hand!$B$9,Test1_Hand!$B$11)</f>
        <v>4.2882106732272</v>
      </c>
      <c r="E1820" s="2" t="n">
        <f aca="false">IF(B1820&lt;Test1_Hand!$B$12,1,0)</f>
        <v>0</v>
      </c>
      <c r="F1820" s="23" t="n">
        <f aca="false">Test1_Hand!$B$4+E1820*D1820</f>
        <v>16</v>
      </c>
      <c r="G1820" s="24" t="n">
        <f aca="false">Test1_Hand!$B$6*E1820*D1820+Test1_Hand!$B$7*MAX(0,F1820-Test1_Hand!$B$5)</f>
        <v>0</v>
      </c>
      <c r="H1820" s="2" t="n">
        <f aca="false">IF(B1820&lt;Test1_Hand!$B$13,1,0)</f>
        <v>0</v>
      </c>
      <c r="I1820" s="23" t="n">
        <f aca="false">Test1_Hand!$B$4+H1820*D1820</f>
        <v>16</v>
      </c>
      <c r="J1820" s="24" t="n">
        <f aca="false">Test1_Hand!$B$6*H1820*D1820+Test1_Hand!$B$7*MAX(0,I1820-Test1_Hand!$B$5)+Test1_Hand!$B$14</f>
        <v>6000</v>
      </c>
    </row>
    <row r="1821" customFormat="false" ht="15" hidden="false" customHeight="false" outlineLevel="0" collapsed="false">
      <c r="A1821" s="2" t="n">
        <v>1809</v>
      </c>
      <c r="B1821" s="22" t="n">
        <v>0.237623588487688</v>
      </c>
      <c r="C1821" s="22" t="n">
        <v>0.790514322867322</v>
      </c>
      <c r="D1821" s="23" t="n">
        <f aca="false">BETAINV(C1821,Test1_Hand!$B$21,Test1_Hand!$B$22,Test1_Hand!$B$9,Test1_Hand!$B$11)</f>
        <v>4.5757857639263</v>
      </c>
      <c r="E1821" s="2" t="n">
        <f aca="false">IF(B1821&lt;Test1_Hand!$B$12,1,0)</f>
        <v>1</v>
      </c>
      <c r="F1821" s="23" t="n">
        <f aca="false">Test1_Hand!$B$4+E1821*D1821</f>
        <v>20.5757857639263</v>
      </c>
      <c r="G1821" s="24" t="n">
        <f aca="false">Test1_Hand!$B$6*E1821*D1821+Test1_Hand!$B$7*MAX(0,F1821-Test1_Hand!$B$5)</f>
        <v>39485.2149310419</v>
      </c>
      <c r="H1821" s="2" t="n">
        <f aca="false">IF(B1821&lt;Test1_Hand!$B$13,1,0)</f>
        <v>0</v>
      </c>
      <c r="I1821" s="23" t="n">
        <f aca="false">Test1_Hand!$B$4+H1821*D1821</f>
        <v>16</v>
      </c>
      <c r="J1821" s="24" t="n">
        <f aca="false">Test1_Hand!$B$6*H1821*D1821+Test1_Hand!$B$7*MAX(0,I1821-Test1_Hand!$B$5)+Test1_Hand!$B$14</f>
        <v>6000</v>
      </c>
    </row>
    <row r="1822" customFormat="false" ht="15" hidden="false" customHeight="false" outlineLevel="0" collapsed="false">
      <c r="A1822" s="2" t="n">
        <v>1810</v>
      </c>
      <c r="B1822" s="22" t="n">
        <v>0.498186764861651</v>
      </c>
      <c r="C1822" s="22" t="n">
        <v>0.559881258239567</v>
      </c>
      <c r="D1822" s="23" t="n">
        <f aca="false">BETAINV(C1822,Test1_Hand!$B$21,Test1_Hand!$B$22,Test1_Hand!$B$9,Test1_Hand!$B$11)</f>
        <v>3.59760890268502</v>
      </c>
      <c r="E1822" s="2" t="n">
        <f aca="false">IF(B1822&lt;Test1_Hand!$B$12,1,0)</f>
        <v>1</v>
      </c>
      <c r="F1822" s="23" t="n">
        <f aca="false">Test1_Hand!$B$4+E1822*D1822</f>
        <v>19.597608902685</v>
      </c>
      <c r="G1822" s="24" t="n">
        <f aca="false">Test1_Hand!$B$6*E1822*D1822+Test1_Hand!$B$7*MAX(0,F1822-Test1_Hand!$B$5)</f>
        <v>28780.8712214802</v>
      </c>
      <c r="H1822" s="2" t="n">
        <f aca="false">IF(B1822&lt;Test1_Hand!$B$13,1,0)</f>
        <v>0</v>
      </c>
      <c r="I1822" s="23" t="n">
        <f aca="false">Test1_Hand!$B$4+H1822*D1822</f>
        <v>16</v>
      </c>
      <c r="J1822" s="24" t="n">
        <f aca="false">Test1_Hand!$B$6*H1822*D1822+Test1_Hand!$B$7*MAX(0,I1822-Test1_Hand!$B$5)+Test1_Hand!$B$14</f>
        <v>6000</v>
      </c>
    </row>
    <row r="1823" customFormat="false" ht="15" hidden="false" customHeight="false" outlineLevel="0" collapsed="false">
      <c r="A1823" s="2" t="n">
        <v>1811</v>
      </c>
      <c r="B1823" s="22" t="n">
        <v>0.593924865157424</v>
      </c>
      <c r="C1823" s="22" t="n">
        <v>0.96798917508006</v>
      </c>
      <c r="D1823" s="23" t="n">
        <f aca="false">BETAINV(C1823,Test1_Hand!$B$21,Test1_Hand!$B$22,Test1_Hand!$B$9,Test1_Hand!$B$11)</f>
        <v>6.04004291929048</v>
      </c>
      <c r="E1823" s="2" t="n">
        <f aca="false">IF(B1823&lt;Test1_Hand!$B$12,1,0)</f>
        <v>0</v>
      </c>
      <c r="F1823" s="23" t="n">
        <f aca="false">Test1_Hand!$B$4+E1823*D1823</f>
        <v>16</v>
      </c>
      <c r="G1823" s="24" t="n">
        <f aca="false">Test1_Hand!$B$6*E1823*D1823+Test1_Hand!$B$7*MAX(0,F1823-Test1_Hand!$B$5)</f>
        <v>0</v>
      </c>
      <c r="H1823" s="2" t="n">
        <f aca="false">IF(B1823&lt;Test1_Hand!$B$13,1,0)</f>
        <v>0</v>
      </c>
      <c r="I1823" s="23" t="n">
        <f aca="false">Test1_Hand!$B$4+H1823*D1823</f>
        <v>16</v>
      </c>
      <c r="J1823" s="24" t="n">
        <f aca="false">Test1_Hand!$B$6*H1823*D1823+Test1_Hand!$B$7*MAX(0,I1823-Test1_Hand!$B$5)+Test1_Hand!$B$14</f>
        <v>6000</v>
      </c>
    </row>
    <row r="1824" customFormat="false" ht="15" hidden="false" customHeight="false" outlineLevel="0" collapsed="false">
      <c r="A1824" s="2" t="n">
        <v>1812</v>
      </c>
      <c r="B1824" s="22" t="n">
        <v>0.596092229697803</v>
      </c>
      <c r="C1824" s="22" t="n">
        <v>0.771459420484702</v>
      </c>
      <c r="D1824" s="23" t="n">
        <f aca="false">BETAINV(C1824,Test1_Hand!$B$21,Test1_Hand!$B$22,Test1_Hand!$B$9,Test1_Hand!$B$11)</f>
        <v>4.47886352578377</v>
      </c>
      <c r="E1824" s="2" t="n">
        <f aca="false">IF(B1824&lt;Test1_Hand!$B$12,1,0)</f>
        <v>0</v>
      </c>
      <c r="F1824" s="23" t="n">
        <f aca="false">Test1_Hand!$B$4+E1824*D1824</f>
        <v>16</v>
      </c>
      <c r="G1824" s="24" t="n">
        <f aca="false">Test1_Hand!$B$6*E1824*D1824+Test1_Hand!$B$7*MAX(0,F1824-Test1_Hand!$B$5)</f>
        <v>0</v>
      </c>
      <c r="H1824" s="2" t="n">
        <f aca="false">IF(B1824&lt;Test1_Hand!$B$13,1,0)</f>
        <v>0</v>
      </c>
      <c r="I1824" s="23" t="n">
        <f aca="false">Test1_Hand!$B$4+H1824*D1824</f>
        <v>16</v>
      </c>
      <c r="J1824" s="24" t="n">
        <f aca="false">Test1_Hand!$B$6*H1824*D1824+Test1_Hand!$B$7*MAX(0,I1824-Test1_Hand!$B$5)+Test1_Hand!$B$14</f>
        <v>6000</v>
      </c>
    </row>
    <row r="1825" customFormat="false" ht="15" hidden="false" customHeight="false" outlineLevel="0" collapsed="false">
      <c r="A1825" s="2" t="n">
        <v>1813</v>
      </c>
      <c r="B1825" s="22" t="n">
        <v>0.507101057530625</v>
      </c>
      <c r="C1825" s="22" t="n">
        <v>0.486854084681876</v>
      </c>
      <c r="D1825" s="23" t="n">
        <f aca="false">BETAINV(C1825,Test1_Hand!$B$21,Test1_Hand!$B$22,Test1_Hand!$B$9,Test1_Hand!$B$11)</f>
        <v>3.33634406936611</v>
      </c>
      <c r="E1825" s="2" t="n">
        <f aca="false">IF(B1825&lt;Test1_Hand!$B$12,1,0)</f>
        <v>0</v>
      </c>
      <c r="F1825" s="23" t="n">
        <f aca="false">Test1_Hand!$B$4+E1825*D1825</f>
        <v>16</v>
      </c>
      <c r="G1825" s="24" t="n">
        <f aca="false">Test1_Hand!$B$6*E1825*D1825+Test1_Hand!$B$7*MAX(0,F1825-Test1_Hand!$B$5)</f>
        <v>0</v>
      </c>
      <c r="H1825" s="2" t="n">
        <f aca="false">IF(B1825&lt;Test1_Hand!$B$13,1,0)</f>
        <v>0</v>
      </c>
      <c r="I1825" s="23" t="n">
        <f aca="false">Test1_Hand!$B$4+H1825*D1825</f>
        <v>16</v>
      </c>
      <c r="J1825" s="24" t="n">
        <f aca="false">Test1_Hand!$B$6*H1825*D1825+Test1_Hand!$B$7*MAX(0,I1825-Test1_Hand!$B$5)+Test1_Hand!$B$14</f>
        <v>6000</v>
      </c>
    </row>
    <row r="1826" customFormat="false" ht="15" hidden="false" customHeight="false" outlineLevel="0" collapsed="false">
      <c r="A1826" s="2" t="n">
        <v>1814</v>
      </c>
      <c r="B1826" s="22" t="n">
        <v>0.165882784702487</v>
      </c>
      <c r="C1826" s="22" t="n">
        <v>0.682369056774101</v>
      </c>
      <c r="D1826" s="23" t="n">
        <f aca="false">BETAINV(C1826,Test1_Hand!$B$21,Test1_Hand!$B$22,Test1_Hand!$B$9,Test1_Hand!$B$11)</f>
        <v>4.0745182007718</v>
      </c>
      <c r="E1826" s="2" t="n">
        <f aca="false">IF(B1826&lt;Test1_Hand!$B$12,1,0)</f>
        <v>1</v>
      </c>
      <c r="F1826" s="23" t="n">
        <f aca="false">Test1_Hand!$B$4+E1826*D1826</f>
        <v>20.0745182007718</v>
      </c>
      <c r="G1826" s="24" t="n">
        <f aca="false">Test1_Hand!$B$6*E1826*D1826+Test1_Hand!$B$7*MAX(0,F1826-Test1_Hand!$B$5)</f>
        <v>32968.7366100334</v>
      </c>
      <c r="H1826" s="2" t="n">
        <f aca="false">IF(B1826&lt;Test1_Hand!$B$13,1,0)</f>
        <v>1</v>
      </c>
      <c r="I1826" s="23" t="n">
        <f aca="false">Test1_Hand!$B$4+H1826*D1826</f>
        <v>20.0745182007718</v>
      </c>
      <c r="J1826" s="24" t="n">
        <f aca="false">Test1_Hand!$B$6*H1826*D1826+Test1_Hand!$B$7*MAX(0,I1826-Test1_Hand!$B$5)+Test1_Hand!$B$14</f>
        <v>38968.7366100334</v>
      </c>
    </row>
    <row r="1827" customFormat="false" ht="15" hidden="false" customHeight="false" outlineLevel="0" collapsed="false">
      <c r="A1827" s="2" t="n">
        <v>1815</v>
      </c>
      <c r="B1827" s="22" t="n">
        <v>0.54893266577462</v>
      </c>
      <c r="C1827" s="22" t="n">
        <v>0.830906408155609</v>
      </c>
      <c r="D1827" s="23" t="n">
        <f aca="false">BETAINV(C1827,Test1_Hand!$B$21,Test1_Hand!$B$22,Test1_Hand!$B$9,Test1_Hand!$B$11)</f>
        <v>4.79929624715615</v>
      </c>
      <c r="E1827" s="2" t="n">
        <f aca="false">IF(B1827&lt;Test1_Hand!$B$12,1,0)</f>
        <v>0</v>
      </c>
      <c r="F1827" s="23" t="n">
        <f aca="false">Test1_Hand!$B$4+E1827*D1827</f>
        <v>16</v>
      </c>
      <c r="G1827" s="24" t="n">
        <f aca="false">Test1_Hand!$B$6*E1827*D1827+Test1_Hand!$B$7*MAX(0,F1827-Test1_Hand!$B$5)</f>
        <v>0</v>
      </c>
      <c r="H1827" s="2" t="n">
        <f aca="false">IF(B1827&lt;Test1_Hand!$B$13,1,0)</f>
        <v>0</v>
      </c>
      <c r="I1827" s="23" t="n">
        <f aca="false">Test1_Hand!$B$4+H1827*D1827</f>
        <v>16</v>
      </c>
      <c r="J1827" s="24" t="n">
        <f aca="false">Test1_Hand!$B$6*H1827*D1827+Test1_Hand!$B$7*MAX(0,I1827-Test1_Hand!$B$5)+Test1_Hand!$B$14</f>
        <v>6000</v>
      </c>
    </row>
    <row r="1828" customFormat="false" ht="15" hidden="false" customHeight="false" outlineLevel="0" collapsed="false">
      <c r="A1828" s="2" t="n">
        <v>1816</v>
      </c>
      <c r="B1828" s="22" t="n">
        <v>0.688336562222394</v>
      </c>
      <c r="C1828" s="22" t="n">
        <v>0.563011740313664</v>
      </c>
      <c r="D1828" s="23" t="n">
        <f aca="false">BETAINV(C1828,Test1_Hand!$B$21,Test1_Hand!$B$22,Test1_Hand!$B$9,Test1_Hand!$B$11)</f>
        <v>3.60909139704463</v>
      </c>
      <c r="E1828" s="2" t="n">
        <f aca="false">IF(B1828&lt;Test1_Hand!$B$12,1,0)</f>
        <v>0</v>
      </c>
      <c r="F1828" s="23" t="n">
        <f aca="false">Test1_Hand!$B$4+E1828*D1828</f>
        <v>16</v>
      </c>
      <c r="G1828" s="24" t="n">
        <f aca="false">Test1_Hand!$B$6*E1828*D1828+Test1_Hand!$B$7*MAX(0,F1828-Test1_Hand!$B$5)</f>
        <v>0</v>
      </c>
      <c r="H1828" s="2" t="n">
        <f aca="false">IF(B1828&lt;Test1_Hand!$B$13,1,0)</f>
        <v>0</v>
      </c>
      <c r="I1828" s="23" t="n">
        <f aca="false">Test1_Hand!$B$4+H1828*D1828</f>
        <v>16</v>
      </c>
      <c r="J1828" s="24" t="n">
        <f aca="false">Test1_Hand!$B$6*H1828*D1828+Test1_Hand!$B$7*MAX(0,I1828-Test1_Hand!$B$5)+Test1_Hand!$B$14</f>
        <v>6000</v>
      </c>
    </row>
    <row r="1829" customFormat="false" ht="15" hidden="false" customHeight="false" outlineLevel="0" collapsed="false">
      <c r="A1829" s="2" t="n">
        <v>1817</v>
      </c>
      <c r="B1829" s="22" t="n">
        <v>0.942875004712314</v>
      </c>
      <c r="C1829" s="22" t="n">
        <v>0.731266849542372</v>
      </c>
      <c r="D1829" s="23" t="n">
        <f aca="false">BETAINV(C1829,Test1_Hand!$B$21,Test1_Hand!$B$22,Test1_Hand!$B$9,Test1_Hand!$B$11)</f>
        <v>4.28791802346452</v>
      </c>
      <c r="E1829" s="2" t="n">
        <f aca="false">IF(B1829&lt;Test1_Hand!$B$12,1,0)</f>
        <v>0</v>
      </c>
      <c r="F1829" s="23" t="n">
        <f aca="false">Test1_Hand!$B$4+E1829*D1829</f>
        <v>16</v>
      </c>
      <c r="G1829" s="24" t="n">
        <f aca="false">Test1_Hand!$B$6*E1829*D1829+Test1_Hand!$B$7*MAX(0,F1829-Test1_Hand!$B$5)</f>
        <v>0</v>
      </c>
      <c r="H1829" s="2" t="n">
        <f aca="false">IF(B1829&lt;Test1_Hand!$B$13,1,0)</f>
        <v>0</v>
      </c>
      <c r="I1829" s="23" t="n">
        <f aca="false">Test1_Hand!$B$4+H1829*D1829</f>
        <v>16</v>
      </c>
      <c r="J1829" s="24" t="n">
        <f aca="false">Test1_Hand!$B$6*H1829*D1829+Test1_Hand!$B$7*MAX(0,I1829-Test1_Hand!$B$5)+Test1_Hand!$B$14</f>
        <v>6000</v>
      </c>
    </row>
    <row r="1830" customFormat="false" ht="15" hidden="false" customHeight="false" outlineLevel="0" collapsed="false">
      <c r="A1830" s="2" t="n">
        <v>1818</v>
      </c>
      <c r="B1830" s="22" t="n">
        <v>0.90709178847396</v>
      </c>
      <c r="C1830" s="22" t="n">
        <v>0.623907028849451</v>
      </c>
      <c r="D1830" s="23" t="n">
        <f aca="false">BETAINV(C1830,Test1_Hand!$B$21,Test1_Hand!$B$22,Test1_Hand!$B$9,Test1_Hand!$B$11)</f>
        <v>3.838856341902</v>
      </c>
      <c r="E1830" s="2" t="n">
        <f aca="false">IF(B1830&lt;Test1_Hand!$B$12,1,0)</f>
        <v>0</v>
      </c>
      <c r="F1830" s="23" t="n">
        <f aca="false">Test1_Hand!$B$4+E1830*D1830</f>
        <v>16</v>
      </c>
      <c r="G1830" s="24" t="n">
        <f aca="false">Test1_Hand!$B$6*E1830*D1830+Test1_Hand!$B$7*MAX(0,F1830-Test1_Hand!$B$5)</f>
        <v>0</v>
      </c>
      <c r="H1830" s="2" t="n">
        <f aca="false">IF(B1830&lt;Test1_Hand!$B$13,1,0)</f>
        <v>0</v>
      </c>
      <c r="I1830" s="23" t="n">
        <f aca="false">Test1_Hand!$B$4+H1830*D1830</f>
        <v>16</v>
      </c>
      <c r="J1830" s="24" t="n">
        <f aca="false">Test1_Hand!$B$6*H1830*D1830+Test1_Hand!$B$7*MAX(0,I1830-Test1_Hand!$B$5)+Test1_Hand!$B$14</f>
        <v>6000</v>
      </c>
    </row>
    <row r="1831" customFormat="false" ht="15" hidden="false" customHeight="false" outlineLevel="0" collapsed="false">
      <c r="A1831" s="2" t="n">
        <v>1819</v>
      </c>
      <c r="B1831" s="22" t="n">
        <v>0.202574917947179</v>
      </c>
      <c r="C1831" s="22" t="n">
        <v>0.296100130981305</v>
      </c>
      <c r="D1831" s="23" t="n">
        <f aca="false">BETAINV(C1831,Test1_Hand!$B$21,Test1_Hand!$B$22,Test1_Hand!$B$9,Test1_Hand!$B$11)</f>
        <v>2.67664815066057</v>
      </c>
      <c r="E1831" s="2" t="n">
        <f aca="false">IF(B1831&lt;Test1_Hand!$B$12,1,0)</f>
        <v>1</v>
      </c>
      <c r="F1831" s="23" t="n">
        <f aca="false">Test1_Hand!$B$4+E1831*D1831</f>
        <v>18.6766481506606</v>
      </c>
      <c r="G1831" s="24" t="n">
        <f aca="false">Test1_Hand!$B$6*E1831*D1831+Test1_Hand!$B$7*MAX(0,F1831-Test1_Hand!$B$5)</f>
        <v>21413.1852052846</v>
      </c>
      <c r="H1831" s="2" t="n">
        <f aca="false">IF(B1831&lt;Test1_Hand!$B$13,1,0)</f>
        <v>0</v>
      </c>
      <c r="I1831" s="23" t="n">
        <f aca="false">Test1_Hand!$B$4+H1831*D1831</f>
        <v>16</v>
      </c>
      <c r="J1831" s="24" t="n">
        <f aca="false">Test1_Hand!$B$6*H1831*D1831+Test1_Hand!$B$7*MAX(0,I1831-Test1_Hand!$B$5)+Test1_Hand!$B$14</f>
        <v>6000</v>
      </c>
    </row>
    <row r="1832" customFormat="false" ht="15" hidden="false" customHeight="false" outlineLevel="0" collapsed="false">
      <c r="A1832" s="2" t="n">
        <v>1820</v>
      </c>
      <c r="B1832" s="22" t="n">
        <v>0.666854151791911</v>
      </c>
      <c r="C1832" s="22" t="n">
        <v>0.925697586818313</v>
      </c>
      <c r="D1832" s="23" t="n">
        <f aca="false">BETAINV(C1832,Test1_Hand!$B$21,Test1_Hand!$B$22,Test1_Hand!$B$9,Test1_Hand!$B$11)</f>
        <v>5.50228722127759</v>
      </c>
      <c r="E1832" s="2" t="n">
        <f aca="false">IF(B1832&lt;Test1_Hand!$B$12,1,0)</f>
        <v>0</v>
      </c>
      <c r="F1832" s="23" t="n">
        <f aca="false">Test1_Hand!$B$4+E1832*D1832</f>
        <v>16</v>
      </c>
      <c r="G1832" s="24" t="n">
        <f aca="false">Test1_Hand!$B$6*E1832*D1832+Test1_Hand!$B$7*MAX(0,F1832-Test1_Hand!$B$5)</f>
        <v>0</v>
      </c>
      <c r="H1832" s="2" t="n">
        <f aca="false">IF(B1832&lt;Test1_Hand!$B$13,1,0)</f>
        <v>0</v>
      </c>
      <c r="I1832" s="23" t="n">
        <f aca="false">Test1_Hand!$B$4+H1832*D1832</f>
        <v>16</v>
      </c>
      <c r="J1832" s="24" t="n">
        <f aca="false">Test1_Hand!$B$6*H1832*D1832+Test1_Hand!$B$7*MAX(0,I1832-Test1_Hand!$B$5)+Test1_Hand!$B$14</f>
        <v>6000</v>
      </c>
    </row>
    <row r="1833" customFormat="false" ht="15" hidden="false" customHeight="false" outlineLevel="0" collapsed="false">
      <c r="A1833" s="2" t="n">
        <v>1821</v>
      </c>
      <c r="B1833" s="22" t="n">
        <v>0.709252668636206</v>
      </c>
      <c r="C1833" s="22" t="n">
        <v>0.584385584073415</v>
      </c>
      <c r="D1833" s="23" t="n">
        <f aca="false">BETAINV(C1833,Test1_Hand!$B$21,Test1_Hand!$B$22,Test1_Hand!$B$9,Test1_Hand!$B$11)</f>
        <v>3.68827382361463</v>
      </c>
      <c r="E1833" s="2" t="n">
        <f aca="false">IF(B1833&lt;Test1_Hand!$B$12,1,0)</f>
        <v>0</v>
      </c>
      <c r="F1833" s="23" t="n">
        <f aca="false">Test1_Hand!$B$4+E1833*D1833</f>
        <v>16</v>
      </c>
      <c r="G1833" s="24" t="n">
        <f aca="false">Test1_Hand!$B$6*E1833*D1833+Test1_Hand!$B$7*MAX(0,F1833-Test1_Hand!$B$5)</f>
        <v>0</v>
      </c>
      <c r="H1833" s="2" t="n">
        <f aca="false">IF(B1833&lt;Test1_Hand!$B$13,1,0)</f>
        <v>0</v>
      </c>
      <c r="I1833" s="23" t="n">
        <f aca="false">Test1_Hand!$B$4+H1833*D1833</f>
        <v>16</v>
      </c>
      <c r="J1833" s="24" t="n">
        <f aca="false">Test1_Hand!$B$6*H1833*D1833+Test1_Hand!$B$7*MAX(0,I1833-Test1_Hand!$B$5)+Test1_Hand!$B$14</f>
        <v>6000</v>
      </c>
    </row>
    <row r="1834" customFormat="false" ht="15" hidden="false" customHeight="false" outlineLevel="0" collapsed="false">
      <c r="A1834" s="2" t="n">
        <v>1822</v>
      </c>
      <c r="B1834" s="22" t="n">
        <v>0.626286028901585</v>
      </c>
      <c r="C1834" s="22" t="n">
        <v>0.302931126093059</v>
      </c>
      <c r="D1834" s="23" t="n">
        <f aca="false">BETAINV(C1834,Test1_Hand!$B$21,Test1_Hand!$B$22,Test1_Hand!$B$9,Test1_Hand!$B$11)</f>
        <v>2.70059460294036</v>
      </c>
      <c r="E1834" s="2" t="n">
        <f aca="false">IF(B1834&lt;Test1_Hand!$B$12,1,0)</f>
        <v>0</v>
      </c>
      <c r="F1834" s="23" t="n">
        <f aca="false">Test1_Hand!$B$4+E1834*D1834</f>
        <v>16</v>
      </c>
      <c r="G1834" s="24" t="n">
        <f aca="false">Test1_Hand!$B$6*E1834*D1834+Test1_Hand!$B$7*MAX(0,F1834-Test1_Hand!$B$5)</f>
        <v>0</v>
      </c>
      <c r="H1834" s="2" t="n">
        <f aca="false">IF(B1834&lt;Test1_Hand!$B$13,1,0)</f>
        <v>0</v>
      </c>
      <c r="I1834" s="23" t="n">
        <f aca="false">Test1_Hand!$B$4+H1834*D1834</f>
        <v>16</v>
      </c>
      <c r="J1834" s="24" t="n">
        <f aca="false">Test1_Hand!$B$6*H1834*D1834+Test1_Hand!$B$7*MAX(0,I1834-Test1_Hand!$B$5)+Test1_Hand!$B$14</f>
        <v>6000</v>
      </c>
    </row>
    <row r="1835" customFormat="false" ht="15" hidden="false" customHeight="false" outlineLevel="0" collapsed="false">
      <c r="A1835" s="2" t="n">
        <v>1823</v>
      </c>
      <c r="B1835" s="22" t="n">
        <v>0.131427829161172</v>
      </c>
      <c r="C1835" s="22" t="n">
        <v>0.0642502024424239</v>
      </c>
      <c r="D1835" s="23" t="n">
        <f aca="false">BETAINV(C1835,Test1_Hand!$B$21,Test1_Hand!$B$22,Test1_Hand!$B$9,Test1_Hand!$B$11)</f>
        <v>1.7168388633479</v>
      </c>
      <c r="E1835" s="2" t="n">
        <f aca="false">IF(B1835&lt;Test1_Hand!$B$12,1,0)</f>
        <v>1</v>
      </c>
      <c r="F1835" s="23" t="n">
        <f aca="false">Test1_Hand!$B$4+E1835*D1835</f>
        <v>17.7168388633479</v>
      </c>
      <c r="G1835" s="24" t="n">
        <f aca="false">Test1_Hand!$B$6*E1835*D1835+Test1_Hand!$B$7*MAX(0,F1835-Test1_Hand!$B$5)</f>
        <v>13734.7109067832</v>
      </c>
      <c r="H1835" s="2" t="n">
        <f aca="false">IF(B1835&lt;Test1_Hand!$B$13,1,0)</f>
        <v>1</v>
      </c>
      <c r="I1835" s="23" t="n">
        <f aca="false">Test1_Hand!$B$4+H1835*D1835</f>
        <v>17.7168388633479</v>
      </c>
      <c r="J1835" s="24" t="n">
        <f aca="false">Test1_Hand!$B$6*H1835*D1835+Test1_Hand!$B$7*MAX(0,I1835-Test1_Hand!$B$5)+Test1_Hand!$B$14</f>
        <v>19734.7109067832</v>
      </c>
    </row>
    <row r="1836" customFormat="false" ht="15" hidden="false" customHeight="false" outlineLevel="0" collapsed="false">
      <c r="A1836" s="2" t="n">
        <v>1824</v>
      </c>
      <c r="B1836" s="22" t="n">
        <v>0.734144116283058</v>
      </c>
      <c r="C1836" s="22" t="n">
        <v>0.534532667921804</v>
      </c>
      <c r="D1836" s="23" t="n">
        <f aca="false">BETAINV(C1836,Test1_Hand!$B$21,Test1_Hand!$B$22,Test1_Hand!$B$9,Test1_Hand!$B$11)</f>
        <v>3.50559206694846</v>
      </c>
      <c r="E1836" s="2" t="n">
        <f aca="false">IF(B1836&lt;Test1_Hand!$B$12,1,0)</f>
        <v>0</v>
      </c>
      <c r="F1836" s="23" t="n">
        <f aca="false">Test1_Hand!$B$4+E1836*D1836</f>
        <v>16</v>
      </c>
      <c r="G1836" s="24" t="n">
        <f aca="false">Test1_Hand!$B$6*E1836*D1836+Test1_Hand!$B$7*MAX(0,F1836-Test1_Hand!$B$5)</f>
        <v>0</v>
      </c>
      <c r="H1836" s="2" t="n">
        <f aca="false">IF(B1836&lt;Test1_Hand!$B$13,1,0)</f>
        <v>0</v>
      </c>
      <c r="I1836" s="23" t="n">
        <f aca="false">Test1_Hand!$B$4+H1836*D1836</f>
        <v>16</v>
      </c>
      <c r="J1836" s="24" t="n">
        <f aca="false">Test1_Hand!$B$6*H1836*D1836+Test1_Hand!$B$7*MAX(0,I1836-Test1_Hand!$B$5)+Test1_Hand!$B$14</f>
        <v>6000</v>
      </c>
    </row>
    <row r="1837" customFormat="false" ht="15" hidden="false" customHeight="false" outlineLevel="0" collapsed="false">
      <c r="A1837" s="2" t="n">
        <v>1825</v>
      </c>
      <c r="B1837" s="22" t="n">
        <v>0.716910142529903</v>
      </c>
      <c r="C1837" s="22" t="n">
        <v>0.865806533830434</v>
      </c>
      <c r="D1837" s="23" t="n">
        <f aca="false">BETAINV(C1837,Test1_Hand!$B$21,Test1_Hand!$B$22,Test1_Hand!$B$9,Test1_Hand!$B$11)</f>
        <v>5.01948342727452</v>
      </c>
      <c r="E1837" s="2" t="n">
        <f aca="false">IF(B1837&lt;Test1_Hand!$B$12,1,0)</f>
        <v>0</v>
      </c>
      <c r="F1837" s="23" t="n">
        <f aca="false">Test1_Hand!$B$4+E1837*D1837</f>
        <v>16</v>
      </c>
      <c r="G1837" s="24" t="n">
        <f aca="false">Test1_Hand!$B$6*E1837*D1837+Test1_Hand!$B$7*MAX(0,F1837-Test1_Hand!$B$5)</f>
        <v>0</v>
      </c>
      <c r="H1837" s="2" t="n">
        <f aca="false">IF(B1837&lt;Test1_Hand!$B$13,1,0)</f>
        <v>0</v>
      </c>
      <c r="I1837" s="23" t="n">
        <f aca="false">Test1_Hand!$B$4+H1837*D1837</f>
        <v>16</v>
      </c>
      <c r="J1837" s="24" t="n">
        <f aca="false">Test1_Hand!$B$6*H1837*D1837+Test1_Hand!$B$7*MAX(0,I1837-Test1_Hand!$B$5)+Test1_Hand!$B$14</f>
        <v>6000</v>
      </c>
    </row>
    <row r="1838" customFormat="false" ht="15" hidden="false" customHeight="false" outlineLevel="0" collapsed="false">
      <c r="A1838" s="2" t="n">
        <v>1826</v>
      </c>
      <c r="B1838" s="22" t="n">
        <v>0.123582356405822</v>
      </c>
      <c r="C1838" s="22" t="n">
        <v>0.312074943029298</v>
      </c>
      <c r="D1838" s="23" t="n">
        <f aca="false">BETAINV(C1838,Test1_Hand!$B$21,Test1_Hand!$B$22,Test1_Hand!$B$9,Test1_Hand!$B$11)</f>
        <v>2.73253113458716</v>
      </c>
      <c r="E1838" s="2" t="n">
        <f aca="false">IF(B1838&lt;Test1_Hand!$B$12,1,0)</f>
        <v>1</v>
      </c>
      <c r="F1838" s="23" t="n">
        <f aca="false">Test1_Hand!$B$4+E1838*D1838</f>
        <v>18.7325311345872</v>
      </c>
      <c r="G1838" s="24" t="n">
        <f aca="false">Test1_Hand!$B$6*E1838*D1838+Test1_Hand!$B$7*MAX(0,F1838-Test1_Hand!$B$5)</f>
        <v>21860.2490766973</v>
      </c>
      <c r="H1838" s="2" t="n">
        <f aca="false">IF(B1838&lt;Test1_Hand!$B$13,1,0)</f>
        <v>1</v>
      </c>
      <c r="I1838" s="23" t="n">
        <f aca="false">Test1_Hand!$B$4+H1838*D1838</f>
        <v>18.7325311345872</v>
      </c>
      <c r="J1838" s="24" t="n">
        <f aca="false">Test1_Hand!$B$6*H1838*D1838+Test1_Hand!$B$7*MAX(0,I1838-Test1_Hand!$B$5)+Test1_Hand!$B$14</f>
        <v>27860.2490766973</v>
      </c>
    </row>
    <row r="1839" customFormat="false" ht="15" hidden="false" customHeight="false" outlineLevel="0" collapsed="false">
      <c r="A1839" s="2" t="n">
        <v>1827</v>
      </c>
      <c r="B1839" s="22" t="n">
        <v>0.164094257668794</v>
      </c>
      <c r="C1839" s="22" t="n">
        <v>0.838055686184044</v>
      </c>
      <c r="D1839" s="23" t="n">
        <f aca="false">BETAINV(C1839,Test1_Hand!$B$21,Test1_Hand!$B$22,Test1_Hand!$B$9,Test1_Hand!$B$11)</f>
        <v>4.84200532148681</v>
      </c>
      <c r="E1839" s="2" t="n">
        <f aca="false">IF(B1839&lt;Test1_Hand!$B$12,1,0)</f>
        <v>1</v>
      </c>
      <c r="F1839" s="23" t="n">
        <f aca="false">Test1_Hand!$B$4+E1839*D1839</f>
        <v>20.8420053214868</v>
      </c>
      <c r="G1839" s="24" t="n">
        <f aca="false">Test1_Hand!$B$6*E1839*D1839+Test1_Hand!$B$7*MAX(0,F1839-Test1_Hand!$B$5)</f>
        <v>42946.0691793285</v>
      </c>
      <c r="H1839" s="2" t="n">
        <f aca="false">IF(B1839&lt;Test1_Hand!$B$13,1,0)</f>
        <v>1</v>
      </c>
      <c r="I1839" s="23" t="n">
        <f aca="false">Test1_Hand!$B$4+H1839*D1839</f>
        <v>20.8420053214868</v>
      </c>
      <c r="J1839" s="24" t="n">
        <f aca="false">Test1_Hand!$B$6*H1839*D1839+Test1_Hand!$B$7*MAX(0,I1839-Test1_Hand!$B$5)+Test1_Hand!$B$14</f>
        <v>48946.0691793285</v>
      </c>
    </row>
    <row r="1840" customFormat="false" ht="15" hidden="false" customHeight="false" outlineLevel="0" collapsed="false">
      <c r="A1840" s="2" t="n">
        <v>1828</v>
      </c>
      <c r="B1840" s="22" t="n">
        <v>0.570284608993779</v>
      </c>
      <c r="C1840" s="22" t="n">
        <v>0.249205967067986</v>
      </c>
      <c r="D1840" s="23" t="n">
        <f aca="false">BETAINV(C1840,Test1_Hand!$B$21,Test1_Hand!$B$22,Test1_Hand!$B$9,Test1_Hand!$B$11)</f>
        <v>2.50957231633372</v>
      </c>
      <c r="E1840" s="2" t="n">
        <f aca="false">IF(B1840&lt;Test1_Hand!$B$12,1,0)</f>
        <v>0</v>
      </c>
      <c r="F1840" s="23" t="n">
        <f aca="false">Test1_Hand!$B$4+E1840*D1840</f>
        <v>16</v>
      </c>
      <c r="G1840" s="24" t="n">
        <f aca="false">Test1_Hand!$B$6*E1840*D1840+Test1_Hand!$B$7*MAX(0,F1840-Test1_Hand!$B$5)</f>
        <v>0</v>
      </c>
      <c r="H1840" s="2" t="n">
        <f aca="false">IF(B1840&lt;Test1_Hand!$B$13,1,0)</f>
        <v>0</v>
      </c>
      <c r="I1840" s="23" t="n">
        <f aca="false">Test1_Hand!$B$4+H1840*D1840</f>
        <v>16</v>
      </c>
      <c r="J1840" s="24" t="n">
        <f aca="false">Test1_Hand!$B$6*H1840*D1840+Test1_Hand!$B$7*MAX(0,I1840-Test1_Hand!$B$5)+Test1_Hand!$B$14</f>
        <v>6000</v>
      </c>
    </row>
    <row r="1841" customFormat="false" ht="15" hidden="false" customHeight="false" outlineLevel="0" collapsed="false">
      <c r="A1841" s="2" t="n">
        <v>1829</v>
      </c>
      <c r="B1841" s="22" t="n">
        <v>0.455755687717855</v>
      </c>
      <c r="C1841" s="22" t="n">
        <v>0.706699534634972</v>
      </c>
      <c r="D1841" s="23" t="n">
        <f aca="false">BETAINV(C1841,Test1_Hand!$B$21,Test1_Hand!$B$22,Test1_Hand!$B$9,Test1_Hand!$B$11)</f>
        <v>4.17849040767224</v>
      </c>
      <c r="E1841" s="2" t="n">
        <f aca="false">IF(B1841&lt;Test1_Hand!$B$12,1,0)</f>
        <v>1</v>
      </c>
      <c r="F1841" s="23" t="n">
        <f aca="false">Test1_Hand!$B$4+E1841*D1841</f>
        <v>20.1784904076722</v>
      </c>
      <c r="G1841" s="24" t="n">
        <f aca="false">Test1_Hand!$B$6*E1841*D1841+Test1_Hand!$B$7*MAX(0,F1841-Test1_Hand!$B$5)</f>
        <v>34320.3752997391</v>
      </c>
      <c r="H1841" s="2" t="n">
        <f aca="false">IF(B1841&lt;Test1_Hand!$B$13,1,0)</f>
        <v>0</v>
      </c>
      <c r="I1841" s="23" t="n">
        <f aca="false">Test1_Hand!$B$4+H1841*D1841</f>
        <v>16</v>
      </c>
      <c r="J1841" s="24" t="n">
        <f aca="false">Test1_Hand!$B$6*H1841*D1841+Test1_Hand!$B$7*MAX(0,I1841-Test1_Hand!$B$5)+Test1_Hand!$B$14</f>
        <v>6000</v>
      </c>
    </row>
    <row r="1842" customFormat="false" ht="15" hidden="false" customHeight="false" outlineLevel="0" collapsed="false">
      <c r="A1842" s="2" t="n">
        <v>1830</v>
      </c>
      <c r="B1842" s="22" t="n">
        <v>0.0576032796051399</v>
      </c>
      <c r="C1842" s="22" t="n">
        <v>0.503545933888115</v>
      </c>
      <c r="D1842" s="23" t="n">
        <f aca="false">BETAINV(C1842,Test1_Hand!$B$21,Test1_Hand!$B$22,Test1_Hand!$B$9,Test1_Hand!$B$11)</f>
        <v>3.39511215758808</v>
      </c>
      <c r="E1842" s="2" t="n">
        <f aca="false">IF(B1842&lt;Test1_Hand!$B$12,1,0)</f>
        <v>1</v>
      </c>
      <c r="F1842" s="23" t="n">
        <f aca="false">Test1_Hand!$B$4+E1842*D1842</f>
        <v>19.3951121575881</v>
      </c>
      <c r="G1842" s="24" t="n">
        <f aca="false">Test1_Hand!$B$6*E1842*D1842+Test1_Hand!$B$7*MAX(0,F1842-Test1_Hand!$B$5)</f>
        <v>27160.8972607047</v>
      </c>
      <c r="H1842" s="2" t="n">
        <f aca="false">IF(B1842&lt;Test1_Hand!$B$13,1,0)</f>
        <v>1</v>
      </c>
      <c r="I1842" s="23" t="n">
        <f aca="false">Test1_Hand!$B$4+H1842*D1842</f>
        <v>19.3951121575881</v>
      </c>
      <c r="J1842" s="24" t="n">
        <f aca="false">Test1_Hand!$B$6*H1842*D1842+Test1_Hand!$B$7*MAX(0,I1842-Test1_Hand!$B$5)+Test1_Hand!$B$14</f>
        <v>33160.8972607047</v>
      </c>
    </row>
    <row r="1843" customFormat="false" ht="15" hidden="false" customHeight="false" outlineLevel="0" collapsed="false">
      <c r="A1843" s="2" t="n">
        <v>1831</v>
      </c>
      <c r="B1843" s="22" t="n">
        <v>0.806381421945356</v>
      </c>
      <c r="C1843" s="22" t="n">
        <v>0.885408958326879</v>
      </c>
      <c r="D1843" s="23" t="n">
        <f aca="false">BETAINV(C1843,Test1_Hand!$B$21,Test1_Hand!$B$22,Test1_Hand!$B$9,Test1_Hand!$B$11)</f>
        <v>5.15890239985654</v>
      </c>
      <c r="E1843" s="2" t="n">
        <f aca="false">IF(B1843&lt;Test1_Hand!$B$12,1,0)</f>
        <v>0</v>
      </c>
      <c r="F1843" s="23" t="n">
        <f aca="false">Test1_Hand!$B$4+E1843*D1843</f>
        <v>16</v>
      </c>
      <c r="G1843" s="24" t="n">
        <f aca="false">Test1_Hand!$B$6*E1843*D1843+Test1_Hand!$B$7*MAX(0,F1843-Test1_Hand!$B$5)</f>
        <v>0</v>
      </c>
      <c r="H1843" s="2" t="n">
        <f aca="false">IF(B1843&lt;Test1_Hand!$B$13,1,0)</f>
        <v>0</v>
      </c>
      <c r="I1843" s="23" t="n">
        <f aca="false">Test1_Hand!$B$4+H1843*D1843</f>
        <v>16</v>
      </c>
      <c r="J1843" s="24" t="n">
        <f aca="false">Test1_Hand!$B$6*H1843*D1843+Test1_Hand!$B$7*MAX(0,I1843-Test1_Hand!$B$5)+Test1_Hand!$B$14</f>
        <v>6000</v>
      </c>
    </row>
    <row r="1844" customFormat="false" ht="15" hidden="false" customHeight="false" outlineLevel="0" collapsed="false">
      <c r="A1844" s="2" t="n">
        <v>1832</v>
      </c>
      <c r="B1844" s="22" t="n">
        <v>0.590092741939043</v>
      </c>
      <c r="C1844" s="22" t="n">
        <v>0.523336632389155</v>
      </c>
      <c r="D1844" s="23" t="n">
        <f aca="false">BETAINV(C1844,Test1_Hand!$B$21,Test1_Hand!$B$22,Test1_Hand!$B$9,Test1_Hand!$B$11)</f>
        <v>3.46544356905125</v>
      </c>
      <c r="E1844" s="2" t="n">
        <f aca="false">IF(B1844&lt;Test1_Hand!$B$12,1,0)</f>
        <v>0</v>
      </c>
      <c r="F1844" s="23" t="n">
        <f aca="false">Test1_Hand!$B$4+E1844*D1844</f>
        <v>16</v>
      </c>
      <c r="G1844" s="24" t="n">
        <f aca="false">Test1_Hand!$B$6*E1844*D1844+Test1_Hand!$B$7*MAX(0,F1844-Test1_Hand!$B$5)</f>
        <v>0</v>
      </c>
      <c r="H1844" s="2" t="n">
        <f aca="false">IF(B1844&lt;Test1_Hand!$B$13,1,0)</f>
        <v>0</v>
      </c>
      <c r="I1844" s="23" t="n">
        <f aca="false">Test1_Hand!$B$4+H1844*D1844</f>
        <v>16</v>
      </c>
      <c r="J1844" s="24" t="n">
        <f aca="false">Test1_Hand!$B$6*H1844*D1844+Test1_Hand!$B$7*MAX(0,I1844-Test1_Hand!$B$5)+Test1_Hand!$B$14</f>
        <v>6000</v>
      </c>
    </row>
    <row r="1845" customFormat="false" ht="15" hidden="false" customHeight="false" outlineLevel="0" collapsed="false">
      <c r="A1845" s="2" t="n">
        <v>1833</v>
      </c>
      <c r="B1845" s="22" t="n">
        <v>0.224461348536822</v>
      </c>
      <c r="C1845" s="22" t="n">
        <v>0.0183632288005917</v>
      </c>
      <c r="D1845" s="23" t="n">
        <f aca="false">BETAINV(C1845,Test1_Hand!$B$21,Test1_Hand!$B$22,Test1_Hand!$B$9,Test1_Hand!$B$11)</f>
        <v>1.38183581083515</v>
      </c>
      <c r="E1845" s="2" t="n">
        <f aca="false">IF(B1845&lt;Test1_Hand!$B$12,1,0)</f>
        <v>1</v>
      </c>
      <c r="F1845" s="23" t="n">
        <f aca="false">Test1_Hand!$B$4+E1845*D1845</f>
        <v>17.3818358108351</v>
      </c>
      <c r="G1845" s="24" t="n">
        <f aca="false">Test1_Hand!$B$6*E1845*D1845+Test1_Hand!$B$7*MAX(0,F1845-Test1_Hand!$B$5)</f>
        <v>11054.6864866812</v>
      </c>
      <c r="H1845" s="2" t="n">
        <f aca="false">IF(B1845&lt;Test1_Hand!$B$13,1,0)</f>
        <v>0</v>
      </c>
      <c r="I1845" s="23" t="n">
        <f aca="false">Test1_Hand!$B$4+H1845*D1845</f>
        <v>16</v>
      </c>
      <c r="J1845" s="24" t="n">
        <f aca="false">Test1_Hand!$B$6*H1845*D1845+Test1_Hand!$B$7*MAX(0,I1845-Test1_Hand!$B$5)+Test1_Hand!$B$14</f>
        <v>6000</v>
      </c>
    </row>
    <row r="1846" customFormat="false" ht="15" hidden="false" customHeight="false" outlineLevel="0" collapsed="false">
      <c r="A1846" s="2" t="n">
        <v>1834</v>
      </c>
      <c r="B1846" s="22" t="n">
        <v>0.292869081153277</v>
      </c>
      <c r="C1846" s="22" t="n">
        <v>0.103308782785401</v>
      </c>
      <c r="D1846" s="23" t="n">
        <f aca="false">BETAINV(C1846,Test1_Hand!$B$21,Test1_Hand!$B$22,Test1_Hand!$B$9,Test1_Hand!$B$11)</f>
        <v>1.92022966606647</v>
      </c>
      <c r="E1846" s="2" t="n">
        <f aca="false">IF(B1846&lt;Test1_Hand!$B$12,1,0)</f>
        <v>1</v>
      </c>
      <c r="F1846" s="23" t="n">
        <f aca="false">Test1_Hand!$B$4+E1846*D1846</f>
        <v>17.9202296660665</v>
      </c>
      <c r="G1846" s="24" t="n">
        <f aca="false">Test1_Hand!$B$6*E1846*D1846+Test1_Hand!$B$7*MAX(0,F1846-Test1_Hand!$B$5)</f>
        <v>15361.8373285317</v>
      </c>
      <c r="H1846" s="2" t="n">
        <f aca="false">IF(B1846&lt;Test1_Hand!$B$13,1,0)</f>
        <v>0</v>
      </c>
      <c r="I1846" s="23" t="n">
        <f aca="false">Test1_Hand!$B$4+H1846*D1846</f>
        <v>16</v>
      </c>
      <c r="J1846" s="24" t="n">
        <f aca="false">Test1_Hand!$B$6*H1846*D1846+Test1_Hand!$B$7*MAX(0,I1846-Test1_Hand!$B$5)+Test1_Hand!$B$14</f>
        <v>6000</v>
      </c>
    </row>
    <row r="1847" customFormat="false" ht="15" hidden="false" customHeight="false" outlineLevel="0" collapsed="false">
      <c r="A1847" s="2" t="n">
        <v>1835</v>
      </c>
      <c r="B1847" s="22" t="n">
        <v>0.858692207098446</v>
      </c>
      <c r="C1847" s="22" t="n">
        <v>0.024577848538989</v>
      </c>
      <c r="D1847" s="23" t="n">
        <f aca="false">BETAINV(C1847,Test1_Hand!$B$21,Test1_Hand!$B$22,Test1_Hand!$B$9,Test1_Hand!$B$11)</f>
        <v>1.44095704476682</v>
      </c>
      <c r="E1847" s="2" t="n">
        <f aca="false">IF(B1847&lt;Test1_Hand!$B$12,1,0)</f>
        <v>0</v>
      </c>
      <c r="F1847" s="23" t="n">
        <f aca="false">Test1_Hand!$B$4+E1847*D1847</f>
        <v>16</v>
      </c>
      <c r="G1847" s="24" t="n">
        <f aca="false">Test1_Hand!$B$6*E1847*D1847+Test1_Hand!$B$7*MAX(0,F1847-Test1_Hand!$B$5)</f>
        <v>0</v>
      </c>
      <c r="H1847" s="2" t="n">
        <f aca="false">IF(B1847&lt;Test1_Hand!$B$13,1,0)</f>
        <v>0</v>
      </c>
      <c r="I1847" s="23" t="n">
        <f aca="false">Test1_Hand!$B$4+H1847*D1847</f>
        <v>16</v>
      </c>
      <c r="J1847" s="24" t="n">
        <f aca="false">Test1_Hand!$B$6*H1847*D1847+Test1_Hand!$B$7*MAX(0,I1847-Test1_Hand!$B$5)+Test1_Hand!$B$14</f>
        <v>6000</v>
      </c>
    </row>
    <row r="1848" customFormat="false" ht="15" hidden="false" customHeight="false" outlineLevel="0" collapsed="false">
      <c r="A1848" s="2" t="n">
        <v>1836</v>
      </c>
      <c r="B1848" s="22" t="n">
        <v>0.823993602986907</v>
      </c>
      <c r="C1848" s="22" t="n">
        <v>0.376559256056461</v>
      </c>
      <c r="D1848" s="23" t="n">
        <f aca="false">BETAINV(C1848,Test1_Hand!$B$21,Test1_Hand!$B$22,Test1_Hand!$B$9,Test1_Hand!$B$11)</f>
        <v>2.95524897981104</v>
      </c>
      <c r="E1848" s="2" t="n">
        <f aca="false">IF(B1848&lt;Test1_Hand!$B$12,1,0)</f>
        <v>0</v>
      </c>
      <c r="F1848" s="23" t="n">
        <f aca="false">Test1_Hand!$B$4+E1848*D1848</f>
        <v>16</v>
      </c>
      <c r="G1848" s="24" t="n">
        <f aca="false">Test1_Hand!$B$6*E1848*D1848+Test1_Hand!$B$7*MAX(0,F1848-Test1_Hand!$B$5)</f>
        <v>0</v>
      </c>
      <c r="H1848" s="2" t="n">
        <f aca="false">IF(B1848&lt;Test1_Hand!$B$13,1,0)</f>
        <v>0</v>
      </c>
      <c r="I1848" s="23" t="n">
        <f aca="false">Test1_Hand!$B$4+H1848*D1848</f>
        <v>16</v>
      </c>
      <c r="J1848" s="24" t="n">
        <f aca="false">Test1_Hand!$B$6*H1848*D1848+Test1_Hand!$B$7*MAX(0,I1848-Test1_Hand!$B$5)+Test1_Hand!$B$14</f>
        <v>6000</v>
      </c>
    </row>
    <row r="1849" customFormat="false" ht="15" hidden="false" customHeight="false" outlineLevel="0" collapsed="false">
      <c r="A1849" s="2" t="n">
        <v>1837</v>
      </c>
      <c r="B1849" s="22" t="n">
        <v>0.457386270591844</v>
      </c>
      <c r="C1849" s="22" t="n">
        <v>0.186067978332912</v>
      </c>
      <c r="D1849" s="23" t="n">
        <f aca="false">BETAINV(C1849,Test1_Hand!$B$21,Test1_Hand!$B$22,Test1_Hand!$B$9,Test1_Hand!$B$11)</f>
        <v>2.27287837171482</v>
      </c>
      <c r="E1849" s="2" t="n">
        <f aca="false">IF(B1849&lt;Test1_Hand!$B$12,1,0)</f>
        <v>1</v>
      </c>
      <c r="F1849" s="23" t="n">
        <f aca="false">Test1_Hand!$B$4+E1849*D1849</f>
        <v>18.2728783717148</v>
      </c>
      <c r="G1849" s="24" t="n">
        <f aca="false">Test1_Hand!$B$6*E1849*D1849+Test1_Hand!$B$7*MAX(0,F1849-Test1_Hand!$B$5)</f>
        <v>18183.0269737186</v>
      </c>
      <c r="H1849" s="2" t="n">
        <f aca="false">IF(B1849&lt;Test1_Hand!$B$13,1,0)</f>
        <v>0</v>
      </c>
      <c r="I1849" s="23" t="n">
        <f aca="false">Test1_Hand!$B$4+H1849*D1849</f>
        <v>16</v>
      </c>
      <c r="J1849" s="24" t="n">
        <f aca="false">Test1_Hand!$B$6*H1849*D1849+Test1_Hand!$B$7*MAX(0,I1849-Test1_Hand!$B$5)+Test1_Hand!$B$14</f>
        <v>6000</v>
      </c>
    </row>
    <row r="1850" customFormat="false" ht="15" hidden="false" customHeight="false" outlineLevel="0" collapsed="false">
      <c r="A1850" s="2" t="n">
        <v>1838</v>
      </c>
      <c r="B1850" s="22" t="n">
        <v>0.597089999612546</v>
      </c>
      <c r="C1850" s="22" t="n">
        <v>0.129061470633597</v>
      </c>
      <c r="D1850" s="23" t="n">
        <f aca="false">BETAINV(C1850,Test1_Hand!$B$21,Test1_Hand!$B$22,Test1_Hand!$B$9,Test1_Hand!$B$11)</f>
        <v>2.03791395981371</v>
      </c>
      <c r="E1850" s="2" t="n">
        <f aca="false">IF(B1850&lt;Test1_Hand!$B$12,1,0)</f>
        <v>0</v>
      </c>
      <c r="F1850" s="23" t="n">
        <f aca="false">Test1_Hand!$B$4+E1850*D1850</f>
        <v>16</v>
      </c>
      <c r="G1850" s="24" t="n">
        <f aca="false">Test1_Hand!$B$6*E1850*D1850+Test1_Hand!$B$7*MAX(0,F1850-Test1_Hand!$B$5)</f>
        <v>0</v>
      </c>
      <c r="H1850" s="2" t="n">
        <f aca="false">IF(B1850&lt;Test1_Hand!$B$13,1,0)</f>
        <v>0</v>
      </c>
      <c r="I1850" s="23" t="n">
        <f aca="false">Test1_Hand!$B$4+H1850*D1850</f>
        <v>16</v>
      </c>
      <c r="J1850" s="24" t="n">
        <f aca="false">Test1_Hand!$B$6*H1850*D1850+Test1_Hand!$B$7*MAX(0,I1850-Test1_Hand!$B$5)+Test1_Hand!$B$14</f>
        <v>6000</v>
      </c>
    </row>
    <row r="1851" customFormat="false" ht="15" hidden="false" customHeight="false" outlineLevel="0" collapsed="false">
      <c r="A1851" s="2" t="n">
        <v>1839</v>
      </c>
      <c r="B1851" s="22" t="n">
        <v>0.417810615731211</v>
      </c>
      <c r="C1851" s="22" t="n">
        <v>0.729164684316278</v>
      </c>
      <c r="D1851" s="23" t="n">
        <f aca="false">BETAINV(C1851,Test1_Hand!$B$21,Test1_Hand!$B$22,Test1_Hand!$B$9,Test1_Hand!$B$11)</f>
        <v>4.27836024731363</v>
      </c>
      <c r="E1851" s="2" t="n">
        <f aca="false">IF(B1851&lt;Test1_Hand!$B$12,1,0)</f>
        <v>1</v>
      </c>
      <c r="F1851" s="23" t="n">
        <f aca="false">Test1_Hand!$B$4+E1851*D1851</f>
        <v>20.2783602473136</v>
      </c>
      <c r="G1851" s="24" t="n">
        <f aca="false">Test1_Hand!$B$6*E1851*D1851+Test1_Hand!$B$7*MAX(0,F1851-Test1_Hand!$B$5)</f>
        <v>35618.6832150772</v>
      </c>
      <c r="H1851" s="2" t="n">
        <f aca="false">IF(B1851&lt;Test1_Hand!$B$13,1,0)</f>
        <v>0</v>
      </c>
      <c r="I1851" s="23" t="n">
        <f aca="false">Test1_Hand!$B$4+H1851*D1851</f>
        <v>16</v>
      </c>
      <c r="J1851" s="24" t="n">
        <f aca="false">Test1_Hand!$B$6*H1851*D1851+Test1_Hand!$B$7*MAX(0,I1851-Test1_Hand!$B$5)+Test1_Hand!$B$14</f>
        <v>6000</v>
      </c>
    </row>
    <row r="1852" customFormat="false" ht="15" hidden="false" customHeight="false" outlineLevel="0" collapsed="false">
      <c r="A1852" s="2" t="n">
        <v>1840</v>
      </c>
      <c r="B1852" s="22" t="n">
        <v>0.0405545824379751</v>
      </c>
      <c r="C1852" s="22" t="n">
        <v>0.501168770159606</v>
      </c>
      <c r="D1852" s="23" t="n">
        <f aca="false">BETAINV(C1852,Test1_Hand!$B$21,Test1_Hand!$B$22,Test1_Hand!$B$9,Test1_Hand!$B$11)</f>
        <v>3.38671403056328</v>
      </c>
      <c r="E1852" s="2" t="n">
        <f aca="false">IF(B1852&lt;Test1_Hand!$B$12,1,0)</f>
        <v>1</v>
      </c>
      <c r="F1852" s="23" t="n">
        <f aca="false">Test1_Hand!$B$4+E1852*D1852</f>
        <v>19.3867140305633</v>
      </c>
      <c r="G1852" s="24" t="n">
        <f aca="false">Test1_Hand!$B$6*E1852*D1852+Test1_Hand!$B$7*MAX(0,F1852-Test1_Hand!$B$5)</f>
        <v>27093.7122445063</v>
      </c>
      <c r="H1852" s="2" t="n">
        <f aca="false">IF(B1852&lt;Test1_Hand!$B$13,1,0)</f>
        <v>1</v>
      </c>
      <c r="I1852" s="23" t="n">
        <f aca="false">Test1_Hand!$B$4+H1852*D1852</f>
        <v>19.3867140305633</v>
      </c>
      <c r="J1852" s="24" t="n">
        <f aca="false">Test1_Hand!$B$6*H1852*D1852+Test1_Hand!$B$7*MAX(0,I1852-Test1_Hand!$B$5)+Test1_Hand!$B$14</f>
        <v>33093.7122445063</v>
      </c>
    </row>
    <row r="1853" customFormat="false" ht="15" hidden="false" customHeight="false" outlineLevel="0" collapsed="false">
      <c r="A1853" s="2" t="n">
        <v>1841</v>
      </c>
      <c r="B1853" s="22" t="n">
        <v>0.0049913444170806</v>
      </c>
      <c r="C1853" s="22" t="n">
        <v>0.242086191678028</v>
      </c>
      <c r="D1853" s="23" t="n">
        <f aca="false">BETAINV(C1853,Test1_Hand!$B$21,Test1_Hand!$B$22,Test1_Hand!$B$9,Test1_Hand!$B$11)</f>
        <v>2.48368601542379</v>
      </c>
      <c r="E1853" s="2" t="n">
        <f aca="false">IF(B1853&lt;Test1_Hand!$B$12,1,0)</f>
        <v>1</v>
      </c>
      <c r="F1853" s="23" t="n">
        <f aca="false">Test1_Hand!$B$4+E1853*D1853</f>
        <v>18.4836860154238</v>
      </c>
      <c r="G1853" s="24" t="n">
        <f aca="false">Test1_Hand!$B$6*E1853*D1853+Test1_Hand!$B$7*MAX(0,F1853-Test1_Hand!$B$5)</f>
        <v>19869.4881233904</v>
      </c>
      <c r="H1853" s="2" t="n">
        <f aca="false">IF(B1853&lt;Test1_Hand!$B$13,1,0)</f>
        <v>1</v>
      </c>
      <c r="I1853" s="23" t="n">
        <f aca="false">Test1_Hand!$B$4+H1853*D1853</f>
        <v>18.4836860154238</v>
      </c>
      <c r="J1853" s="24" t="n">
        <f aca="false">Test1_Hand!$B$6*H1853*D1853+Test1_Hand!$B$7*MAX(0,I1853-Test1_Hand!$B$5)+Test1_Hand!$B$14</f>
        <v>25869.4881233904</v>
      </c>
    </row>
    <row r="1854" customFormat="false" ht="15" hidden="false" customHeight="false" outlineLevel="0" collapsed="false">
      <c r="A1854" s="2" t="n">
        <v>1842</v>
      </c>
      <c r="B1854" s="22" t="n">
        <v>0.446973819376042</v>
      </c>
      <c r="C1854" s="22" t="n">
        <v>0.0826424855066777</v>
      </c>
      <c r="D1854" s="23" t="n">
        <f aca="false">BETAINV(C1854,Test1_Hand!$B$21,Test1_Hand!$B$22,Test1_Hand!$B$9,Test1_Hand!$B$11)</f>
        <v>1.81745182760879</v>
      </c>
      <c r="E1854" s="2" t="n">
        <f aca="false">IF(B1854&lt;Test1_Hand!$B$12,1,0)</f>
        <v>1</v>
      </c>
      <c r="F1854" s="23" t="n">
        <f aca="false">Test1_Hand!$B$4+E1854*D1854</f>
        <v>17.8174518276088</v>
      </c>
      <c r="G1854" s="24" t="n">
        <f aca="false">Test1_Hand!$B$6*E1854*D1854+Test1_Hand!$B$7*MAX(0,F1854-Test1_Hand!$B$5)</f>
        <v>14539.6146208703</v>
      </c>
      <c r="H1854" s="2" t="n">
        <f aca="false">IF(B1854&lt;Test1_Hand!$B$13,1,0)</f>
        <v>0</v>
      </c>
      <c r="I1854" s="23" t="n">
        <f aca="false">Test1_Hand!$B$4+H1854*D1854</f>
        <v>16</v>
      </c>
      <c r="J1854" s="24" t="n">
        <f aca="false">Test1_Hand!$B$6*H1854*D1854+Test1_Hand!$B$7*MAX(0,I1854-Test1_Hand!$B$5)+Test1_Hand!$B$14</f>
        <v>6000</v>
      </c>
    </row>
    <row r="1855" customFormat="false" ht="15" hidden="false" customHeight="false" outlineLevel="0" collapsed="false">
      <c r="A1855" s="2" t="n">
        <v>1843</v>
      </c>
      <c r="B1855" s="22" t="n">
        <v>0.807488663972222</v>
      </c>
      <c r="C1855" s="22" t="n">
        <v>0.618127538106733</v>
      </c>
      <c r="D1855" s="23" t="n">
        <f aca="false">BETAINV(C1855,Test1_Hand!$B$21,Test1_Hand!$B$22,Test1_Hand!$B$9,Test1_Hand!$B$11)</f>
        <v>3.81645516810957</v>
      </c>
      <c r="E1855" s="2" t="n">
        <f aca="false">IF(B1855&lt;Test1_Hand!$B$12,1,0)</f>
        <v>0</v>
      </c>
      <c r="F1855" s="23" t="n">
        <f aca="false">Test1_Hand!$B$4+E1855*D1855</f>
        <v>16</v>
      </c>
      <c r="G1855" s="24" t="n">
        <f aca="false">Test1_Hand!$B$6*E1855*D1855+Test1_Hand!$B$7*MAX(0,F1855-Test1_Hand!$B$5)</f>
        <v>0</v>
      </c>
      <c r="H1855" s="2" t="n">
        <f aca="false">IF(B1855&lt;Test1_Hand!$B$13,1,0)</f>
        <v>0</v>
      </c>
      <c r="I1855" s="23" t="n">
        <f aca="false">Test1_Hand!$B$4+H1855*D1855</f>
        <v>16</v>
      </c>
      <c r="J1855" s="24" t="n">
        <f aca="false">Test1_Hand!$B$6*H1855*D1855+Test1_Hand!$B$7*MAX(0,I1855-Test1_Hand!$B$5)+Test1_Hand!$B$14</f>
        <v>6000</v>
      </c>
    </row>
    <row r="1856" customFormat="false" ht="15" hidden="false" customHeight="false" outlineLevel="0" collapsed="false">
      <c r="A1856" s="2" t="n">
        <v>1844</v>
      </c>
      <c r="B1856" s="22" t="n">
        <v>0.845789612045843</v>
      </c>
      <c r="C1856" s="22" t="n">
        <v>0.702837707867055</v>
      </c>
      <c r="D1856" s="23" t="n">
        <f aca="false">BETAINV(C1856,Test1_Hand!$B$21,Test1_Hand!$B$22,Test1_Hand!$B$9,Test1_Hand!$B$11)</f>
        <v>4.16171399184759</v>
      </c>
      <c r="E1856" s="2" t="n">
        <f aca="false">IF(B1856&lt;Test1_Hand!$B$12,1,0)</f>
        <v>0</v>
      </c>
      <c r="F1856" s="23" t="n">
        <f aca="false">Test1_Hand!$B$4+E1856*D1856</f>
        <v>16</v>
      </c>
      <c r="G1856" s="24" t="n">
        <f aca="false">Test1_Hand!$B$6*E1856*D1856+Test1_Hand!$B$7*MAX(0,F1856-Test1_Hand!$B$5)</f>
        <v>0</v>
      </c>
      <c r="H1856" s="2" t="n">
        <f aca="false">IF(B1856&lt;Test1_Hand!$B$13,1,0)</f>
        <v>0</v>
      </c>
      <c r="I1856" s="23" t="n">
        <f aca="false">Test1_Hand!$B$4+H1856*D1856</f>
        <v>16</v>
      </c>
      <c r="J1856" s="24" t="n">
        <f aca="false">Test1_Hand!$B$6*H1856*D1856+Test1_Hand!$B$7*MAX(0,I1856-Test1_Hand!$B$5)+Test1_Hand!$B$14</f>
        <v>6000</v>
      </c>
    </row>
    <row r="1857" customFormat="false" ht="15" hidden="false" customHeight="false" outlineLevel="0" collapsed="false">
      <c r="A1857" s="2" t="n">
        <v>1845</v>
      </c>
      <c r="B1857" s="22" t="n">
        <v>0.283256088372297</v>
      </c>
      <c r="C1857" s="22" t="n">
        <v>0.986197996271452</v>
      </c>
      <c r="D1857" s="23" t="n">
        <f aca="false">BETAINV(C1857,Test1_Hand!$B$21,Test1_Hand!$B$22,Test1_Hand!$B$9,Test1_Hand!$B$11)</f>
        <v>6.45101562818986</v>
      </c>
      <c r="E1857" s="2" t="n">
        <f aca="false">IF(B1857&lt;Test1_Hand!$B$12,1,0)</f>
        <v>1</v>
      </c>
      <c r="F1857" s="23" t="n">
        <f aca="false">Test1_Hand!$B$4+E1857*D1857</f>
        <v>22.4510156281899</v>
      </c>
      <c r="G1857" s="24" t="n">
        <f aca="false">Test1_Hand!$B$6*E1857*D1857+Test1_Hand!$B$7*MAX(0,F1857-Test1_Hand!$B$5)</f>
        <v>63863.2031664682</v>
      </c>
      <c r="H1857" s="2" t="n">
        <f aca="false">IF(B1857&lt;Test1_Hand!$B$13,1,0)</f>
        <v>0</v>
      </c>
      <c r="I1857" s="23" t="n">
        <f aca="false">Test1_Hand!$B$4+H1857*D1857</f>
        <v>16</v>
      </c>
      <c r="J1857" s="24" t="n">
        <f aca="false">Test1_Hand!$B$6*H1857*D1857+Test1_Hand!$B$7*MAX(0,I1857-Test1_Hand!$B$5)+Test1_Hand!$B$14</f>
        <v>6000</v>
      </c>
    </row>
    <row r="1858" customFormat="false" ht="15" hidden="false" customHeight="false" outlineLevel="0" collapsed="false">
      <c r="A1858" s="2" t="n">
        <v>1846</v>
      </c>
      <c r="B1858" s="22" t="n">
        <v>0.241816492626184</v>
      </c>
      <c r="C1858" s="22" t="n">
        <v>0.154651655328088</v>
      </c>
      <c r="D1858" s="23" t="n">
        <f aca="false">BETAINV(C1858,Test1_Hand!$B$21,Test1_Hand!$B$22,Test1_Hand!$B$9,Test1_Hand!$B$11)</f>
        <v>2.14684389214176</v>
      </c>
      <c r="E1858" s="2" t="n">
        <f aca="false">IF(B1858&lt;Test1_Hand!$B$12,1,0)</f>
        <v>1</v>
      </c>
      <c r="F1858" s="23" t="n">
        <f aca="false">Test1_Hand!$B$4+E1858*D1858</f>
        <v>18.1468438921418</v>
      </c>
      <c r="G1858" s="24" t="n">
        <f aca="false">Test1_Hand!$B$6*E1858*D1858+Test1_Hand!$B$7*MAX(0,F1858-Test1_Hand!$B$5)</f>
        <v>17174.7511371341</v>
      </c>
      <c r="H1858" s="2" t="n">
        <f aca="false">IF(B1858&lt;Test1_Hand!$B$13,1,0)</f>
        <v>0</v>
      </c>
      <c r="I1858" s="23" t="n">
        <f aca="false">Test1_Hand!$B$4+H1858*D1858</f>
        <v>16</v>
      </c>
      <c r="J1858" s="24" t="n">
        <f aca="false">Test1_Hand!$B$6*H1858*D1858+Test1_Hand!$B$7*MAX(0,I1858-Test1_Hand!$B$5)+Test1_Hand!$B$14</f>
        <v>6000</v>
      </c>
    </row>
    <row r="1859" customFormat="false" ht="15" hidden="false" customHeight="false" outlineLevel="0" collapsed="false">
      <c r="A1859" s="2" t="n">
        <v>1847</v>
      </c>
      <c r="B1859" s="22" t="n">
        <v>0.226766290461138</v>
      </c>
      <c r="C1859" s="22" t="n">
        <v>0.301282557639578</v>
      </c>
      <c r="D1859" s="23" t="n">
        <f aca="false">BETAINV(C1859,Test1_Hand!$B$21,Test1_Hand!$B$22,Test1_Hand!$B$9,Test1_Hand!$B$11)</f>
        <v>2.69482268175614</v>
      </c>
      <c r="E1859" s="2" t="n">
        <f aca="false">IF(B1859&lt;Test1_Hand!$B$12,1,0)</f>
        <v>1</v>
      </c>
      <c r="F1859" s="23" t="n">
        <f aca="false">Test1_Hand!$B$4+E1859*D1859</f>
        <v>18.6948226817561</v>
      </c>
      <c r="G1859" s="24" t="n">
        <f aca="false">Test1_Hand!$B$6*E1859*D1859+Test1_Hand!$B$7*MAX(0,F1859-Test1_Hand!$B$5)</f>
        <v>21558.5814540491</v>
      </c>
      <c r="H1859" s="2" t="n">
        <f aca="false">IF(B1859&lt;Test1_Hand!$B$13,1,0)</f>
        <v>0</v>
      </c>
      <c r="I1859" s="23" t="n">
        <f aca="false">Test1_Hand!$B$4+H1859*D1859</f>
        <v>16</v>
      </c>
      <c r="J1859" s="24" t="n">
        <f aca="false">Test1_Hand!$B$6*H1859*D1859+Test1_Hand!$B$7*MAX(0,I1859-Test1_Hand!$B$5)+Test1_Hand!$B$14</f>
        <v>6000</v>
      </c>
    </row>
    <row r="1860" customFormat="false" ht="15" hidden="false" customHeight="false" outlineLevel="0" collapsed="false">
      <c r="A1860" s="2" t="n">
        <v>1848</v>
      </c>
      <c r="B1860" s="22" t="n">
        <v>0.860982155815234</v>
      </c>
      <c r="C1860" s="22" t="n">
        <v>0.782995020684777</v>
      </c>
      <c r="D1860" s="23" t="n">
        <f aca="false">BETAINV(C1860,Test1_Hand!$B$21,Test1_Hand!$B$22,Test1_Hand!$B$9,Test1_Hand!$B$11)</f>
        <v>4.53697637680222</v>
      </c>
      <c r="E1860" s="2" t="n">
        <f aca="false">IF(B1860&lt;Test1_Hand!$B$12,1,0)</f>
        <v>0</v>
      </c>
      <c r="F1860" s="23" t="n">
        <f aca="false">Test1_Hand!$B$4+E1860*D1860</f>
        <v>16</v>
      </c>
      <c r="G1860" s="24" t="n">
        <f aca="false">Test1_Hand!$B$6*E1860*D1860+Test1_Hand!$B$7*MAX(0,F1860-Test1_Hand!$B$5)</f>
        <v>0</v>
      </c>
      <c r="H1860" s="2" t="n">
        <f aca="false">IF(B1860&lt;Test1_Hand!$B$13,1,0)</f>
        <v>0</v>
      </c>
      <c r="I1860" s="23" t="n">
        <f aca="false">Test1_Hand!$B$4+H1860*D1860</f>
        <v>16</v>
      </c>
      <c r="J1860" s="24" t="n">
        <f aca="false">Test1_Hand!$B$6*H1860*D1860+Test1_Hand!$B$7*MAX(0,I1860-Test1_Hand!$B$5)+Test1_Hand!$B$14</f>
        <v>6000</v>
      </c>
    </row>
    <row r="1861" customFormat="false" ht="15" hidden="false" customHeight="false" outlineLevel="0" collapsed="false">
      <c r="A1861" s="2" t="n">
        <v>1849</v>
      </c>
      <c r="B1861" s="22" t="n">
        <v>0.426691440907059</v>
      </c>
      <c r="C1861" s="22" t="n">
        <v>0.585986968067699</v>
      </c>
      <c r="D1861" s="23" t="n">
        <f aca="false">BETAINV(C1861,Test1_Hand!$B$21,Test1_Hand!$B$22,Test1_Hand!$B$9,Test1_Hand!$B$11)</f>
        <v>3.69426482145939</v>
      </c>
      <c r="E1861" s="2" t="n">
        <f aca="false">IF(B1861&lt;Test1_Hand!$B$12,1,0)</f>
        <v>1</v>
      </c>
      <c r="F1861" s="23" t="n">
        <f aca="false">Test1_Hand!$B$4+E1861*D1861</f>
        <v>19.6942648214594</v>
      </c>
      <c r="G1861" s="24" t="n">
        <f aca="false">Test1_Hand!$B$6*E1861*D1861+Test1_Hand!$B$7*MAX(0,F1861-Test1_Hand!$B$5)</f>
        <v>29554.1185716751</v>
      </c>
      <c r="H1861" s="2" t="n">
        <f aca="false">IF(B1861&lt;Test1_Hand!$B$13,1,0)</f>
        <v>0</v>
      </c>
      <c r="I1861" s="23" t="n">
        <f aca="false">Test1_Hand!$B$4+H1861*D1861</f>
        <v>16</v>
      </c>
      <c r="J1861" s="24" t="n">
        <f aca="false">Test1_Hand!$B$6*H1861*D1861+Test1_Hand!$B$7*MAX(0,I1861-Test1_Hand!$B$5)+Test1_Hand!$B$14</f>
        <v>6000</v>
      </c>
    </row>
    <row r="1862" customFormat="false" ht="15" hidden="false" customHeight="false" outlineLevel="0" collapsed="false">
      <c r="A1862" s="2" t="n">
        <v>1850</v>
      </c>
      <c r="B1862" s="22" t="n">
        <v>0.445471917602911</v>
      </c>
      <c r="C1862" s="22" t="n">
        <v>0.581264209135212</v>
      </c>
      <c r="D1862" s="23" t="n">
        <f aca="false">BETAINV(C1862,Test1_Hand!$B$21,Test1_Hand!$B$22,Test1_Hand!$B$9,Test1_Hand!$B$11)</f>
        <v>3.67662071601293</v>
      </c>
      <c r="E1862" s="2" t="n">
        <f aca="false">IF(B1862&lt;Test1_Hand!$B$12,1,0)</f>
        <v>1</v>
      </c>
      <c r="F1862" s="23" t="n">
        <f aca="false">Test1_Hand!$B$4+E1862*D1862</f>
        <v>19.6766207160129</v>
      </c>
      <c r="G1862" s="24" t="n">
        <f aca="false">Test1_Hand!$B$6*E1862*D1862+Test1_Hand!$B$7*MAX(0,F1862-Test1_Hand!$B$5)</f>
        <v>29412.9657281035</v>
      </c>
      <c r="H1862" s="2" t="n">
        <f aca="false">IF(B1862&lt;Test1_Hand!$B$13,1,0)</f>
        <v>0</v>
      </c>
      <c r="I1862" s="23" t="n">
        <f aca="false">Test1_Hand!$B$4+H1862*D1862</f>
        <v>16</v>
      </c>
      <c r="J1862" s="24" t="n">
        <f aca="false">Test1_Hand!$B$6*H1862*D1862+Test1_Hand!$B$7*MAX(0,I1862-Test1_Hand!$B$5)+Test1_Hand!$B$14</f>
        <v>6000</v>
      </c>
    </row>
    <row r="1863" customFormat="false" ht="15" hidden="false" customHeight="false" outlineLevel="0" collapsed="false">
      <c r="A1863" s="2" t="n">
        <v>1851</v>
      </c>
      <c r="B1863" s="22" t="n">
        <v>0.501024381971669</v>
      </c>
      <c r="C1863" s="22" t="n">
        <v>0.605810569047565</v>
      </c>
      <c r="D1863" s="23" t="n">
        <f aca="false">BETAINV(C1863,Test1_Hand!$B$21,Test1_Hand!$B$22,Test1_Hand!$B$9,Test1_Hand!$B$11)</f>
        <v>3.76916974770139</v>
      </c>
      <c r="E1863" s="2" t="n">
        <f aca="false">IF(B1863&lt;Test1_Hand!$B$12,1,0)</f>
        <v>0</v>
      </c>
      <c r="F1863" s="23" t="n">
        <f aca="false">Test1_Hand!$B$4+E1863*D1863</f>
        <v>16</v>
      </c>
      <c r="G1863" s="24" t="n">
        <f aca="false">Test1_Hand!$B$6*E1863*D1863+Test1_Hand!$B$7*MAX(0,F1863-Test1_Hand!$B$5)</f>
        <v>0</v>
      </c>
      <c r="H1863" s="2" t="n">
        <f aca="false">IF(B1863&lt;Test1_Hand!$B$13,1,0)</f>
        <v>0</v>
      </c>
      <c r="I1863" s="23" t="n">
        <f aca="false">Test1_Hand!$B$4+H1863*D1863</f>
        <v>16</v>
      </c>
      <c r="J1863" s="24" t="n">
        <f aca="false">Test1_Hand!$B$6*H1863*D1863+Test1_Hand!$B$7*MAX(0,I1863-Test1_Hand!$B$5)+Test1_Hand!$B$14</f>
        <v>6000</v>
      </c>
    </row>
    <row r="1864" customFormat="false" ht="15" hidden="false" customHeight="false" outlineLevel="0" collapsed="false">
      <c r="A1864" s="2" t="n">
        <v>1852</v>
      </c>
      <c r="B1864" s="22" t="n">
        <v>0.608770048518194</v>
      </c>
      <c r="C1864" s="22" t="n">
        <v>0.288894641268678</v>
      </c>
      <c r="D1864" s="23" t="n">
        <f aca="false">BETAINV(C1864,Test1_Hand!$B$21,Test1_Hand!$B$22,Test1_Hand!$B$9,Test1_Hand!$B$11)</f>
        <v>2.65129834365597</v>
      </c>
      <c r="E1864" s="2" t="n">
        <f aca="false">IF(B1864&lt;Test1_Hand!$B$12,1,0)</f>
        <v>0</v>
      </c>
      <c r="F1864" s="23" t="n">
        <f aca="false">Test1_Hand!$B$4+E1864*D1864</f>
        <v>16</v>
      </c>
      <c r="G1864" s="24" t="n">
        <f aca="false">Test1_Hand!$B$6*E1864*D1864+Test1_Hand!$B$7*MAX(0,F1864-Test1_Hand!$B$5)</f>
        <v>0</v>
      </c>
      <c r="H1864" s="2" t="n">
        <f aca="false">IF(B1864&lt;Test1_Hand!$B$13,1,0)</f>
        <v>0</v>
      </c>
      <c r="I1864" s="23" t="n">
        <f aca="false">Test1_Hand!$B$4+H1864*D1864</f>
        <v>16</v>
      </c>
      <c r="J1864" s="24" t="n">
        <f aca="false">Test1_Hand!$B$6*H1864*D1864+Test1_Hand!$B$7*MAX(0,I1864-Test1_Hand!$B$5)+Test1_Hand!$B$14</f>
        <v>6000</v>
      </c>
    </row>
    <row r="1865" customFormat="false" ht="15" hidden="false" customHeight="false" outlineLevel="0" collapsed="false">
      <c r="A1865" s="2" t="n">
        <v>1853</v>
      </c>
      <c r="B1865" s="22" t="n">
        <v>0.356615253130522</v>
      </c>
      <c r="C1865" s="22" t="n">
        <v>0.225707798306013</v>
      </c>
      <c r="D1865" s="23" t="n">
        <f aca="false">BETAINV(C1865,Test1_Hand!$B$21,Test1_Hand!$B$22,Test1_Hand!$B$9,Test1_Hand!$B$11)</f>
        <v>2.4234684768141</v>
      </c>
      <c r="E1865" s="2" t="n">
        <f aca="false">IF(B1865&lt;Test1_Hand!$B$12,1,0)</f>
        <v>1</v>
      </c>
      <c r="F1865" s="23" t="n">
        <f aca="false">Test1_Hand!$B$4+E1865*D1865</f>
        <v>18.4234684768141</v>
      </c>
      <c r="G1865" s="24" t="n">
        <f aca="false">Test1_Hand!$B$6*E1865*D1865+Test1_Hand!$B$7*MAX(0,F1865-Test1_Hand!$B$5)</f>
        <v>19387.7478145128</v>
      </c>
      <c r="H1865" s="2" t="n">
        <f aca="false">IF(B1865&lt;Test1_Hand!$B$13,1,0)</f>
        <v>0</v>
      </c>
      <c r="I1865" s="23" t="n">
        <f aca="false">Test1_Hand!$B$4+H1865*D1865</f>
        <v>16</v>
      </c>
      <c r="J1865" s="24" t="n">
        <f aca="false">Test1_Hand!$B$6*H1865*D1865+Test1_Hand!$B$7*MAX(0,I1865-Test1_Hand!$B$5)+Test1_Hand!$B$14</f>
        <v>6000</v>
      </c>
    </row>
    <row r="1866" customFormat="false" ht="15" hidden="false" customHeight="false" outlineLevel="0" collapsed="false">
      <c r="A1866" s="2" t="n">
        <v>1854</v>
      </c>
      <c r="B1866" s="22" t="n">
        <v>0.382073070099194</v>
      </c>
      <c r="C1866" s="22" t="n">
        <v>0.702898807851628</v>
      </c>
      <c r="D1866" s="23" t="n">
        <f aca="false">BETAINV(C1866,Test1_Hand!$B$21,Test1_Hand!$B$22,Test1_Hand!$B$9,Test1_Hand!$B$11)</f>
        <v>4.1619785791746</v>
      </c>
      <c r="E1866" s="2" t="n">
        <f aca="false">IF(B1866&lt;Test1_Hand!$B$12,1,0)</f>
        <v>1</v>
      </c>
      <c r="F1866" s="23" t="n">
        <f aca="false">Test1_Hand!$B$4+E1866*D1866</f>
        <v>20.1619785791746</v>
      </c>
      <c r="G1866" s="24" t="n">
        <f aca="false">Test1_Hand!$B$6*E1866*D1866+Test1_Hand!$B$7*MAX(0,F1866-Test1_Hand!$B$5)</f>
        <v>34105.7215292698</v>
      </c>
      <c r="H1866" s="2" t="n">
        <f aca="false">IF(B1866&lt;Test1_Hand!$B$13,1,0)</f>
        <v>0</v>
      </c>
      <c r="I1866" s="23" t="n">
        <f aca="false">Test1_Hand!$B$4+H1866*D1866</f>
        <v>16</v>
      </c>
      <c r="J1866" s="24" t="n">
        <f aca="false">Test1_Hand!$B$6*H1866*D1866+Test1_Hand!$B$7*MAX(0,I1866-Test1_Hand!$B$5)+Test1_Hand!$B$14</f>
        <v>6000</v>
      </c>
    </row>
    <row r="1867" customFormat="false" ht="15" hidden="false" customHeight="false" outlineLevel="0" collapsed="false">
      <c r="A1867" s="2" t="n">
        <v>1855</v>
      </c>
      <c r="B1867" s="22" t="n">
        <v>0.803385905513234</v>
      </c>
      <c r="C1867" s="22" t="n">
        <v>0.620313285331083</v>
      </c>
      <c r="D1867" s="23" t="n">
        <f aca="false">BETAINV(C1867,Test1_Hand!$B$21,Test1_Hand!$B$22,Test1_Hand!$B$9,Test1_Hand!$B$11)</f>
        <v>3.82491054237966</v>
      </c>
      <c r="E1867" s="2" t="n">
        <f aca="false">IF(B1867&lt;Test1_Hand!$B$12,1,0)</f>
        <v>0</v>
      </c>
      <c r="F1867" s="23" t="n">
        <f aca="false">Test1_Hand!$B$4+E1867*D1867</f>
        <v>16</v>
      </c>
      <c r="G1867" s="24" t="n">
        <f aca="false">Test1_Hand!$B$6*E1867*D1867+Test1_Hand!$B$7*MAX(0,F1867-Test1_Hand!$B$5)</f>
        <v>0</v>
      </c>
      <c r="H1867" s="2" t="n">
        <f aca="false">IF(B1867&lt;Test1_Hand!$B$13,1,0)</f>
        <v>0</v>
      </c>
      <c r="I1867" s="23" t="n">
        <f aca="false">Test1_Hand!$B$4+H1867*D1867</f>
        <v>16</v>
      </c>
      <c r="J1867" s="24" t="n">
        <f aca="false">Test1_Hand!$B$6*H1867*D1867+Test1_Hand!$B$7*MAX(0,I1867-Test1_Hand!$B$5)+Test1_Hand!$B$14</f>
        <v>6000</v>
      </c>
    </row>
    <row r="1868" customFormat="false" ht="15" hidden="false" customHeight="false" outlineLevel="0" collapsed="false">
      <c r="A1868" s="2" t="n">
        <v>1856</v>
      </c>
      <c r="B1868" s="22" t="n">
        <v>0.241461636069638</v>
      </c>
      <c r="C1868" s="22" t="n">
        <v>0.109636094940724</v>
      </c>
      <c r="D1868" s="23" t="n">
        <f aca="false">BETAINV(C1868,Test1_Hand!$B$21,Test1_Hand!$B$22,Test1_Hand!$B$9,Test1_Hand!$B$11)</f>
        <v>1.95006242288341</v>
      </c>
      <c r="E1868" s="2" t="n">
        <f aca="false">IF(B1868&lt;Test1_Hand!$B$12,1,0)</f>
        <v>1</v>
      </c>
      <c r="F1868" s="23" t="n">
        <f aca="false">Test1_Hand!$B$4+E1868*D1868</f>
        <v>17.9500624228834</v>
      </c>
      <c r="G1868" s="24" t="n">
        <f aca="false">Test1_Hand!$B$6*E1868*D1868+Test1_Hand!$B$7*MAX(0,F1868-Test1_Hand!$B$5)</f>
        <v>15600.4993830673</v>
      </c>
      <c r="H1868" s="2" t="n">
        <f aca="false">IF(B1868&lt;Test1_Hand!$B$13,1,0)</f>
        <v>0</v>
      </c>
      <c r="I1868" s="23" t="n">
        <f aca="false">Test1_Hand!$B$4+H1868*D1868</f>
        <v>16</v>
      </c>
      <c r="J1868" s="24" t="n">
        <f aca="false">Test1_Hand!$B$6*H1868*D1868+Test1_Hand!$B$7*MAX(0,I1868-Test1_Hand!$B$5)+Test1_Hand!$B$14</f>
        <v>6000</v>
      </c>
    </row>
    <row r="1869" customFormat="false" ht="15" hidden="false" customHeight="false" outlineLevel="0" collapsed="false">
      <c r="A1869" s="2" t="n">
        <v>1857</v>
      </c>
      <c r="B1869" s="22" t="n">
        <v>0.835508907788831</v>
      </c>
      <c r="C1869" s="22" t="n">
        <v>0.496975706803161</v>
      </c>
      <c r="D1869" s="23" t="n">
        <f aca="false">BETAINV(C1869,Test1_Hand!$B$21,Test1_Hand!$B$22,Test1_Hand!$B$9,Test1_Hand!$B$11)</f>
        <v>3.37192461724022</v>
      </c>
      <c r="E1869" s="2" t="n">
        <f aca="false">IF(B1869&lt;Test1_Hand!$B$12,1,0)</f>
        <v>0</v>
      </c>
      <c r="F1869" s="23" t="n">
        <f aca="false">Test1_Hand!$B$4+E1869*D1869</f>
        <v>16</v>
      </c>
      <c r="G1869" s="24" t="n">
        <f aca="false">Test1_Hand!$B$6*E1869*D1869+Test1_Hand!$B$7*MAX(0,F1869-Test1_Hand!$B$5)</f>
        <v>0</v>
      </c>
      <c r="H1869" s="2" t="n">
        <f aca="false">IF(B1869&lt;Test1_Hand!$B$13,1,0)</f>
        <v>0</v>
      </c>
      <c r="I1869" s="23" t="n">
        <f aca="false">Test1_Hand!$B$4+H1869*D1869</f>
        <v>16</v>
      </c>
      <c r="J1869" s="24" t="n">
        <f aca="false">Test1_Hand!$B$6*H1869*D1869+Test1_Hand!$B$7*MAX(0,I1869-Test1_Hand!$B$5)+Test1_Hand!$B$14</f>
        <v>6000</v>
      </c>
    </row>
    <row r="1870" customFormat="false" ht="15" hidden="false" customHeight="false" outlineLevel="0" collapsed="false">
      <c r="A1870" s="2" t="n">
        <v>1858</v>
      </c>
      <c r="B1870" s="22" t="n">
        <v>0.747369775931614</v>
      </c>
      <c r="C1870" s="22" t="n">
        <v>0.67445998691758</v>
      </c>
      <c r="D1870" s="23" t="n">
        <f aca="false">BETAINV(C1870,Test1_Hand!$B$21,Test1_Hand!$B$22,Test1_Hand!$B$9,Test1_Hand!$B$11)</f>
        <v>4.04154882104946</v>
      </c>
      <c r="E1870" s="2" t="n">
        <f aca="false">IF(B1870&lt;Test1_Hand!$B$12,1,0)</f>
        <v>0</v>
      </c>
      <c r="F1870" s="23" t="n">
        <f aca="false">Test1_Hand!$B$4+E1870*D1870</f>
        <v>16</v>
      </c>
      <c r="G1870" s="24" t="n">
        <f aca="false">Test1_Hand!$B$6*E1870*D1870+Test1_Hand!$B$7*MAX(0,F1870-Test1_Hand!$B$5)</f>
        <v>0</v>
      </c>
      <c r="H1870" s="2" t="n">
        <f aca="false">IF(B1870&lt;Test1_Hand!$B$13,1,0)</f>
        <v>0</v>
      </c>
      <c r="I1870" s="23" t="n">
        <f aca="false">Test1_Hand!$B$4+H1870*D1870</f>
        <v>16</v>
      </c>
      <c r="J1870" s="24" t="n">
        <f aca="false">Test1_Hand!$B$6*H1870*D1870+Test1_Hand!$B$7*MAX(0,I1870-Test1_Hand!$B$5)+Test1_Hand!$B$14</f>
        <v>6000</v>
      </c>
    </row>
    <row r="1871" customFormat="false" ht="15" hidden="false" customHeight="false" outlineLevel="0" collapsed="false">
      <c r="A1871" s="2" t="n">
        <v>1859</v>
      </c>
      <c r="B1871" s="22" t="n">
        <v>0.307309077186368</v>
      </c>
      <c r="C1871" s="22" t="n">
        <v>0.627422998925106</v>
      </c>
      <c r="D1871" s="23" t="n">
        <f aca="false">BETAINV(C1871,Test1_Hand!$B$21,Test1_Hand!$B$22,Test1_Hand!$B$9,Test1_Hand!$B$11)</f>
        <v>3.85255400280448</v>
      </c>
      <c r="E1871" s="2" t="n">
        <f aca="false">IF(B1871&lt;Test1_Hand!$B$12,1,0)</f>
        <v>1</v>
      </c>
      <c r="F1871" s="23" t="n">
        <f aca="false">Test1_Hand!$B$4+E1871*D1871</f>
        <v>19.8525540028045</v>
      </c>
      <c r="G1871" s="24" t="n">
        <f aca="false">Test1_Hand!$B$6*E1871*D1871+Test1_Hand!$B$7*MAX(0,F1871-Test1_Hand!$B$5)</f>
        <v>30820.4320224358</v>
      </c>
      <c r="H1871" s="2" t="n">
        <f aca="false">IF(B1871&lt;Test1_Hand!$B$13,1,0)</f>
        <v>0</v>
      </c>
      <c r="I1871" s="23" t="n">
        <f aca="false">Test1_Hand!$B$4+H1871*D1871</f>
        <v>16</v>
      </c>
      <c r="J1871" s="24" t="n">
        <f aca="false">Test1_Hand!$B$6*H1871*D1871+Test1_Hand!$B$7*MAX(0,I1871-Test1_Hand!$B$5)+Test1_Hand!$B$14</f>
        <v>6000</v>
      </c>
    </row>
    <row r="1872" customFormat="false" ht="15" hidden="false" customHeight="false" outlineLevel="0" collapsed="false">
      <c r="A1872" s="2" t="n">
        <v>1860</v>
      </c>
      <c r="B1872" s="22" t="n">
        <v>0.0498432665538905</v>
      </c>
      <c r="C1872" s="22" t="n">
        <v>0.141537410372297</v>
      </c>
      <c r="D1872" s="23" t="n">
        <f aca="false">BETAINV(C1872,Test1_Hand!$B$21,Test1_Hand!$B$22,Test1_Hand!$B$9,Test1_Hand!$B$11)</f>
        <v>2.09185526676139</v>
      </c>
      <c r="E1872" s="2" t="n">
        <f aca="false">IF(B1872&lt;Test1_Hand!$B$12,1,0)</f>
        <v>1</v>
      </c>
      <c r="F1872" s="23" t="n">
        <f aca="false">Test1_Hand!$B$4+E1872*D1872</f>
        <v>18.0918552667614</v>
      </c>
      <c r="G1872" s="24" t="n">
        <f aca="false">Test1_Hand!$B$6*E1872*D1872+Test1_Hand!$B$7*MAX(0,F1872-Test1_Hand!$B$5)</f>
        <v>16734.8421340911</v>
      </c>
      <c r="H1872" s="2" t="n">
        <f aca="false">IF(B1872&lt;Test1_Hand!$B$13,1,0)</f>
        <v>1</v>
      </c>
      <c r="I1872" s="23" t="n">
        <f aca="false">Test1_Hand!$B$4+H1872*D1872</f>
        <v>18.0918552667614</v>
      </c>
      <c r="J1872" s="24" t="n">
        <f aca="false">Test1_Hand!$B$6*H1872*D1872+Test1_Hand!$B$7*MAX(0,I1872-Test1_Hand!$B$5)+Test1_Hand!$B$14</f>
        <v>22734.8421340911</v>
      </c>
    </row>
    <row r="1873" customFormat="false" ht="15" hidden="false" customHeight="false" outlineLevel="0" collapsed="false">
      <c r="A1873" s="2" t="n">
        <v>1861</v>
      </c>
      <c r="B1873" s="22" t="n">
        <v>0.0442951337118712</v>
      </c>
      <c r="C1873" s="22" t="n">
        <v>0.389372594437637</v>
      </c>
      <c r="D1873" s="23" t="n">
        <f aca="false">BETAINV(C1873,Test1_Hand!$B$21,Test1_Hand!$B$22,Test1_Hand!$B$9,Test1_Hand!$B$11)</f>
        <v>2.99924770268478</v>
      </c>
      <c r="E1873" s="2" t="n">
        <f aca="false">IF(B1873&lt;Test1_Hand!$B$12,1,0)</f>
        <v>1</v>
      </c>
      <c r="F1873" s="23" t="n">
        <f aca="false">Test1_Hand!$B$4+E1873*D1873</f>
        <v>18.9992477026848</v>
      </c>
      <c r="G1873" s="24" t="n">
        <f aca="false">Test1_Hand!$B$6*E1873*D1873+Test1_Hand!$B$7*MAX(0,F1873-Test1_Hand!$B$5)</f>
        <v>23993.9816214783</v>
      </c>
      <c r="H1873" s="2" t="n">
        <f aca="false">IF(B1873&lt;Test1_Hand!$B$13,1,0)</f>
        <v>1</v>
      </c>
      <c r="I1873" s="23" t="n">
        <f aca="false">Test1_Hand!$B$4+H1873*D1873</f>
        <v>18.9992477026848</v>
      </c>
      <c r="J1873" s="24" t="n">
        <f aca="false">Test1_Hand!$B$6*H1873*D1873+Test1_Hand!$B$7*MAX(0,I1873-Test1_Hand!$B$5)+Test1_Hand!$B$14</f>
        <v>29993.9816214783</v>
      </c>
    </row>
    <row r="1874" customFormat="false" ht="15" hidden="false" customHeight="false" outlineLevel="0" collapsed="false">
      <c r="A1874" s="2" t="n">
        <v>1862</v>
      </c>
      <c r="B1874" s="22" t="n">
        <v>0.202619470363474</v>
      </c>
      <c r="C1874" s="22" t="n">
        <v>0.88242949929318</v>
      </c>
      <c r="D1874" s="23" t="n">
        <f aca="false">BETAINV(C1874,Test1_Hand!$B$21,Test1_Hand!$B$22,Test1_Hand!$B$9,Test1_Hand!$B$11)</f>
        <v>5.13680346857291</v>
      </c>
      <c r="E1874" s="2" t="n">
        <f aca="false">IF(B1874&lt;Test1_Hand!$B$12,1,0)</f>
        <v>1</v>
      </c>
      <c r="F1874" s="23" t="n">
        <f aca="false">Test1_Hand!$B$4+E1874*D1874</f>
        <v>21.1368034685729</v>
      </c>
      <c r="G1874" s="24" t="n">
        <f aca="false">Test1_Hand!$B$6*E1874*D1874+Test1_Hand!$B$7*MAX(0,F1874-Test1_Hand!$B$5)</f>
        <v>46778.4450914478</v>
      </c>
      <c r="H1874" s="2" t="n">
        <f aca="false">IF(B1874&lt;Test1_Hand!$B$13,1,0)</f>
        <v>0</v>
      </c>
      <c r="I1874" s="23" t="n">
        <f aca="false">Test1_Hand!$B$4+H1874*D1874</f>
        <v>16</v>
      </c>
      <c r="J1874" s="24" t="n">
        <f aca="false">Test1_Hand!$B$6*H1874*D1874+Test1_Hand!$B$7*MAX(0,I1874-Test1_Hand!$B$5)+Test1_Hand!$B$14</f>
        <v>6000</v>
      </c>
    </row>
    <row r="1875" customFormat="false" ht="15" hidden="false" customHeight="false" outlineLevel="0" collapsed="false">
      <c r="A1875" s="2" t="n">
        <v>1863</v>
      </c>
      <c r="B1875" s="22" t="n">
        <v>0.154379201868622</v>
      </c>
      <c r="C1875" s="22" t="n">
        <v>0.203632263898601</v>
      </c>
      <c r="D1875" s="23" t="n">
        <f aca="false">BETAINV(C1875,Test1_Hand!$B$21,Test1_Hand!$B$22,Test1_Hand!$B$9,Test1_Hand!$B$11)</f>
        <v>2.34056957454858</v>
      </c>
      <c r="E1875" s="2" t="n">
        <f aca="false">IF(B1875&lt;Test1_Hand!$B$12,1,0)</f>
        <v>1</v>
      </c>
      <c r="F1875" s="23" t="n">
        <f aca="false">Test1_Hand!$B$4+E1875*D1875</f>
        <v>18.3405695745486</v>
      </c>
      <c r="G1875" s="24" t="n">
        <f aca="false">Test1_Hand!$B$6*E1875*D1875+Test1_Hand!$B$7*MAX(0,F1875-Test1_Hand!$B$5)</f>
        <v>18724.5565963886</v>
      </c>
      <c r="H1875" s="2" t="n">
        <f aca="false">IF(B1875&lt;Test1_Hand!$B$13,1,0)</f>
        <v>1</v>
      </c>
      <c r="I1875" s="23" t="n">
        <f aca="false">Test1_Hand!$B$4+H1875*D1875</f>
        <v>18.3405695745486</v>
      </c>
      <c r="J1875" s="24" t="n">
        <f aca="false">Test1_Hand!$B$6*H1875*D1875+Test1_Hand!$B$7*MAX(0,I1875-Test1_Hand!$B$5)+Test1_Hand!$B$14</f>
        <v>24724.5565963886</v>
      </c>
    </row>
    <row r="1876" customFormat="false" ht="15" hidden="false" customHeight="false" outlineLevel="0" collapsed="false">
      <c r="A1876" s="2" t="n">
        <v>1864</v>
      </c>
      <c r="B1876" s="22" t="n">
        <v>0.158203005554507</v>
      </c>
      <c r="C1876" s="22" t="n">
        <v>0.489826580917287</v>
      </c>
      <c r="D1876" s="23" t="n">
        <f aca="false">BETAINV(C1876,Test1_Hand!$B$21,Test1_Hand!$B$22,Test1_Hand!$B$9,Test1_Hand!$B$11)</f>
        <v>3.34677640264687</v>
      </c>
      <c r="E1876" s="2" t="n">
        <f aca="false">IF(B1876&lt;Test1_Hand!$B$12,1,0)</f>
        <v>1</v>
      </c>
      <c r="F1876" s="23" t="n">
        <f aca="false">Test1_Hand!$B$4+E1876*D1876</f>
        <v>19.3467764026469</v>
      </c>
      <c r="G1876" s="24" t="n">
        <f aca="false">Test1_Hand!$B$6*E1876*D1876+Test1_Hand!$B$7*MAX(0,F1876-Test1_Hand!$B$5)</f>
        <v>26774.211221175</v>
      </c>
      <c r="H1876" s="2" t="n">
        <f aca="false">IF(B1876&lt;Test1_Hand!$B$13,1,0)</f>
        <v>1</v>
      </c>
      <c r="I1876" s="23" t="n">
        <f aca="false">Test1_Hand!$B$4+H1876*D1876</f>
        <v>19.3467764026469</v>
      </c>
      <c r="J1876" s="24" t="n">
        <f aca="false">Test1_Hand!$B$6*H1876*D1876+Test1_Hand!$B$7*MAX(0,I1876-Test1_Hand!$B$5)+Test1_Hand!$B$14</f>
        <v>32774.211221175</v>
      </c>
    </row>
    <row r="1877" customFormat="false" ht="15" hidden="false" customHeight="false" outlineLevel="0" collapsed="false">
      <c r="A1877" s="2" t="n">
        <v>1865</v>
      </c>
      <c r="B1877" s="22" t="n">
        <v>0.693206154907362</v>
      </c>
      <c r="C1877" s="22" t="n">
        <v>0.61396942372914</v>
      </c>
      <c r="D1877" s="23" t="n">
        <f aca="false">BETAINV(C1877,Test1_Hand!$B$21,Test1_Hand!$B$22,Test1_Hand!$B$9,Test1_Hand!$B$11)</f>
        <v>3.80042421063513</v>
      </c>
      <c r="E1877" s="2" t="n">
        <f aca="false">IF(B1877&lt;Test1_Hand!$B$12,1,0)</f>
        <v>0</v>
      </c>
      <c r="F1877" s="23" t="n">
        <f aca="false">Test1_Hand!$B$4+E1877*D1877</f>
        <v>16</v>
      </c>
      <c r="G1877" s="24" t="n">
        <f aca="false">Test1_Hand!$B$6*E1877*D1877+Test1_Hand!$B$7*MAX(0,F1877-Test1_Hand!$B$5)</f>
        <v>0</v>
      </c>
      <c r="H1877" s="2" t="n">
        <f aca="false">IF(B1877&lt;Test1_Hand!$B$13,1,0)</f>
        <v>0</v>
      </c>
      <c r="I1877" s="23" t="n">
        <f aca="false">Test1_Hand!$B$4+H1877*D1877</f>
        <v>16</v>
      </c>
      <c r="J1877" s="24" t="n">
        <f aca="false">Test1_Hand!$B$6*H1877*D1877+Test1_Hand!$B$7*MAX(0,I1877-Test1_Hand!$B$5)+Test1_Hand!$B$14</f>
        <v>6000</v>
      </c>
    </row>
    <row r="1878" customFormat="false" ht="15" hidden="false" customHeight="false" outlineLevel="0" collapsed="false">
      <c r="A1878" s="2" t="n">
        <v>1866</v>
      </c>
      <c r="B1878" s="22" t="n">
        <v>0.462431983751798</v>
      </c>
      <c r="C1878" s="22" t="n">
        <v>0.830172881027407</v>
      </c>
      <c r="D1878" s="23" t="n">
        <f aca="false">BETAINV(C1878,Test1_Hand!$B$21,Test1_Hand!$B$22,Test1_Hand!$B$9,Test1_Hand!$B$11)</f>
        <v>4.79497514402897</v>
      </c>
      <c r="E1878" s="2" t="n">
        <f aca="false">IF(B1878&lt;Test1_Hand!$B$12,1,0)</f>
        <v>1</v>
      </c>
      <c r="F1878" s="23" t="n">
        <f aca="false">Test1_Hand!$B$4+E1878*D1878</f>
        <v>20.794975144029</v>
      </c>
      <c r="G1878" s="24" t="n">
        <f aca="false">Test1_Hand!$B$6*E1878*D1878+Test1_Hand!$B$7*MAX(0,F1878-Test1_Hand!$B$5)</f>
        <v>42334.6768723766</v>
      </c>
      <c r="H1878" s="2" t="n">
        <f aca="false">IF(B1878&lt;Test1_Hand!$B$13,1,0)</f>
        <v>0</v>
      </c>
      <c r="I1878" s="23" t="n">
        <f aca="false">Test1_Hand!$B$4+H1878*D1878</f>
        <v>16</v>
      </c>
      <c r="J1878" s="24" t="n">
        <f aca="false">Test1_Hand!$B$6*H1878*D1878+Test1_Hand!$B$7*MAX(0,I1878-Test1_Hand!$B$5)+Test1_Hand!$B$14</f>
        <v>6000</v>
      </c>
    </row>
    <row r="1879" customFormat="false" ht="15" hidden="false" customHeight="false" outlineLevel="0" collapsed="false">
      <c r="A1879" s="2" t="n">
        <v>1867</v>
      </c>
      <c r="B1879" s="22" t="n">
        <v>0.136507863916696</v>
      </c>
      <c r="C1879" s="22" t="n">
        <v>0.695938963335469</v>
      </c>
      <c r="D1879" s="23" t="n">
        <f aca="false">BETAINV(C1879,Test1_Hand!$B$21,Test1_Hand!$B$22,Test1_Hand!$B$9,Test1_Hand!$B$11)</f>
        <v>4.13200940599212</v>
      </c>
      <c r="E1879" s="2" t="n">
        <f aca="false">IF(B1879&lt;Test1_Hand!$B$12,1,0)</f>
        <v>1</v>
      </c>
      <c r="F1879" s="23" t="n">
        <f aca="false">Test1_Hand!$B$4+E1879*D1879</f>
        <v>20.1320094059921</v>
      </c>
      <c r="G1879" s="24" t="n">
        <f aca="false">Test1_Hand!$B$6*E1879*D1879+Test1_Hand!$B$7*MAX(0,F1879-Test1_Hand!$B$5)</f>
        <v>33716.1222778976</v>
      </c>
      <c r="H1879" s="2" t="n">
        <f aca="false">IF(B1879&lt;Test1_Hand!$B$13,1,0)</f>
        <v>1</v>
      </c>
      <c r="I1879" s="23" t="n">
        <f aca="false">Test1_Hand!$B$4+H1879*D1879</f>
        <v>20.1320094059921</v>
      </c>
      <c r="J1879" s="24" t="n">
        <f aca="false">Test1_Hand!$B$6*H1879*D1879+Test1_Hand!$B$7*MAX(0,I1879-Test1_Hand!$B$5)+Test1_Hand!$B$14</f>
        <v>39716.1222778976</v>
      </c>
    </row>
    <row r="1880" customFormat="false" ht="15" hidden="false" customHeight="false" outlineLevel="0" collapsed="false">
      <c r="A1880" s="2" t="n">
        <v>1868</v>
      </c>
      <c r="B1880" s="22" t="n">
        <v>0.661838407637502</v>
      </c>
      <c r="C1880" s="22" t="n">
        <v>0.11780765373642</v>
      </c>
      <c r="D1880" s="23" t="n">
        <f aca="false">BETAINV(C1880,Test1_Hand!$B$21,Test1_Hand!$B$22,Test1_Hand!$B$9,Test1_Hand!$B$11)</f>
        <v>1.98765692496633</v>
      </c>
      <c r="E1880" s="2" t="n">
        <f aca="false">IF(B1880&lt;Test1_Hand!$B$12,1,0)</f>
        <v>0</v>
      </c>
      <c r="F1880" s="23" t="n">
        <f aca="false">Test1_Hand!$B$4+E1880*D1880</f>
        <v>16</v>
      </c>
      <c r="G1880" s="24" t="n">
        <f aca="false">Test1_Hand!$B$6*E1880*D1880+Test1_Hand!$B$7*MAX(0,F1880-Test1_Hand!$B$5)</f>
        <v>0</v>
      </c>
      <c r="H1880" s="2" t="n">
        <f aca="false">IF(B1880&lt;Test1_Hand!$B$13,1,0)</f>
        <v>0</v>
      </c>
      <c r="I1880" s="23" t="n">
        <f aca="false">Test1_Hand!$B$4+H1880*D1880</f>
        <v>16</v>
      </c>
      <c r="J1880" s="24" t="n">
        <f aca="false">Test1_Hand!$B$6*H1880*D1880+Test1_Hand!$B$7*MAX(0,I1880-Test1_Hand!$B$5)+Test1_Hand!$B$14</f>
        <v>6000</v>
      </c>
    </row>
    <row r="1881" customFormat="false" ht="15" hidden="false" customHeight="false" outlineLevel="0" collapsed="false">
      <c r="A1881" s="2" t="n">
        <v>1869</v>
      </c>
      <c r="B1881" s="22" t="n">
        <v>0.138866711908957</v>
      </c>
      <c r="C1881" s="22" t="n">
        <v>0.0444575832611619</v>
      </c>
      <c r="D1881" s="23" t="n">
        <f aca="false">BETAINV(C1881,Test1_Hand!$B$21,Test1_Hand!$B$22,Test1_Hand!$B$9,Test1_Hand!$B$11)</f>
        <v>1.59357492118991</v>
      </c>
      <c r="E1881" s="2" t="n">
        <f aca="false">IF(B1881&lt;Test1_Hand!$B$12,1,0)</f>
        <v>1</v>
      </c>
      <c r="F1881" s="23" t="n">
        <f aca="false">Test1_Hand!$B$4+E1881*D1881</f>
        <v>17.5935749211899</v>
      </c>
      <c r="G1881" s="24" t="n">
        <f aca="false">Test1_Hand!$B$6*E1881*D1881+Test1_Hand!$B$7*MAX(0,F1881-Test1_Hand!$B$5)</f>
        <v>12748.5993695192</v>
      </c>
      <c r="H1881" s="2" t="n">
        <f aca="false">IF(B1881&lt;Test1_Hand!$B$13,1,0)</f>
        <v>1</v>
      </c>
      <c r="I1881" s="23" t="n">
        <f aca="false">Test1_Hand!$B$4+H1881*D1881</f>
        <v>17.5935749211899</v>
      </c>
      <c r="J1881" s="24" t="n">
        <f aca="false">Test1_Hand!$B$6*H1881*D1881+Test1_Hand!$B$7*MAX(0,I1881-Test1_Hand!$B$5)+Test1_Hand!$B$14</f>
        <v>18748.5993695192</v>
      </c>
    </row>
    <row r="1882" customFormat="false" ht="15" hidden="false" customHeight="false" outlineLevel="0" collapsed="false">
      <c r="A1882" s="2" t="n">
        <v>1870</v>
      </c>
      <c r="B1882" s="22" t="n">
        <v>0.0790194422003701</v>
      </c>
      <c r="C1882" s="22" t="n">
        <v>0.955798017400679</v>
      </c>
      <c r="D1882" s="23" t="n">
        <f aca="false">BETAINV(C1882,Test1_Hand!$B$21,Test1_Hand!$B$22,Test1_Hand!$B$9,Test1_Hand!$B$11)</f>
        <v>5.85136213318291</v>
      </c>
      <c r="E1882" s="2" t="n">
        <f aca="false">IF(B1882&lt;Test1_Hand!$B$12,1,0)</f>
        <v>1</v>
      </c>
      <c r="F1882" s="23" t="n">
        <f aca="false">Test1_Hand!$B$4+E1882*D1882</f>
        <v>21.8513621331829</v>
      </c>
      <c r="G1882" s="24" t="n">
        <f aca="false">Test1_Hand!$B$6*E1882*D1882+Test1_Hand!$B$7*MAX(0,F1882-Test1_Hand!$B$5)</f>
        <v>56067.7077313778</v>
      </c>
      <c r="H1882" s="2" t="n">
        <f aca="false">IF(B1882&lt;Test1_Hand!$B$13,1,0)</f>
        <v>1</v>
      </c>
      <c r="I1882" s="23" t="n">
        <f aca="false">Test1_Hand!$B$4+H1882*D1882</f>
        <v>21.8513621331829</v>
      </c>
      <c r="J1882" s="24" t="n">
        <f aca="false">Test1_Hand!$B$6*H1882*D1882+Test1_Hand!$B$7*MAX(0,I1882-Test1_Hand!$B$5)+Test1_Hand!$B$14</f>
        <v>62067.7077313778</v>
      </c>
    </row>
    <row r="1883" customFormat="false" ht="15" hidden="false" customHeight="false" outlineLevel="0" collapsed="false">
      <c r="A1883" s="2" t="n">
        <v>1871</v>
      </c>
      <c r="B1883" s="22" t="n">
        <v>0.450574529551952</v>
      </c>
      <c r="C1883" s="22" t="n">
        <v>0.22706702115383</v>
      </c>
      <c r="D1883" s="23" t="n">
        <f aca="false">BETAINV(C1883,Test1_Hand!$B$21,Test1_Hand!$B$22,Test1_Hand!$B$9,Test1_Hand!$B$11)</f>
        <v>2.42850418166643</v>
      </c>
      <c r="E1883" s="2" t="n">
        <f aca="false">IF(B1883&lt;Test1_Hand!$B$12,1,0)</f>
        <v>1</v>
      </c>
      <c r="F1883" s="23" t="n">
        <f aca="false">Test1_Hand!$B$4+E1883*D1883</f>
        <v>18.4285041816664</v>
      </c>
      <c r="G1883" s="24" t="n">
        <f aca="false">Test1_Hand!$B$6*E1883*D1883+Test1_Hand!$B$7*MAX(0,F1883-Test1_Hand!$B$5)</f>
        <v>19428.0334533314</v>
      </c>
      <c r="H1883" s="2" t="n">
        <f aca="false">IF(B1883&lt;Test1_Hand!$B$13,1,0)</f>
        <v>0</v>
      </c>
      <c r="I1883" s="23" t="n">
        <f aca="false">Test1_Hand!$B$4+H1883*D1883</f>
        <v>16</v>
      </c>
      <c r="J1883" s="24" t="n">
        <f aca="false">Test1_Hand!$B$6*H1883*D1883+Test1_Hand!$B$7*MAX(0,I1883-Test1_Hand!$B$5)+Test1_Hand!$B$14</f>
        <v>6000</v>
      </c>
    </row>
    <row r="1884" customFormat="false" ht="15" hidden="false" customHeight="false" outlineLevel="0" collapsed="false">
      <c r="A1884" s="2" t="n">
        <v>1872</v>
      </c>
      <c r="B1884" s="22" t="n">
        <v>0.103893421948709</v>
      </c>
      <c r="C1884" s="22" t="n">
        <v>0.316594466562818</v>
      </c>
      <c r="D1884" s="23" t="n">
        <f aca="false">BETAINV(C1884,Test1_Hand!$B$21,Test1_Hand!$B$22,Test1_Hand!$B$9,Test1_Hand!$B$11)</f>
        <v>2.74827140197659</v>
      </c>
      <c r="E1884" s="2" t="n">
        <f aca="false">IF(B1884&lt;Test1_Hand!$B$12,1,0)</f>
        <v>1</v>
      </c>
      <c r="F1884" s="23" t="n">
        <f aca="false">Test1_Hand!$B$4+E1884*D1884</f>
        <v>18.7482714019766</v>
      </c>
      <c r="G1884" s="24" t="n">
        <f aca="false">Test1_Hand!$B$6*E1884*D1884+Test1_Hand!$B$7*MAX(0,F1884-Test1_Hand!$B$5)</f>
        <v>21986.1712158127</v>
      </c>
      <c r="H1884" s="2" t="n">
        <f aca="false">IF(B1884&lt;Test1_Hand!$B$13,1,0)</f>
        <v>1</v>
      </c>
      <c r="I1884" s="23" t="n">
        <f aca="false">Test1_Hand!$B$4+H1884*D1884</f>
        <v>18.7482714019766</v>
      </c>
      <c r="J1884" s="24" t="n">
        <f aca="false">Test1_Hand!$B$6*H1884*D1884+Test1_Hand!$B$7*MAX(0,I1884-Test1_Hand!$B$5)+Test1_Hand!$B$14</f>
        <v>27986.1712158127</v>
      </c>
    </row>
    <row r="1885" customFormat="false" ht="15" hidden="false" customHeight="false" outlineLevel="0" collapsed="false">
      <c r="A1885" s="2" t="n">
        <v>1873</v>
      </c>
      <c r="B1885" s="22" t="n">
        <v>0.22679944629221</v>
      </c>
      <c r="C1885" s="22" t="n">
        <v>0.389836274838607</v>
      </c>
      <c r="D1885" s="23" t="n">
        <f aca="false">BETAINV(C1885,Test1_Hand!$B$21,Test1_Hand!$B$22,Test1_Hand!$B$9,Test1_Hand!$B$11)</f>
        <v>3.0008396810436</v>
      </c>
      <c r="E1885" s="2" t="n">
        <f aca="false">IF(B1885&lt;Test1_Hand!$B$12,1,0)</f>
        <v>1</v>
      </c>
      <c r="F1885" s="23" t="n">
        <f aca="false">Test1_Hand!$B$4+E1885*D1885</f>
        <v>19.0008396810436</v>
      </c>
      <c r="G1885" s="24" t="n">
        <f aca="false">Test1_Hand!$B$6*E1885*D1885+Test1_Hand!$B$7*MAX(0,F1885-Test1_Hand!$B$5)</f>
        <v>24006.7174483488</v>
      </c>
      <c r="H1885" s="2" t="n">
        <f aca="false">IF(B1885&lt;Test1_Hand!$B$13,1,0)</f>
        <v>0</v>
      </c>
      <c r="I1885" s="23" t="n">
        <f aca="false">Test1_Hand!$B$4+H1885*D1885</f>
        <v>16</v>
      </c>
      <c r="J1885" s="24" t="n">
        <f aca="false">Test1_Hand!$B$6*H1885*D1885+Test1_Hand!$B$7*MAX(0,I1885-Test1_Hand!$B$5)+Test1_Hand!$B$14</f>
        <v>6000</v>
      </c>
    </row>
    <row r="1886" customFormat="false" ht="15" hidden="false" customHeight="false" outlineLevel="0" collapsed="false">
      <c r="A1886" s="2" t="n">
        <v>1874</v>
      </c>
      <c r="B1886" s="22" t="n">
        <v>0.185299318392704</v>
      </c>
      <c r="C1886" s="22" t="n">
        <v>0.229655061165912</v>
      </c>
      <c r="D1886" s="23" t="n">
        <f aca="false">BETAINV(C1886,Test1_Hand!$B$21,Test1_Hand!$B$22,Test1_Hand!$B$9,Test1_Hand!$B$11)</f>
        <v>2.43807243703726</v>
      </c>
      <c r="E1886" s="2" t="n">
        <f aca="false">IF(B1886&lt;Test1_Hand!$B$12,1,0)</f>
        <v>1</v>
      </c>
      <c r="F1886" s="23" t="n">
        <f aca="false">Test1_Hand!$B$4+E1886*D1886</f>
        <v>18.4380724370373</v>
      </c>
      <c r="G1886" s="24" t="n">
        <f aca="false">Test1_Hand!$B$6*E1886*D1886+Test1_Hand!$B$7*MAX(0,F1886-Test1_Hand!$B$5)</f>
        <v>19504.5794962981</v>
      </c>
      <c r="H1886" s="2" t="n">
        <f aca="false">IF(B1886&lt;Test1_Hand!$B$13,1,0)</f>
        <v>1</v>
      </c>
      <c r="I1886" s="23" t="n">
        <f aca="false">Test1_Hand!$B$4+H1886*D1886</f>
        <v>18.4380724370373</v>
      </c>
      <c r="J1886" s="24" t="n">
        <f aca="false">Test1_Hand!$B$6*H1886*D1886+Test1_Hand!$B$7*MAX(0,I1886-Test1_Hand!$B$5)+Test1_Hand!$B$14</f>
        <v>25504.5794962981</v>
      </c>
    </row>
    <row r="1887" customFormat="false" ht="15" hidden="false" customHeight="false" outlineLevel="0" collapsed="false">
      <c r="A1887" s="2" t="n">
        <v>1875</v>
      </c>
      <c r="B1887" s="22" t="n">
        <v>0.0462365958241349</v>
      </c>
      <c r="C1887" s="22" t="n">
        <v>0.50655263766411</v>
      </c>
      <c r="D1887" s="23" t="n">
        <f aca="false">BETAINV(C1887,Test1_Hand!$B$21,Test1_Hand!$B$22,Test1_Hand!$B$9,Test1_Hand!$B$11)</f>
        <v>3.40574886694514</v>
      </c>
      <c r="E1887" s="2" t="n">
        <f aca="false">IF(B1887&lt;Test1_Hand!$B$12,1,0)</f>
        <v>1</v>
      </c>
      <c r="F1887" s="23" t="n">
        <f aca="false">Test1_Hand!$B$4+E1887*D1887</f>
        <v>19.4057488669451</v>
      </c>
      <c r="G1887" s="24" t="n">
        <f aca="false">Test1_Hand!$B$6*E1887*D1887+Test1_Hand!$B$7*MAX(0,F1887-Test1_Hand!$B$5)</f>
        <v>27245.9909355611</v>
      </c>
      <c r="H1887" s="2" t="n">
        <f aca="false">IF(B1887&lt;Test1_Hand!$B$13,1,0)</f>
        <v>1</v>
      </c>
      <c r="I1887" s="23" t="n">
        <f aca="false">Test1_Hand!$B$4+H1887*D1887</f>
        <v>19.4057488669451</v>
      </c>
      <c r="J1887" s="24" t="n">
        <f aca="false">Test1_Hand!$B$6*H1887*D1887+Test1_Hand!$B$7*MAX(0,I1887-Test1_Hand!$B$5)+Test1_Hand!$B$14</f>
        <v>33245.9909355611</v>
      </c>
    </row>
    <row r="1888" customFormat="false" ht="15" hidden="false" customHeight="false" outlineLevel="0" collapsed="false">
      <c r="A1888" s="2" t="n">
        <v>1876</v>
      </c>
      <c r="B1888" s="22" t="n">
        <v>0.461502567359156</v>
      </c>
      <c r="C1888" s="22" t="n">
        <v>0.525753226602461</v>
      </c>
      <c r="D1888" s="23" t="n">
        <f aca="false">BETAINV(C1888,Test1_Hand!$B$21,Test1_Hand!$B$22,Test1_Hand!$B$9,Test1_Hand!$B$11)</f>
        <v>3.4740859618576</v>
      </c>
      <c r="E1888" s="2" t="n">
        <f aca="false">IF(B1888&lt;Test1_Hand!$B$12,1,0)</f>
        <v>1</v>
      </c>
      <c r="F1888" s="23" t="n">
        <f aca="false">Test1_Hand!$B$4+E1888*D1888</f>
        <v>19.4740859618576</v>
      </c>
      <c r="G1888" s="24" t="n">
        <f aca="false">Test1_Hand!$B$6*E1888*D1888+Test1_Hand!$B$7*MAX(0,F1888-Test1_Hand!$B$5)</f>
        <v>27792.6876948608</v>
      </c>
      <c r="H1888" s="2" t="n">
        <f aca="false">IF(B1888&lt;Test1_Hand!$B$13,1,0)</f>
        <v>0</v>
      </c>
      <c r="I1888" s="23" t="n">
        <f aca="false">Test1_Hand!$B$4+H1888*D1888</f>
        <v>16</v>
      </c>
      <c r="J1888" s="24" t="n">
        <f aca="false">Test1_Hand!$B$6*H1888*D1888+Test1_Hand!$B$7*MAX(0,I1888-Test1_Hand!$B$5)+Test1_Hand!$B$14</f>
        <v>6000</v>
      </c>
    </row>
    <row r="1889" customFormat="false" ht="15" hidden="false" customHeight="false" outlineLevel="0" collapsed="false">
      <c r="A1889" s="2" t="n">
        <v>1877</v>
      </c>
      <c r="B1889" s="22" t="n">
        <v>0.869591207140127</v>
      </c>
      <c r="C1889" s="22" t="n">
        <v>0.68543775134969</v>
      </c>
      <c r="D1889" s="23" t="n">
        <f aca="false">BETAINV(C1889,Test1_Hand!$B$21,Test1_Hand!$B$22,Test1_Hand!$B$9,Test1_Hand!$B$11)</f>
        <v>4.08741457262093</v>
      </c>
      <c r="E1889" s="2" t="n">
        <f aca="false">IF(B1889&lt;Test1_Hand!$B$12,1,0)</f>
        <v>0</v>
      </c>
      <c r="F1889" s="23" t="n">
        <f aca="false">Test1_Hand!$B$4+E1889*D1889</f>
        <v>16</v>
      </c>
      <c r="G1889" s="24" t="n">
        <f aca="false">Test1_Hand!$B$6*E1889*D1889+Test1_Hand!$B$7*MAX(0,F1889-Test1_Hand!$B$5)</f>
        <v>0</v>
      </c>
      <c r="H1889" s="2" t="n">
        <f aca="false">IF(B1889&lt;Test1_Hand!$B$13,1,0)</f>
        <v>0</v>
      </c>
      <c r="I1889" s="23" t="n">
        <f aca="false">Test1_Hand!$B$4+H1889*D1889</f>
        <v>16</v>
      </c>
      <c r="J1889" s="24" t="n">
        <f aca="false">Test1_Hand!$B$6*H1889*D1889+Test1_Hand!$B$7*MAX(0,I1889-Test1_Hand!$B$5)+Test1_Hand!$B$14</f>
        <v>6000</v>
      </c>
    </row>
    <row r="1890" customFormat="false" ht="15" hidden="false" customHeight="false" outlineLevel="0" collapsed="false">
      <c r="A1890" s="2" t="n">
        <v>1878</v>
      </c>
      <c r="B1890" s="22" t="n">
        <v>0.0676880374795862</v>
      </c>
      <c r="C1890" s="22" t="n">
        <v>0.0316142784085317</v>
      </c>
      <c r="D1890" s="23" t="n">
        <f aca="false">BETAINV(C1890,Test1_Hand!$B$21,Test1_Hand!$B$22,Test1_Hand!$B$9,Test1_Hand!$B$11)</f>
        <v>1.49988214787472</v>
      </c>
      <c r="E1890" s="2" t="n">
        <f aca="false">IF(B1890&lt;Test1_Hand!$B$12,1,0)</f>
        <v>1</v>
      </c>
      <c r="F1890" s="23" t="n">
        <f aca="false">Test1_Hand!$B$4+E1890*D1890</f>
        <v>17.4998821478747</v>
      </c>
      <c r="G1890" s="24" t="n">
        <f aca="false">Test1_Hand!$B$6*E1890*D1890+Test1_Hand!$B$7*MAX(0,F1890-Test1_Hand!$B$5)</f>
        <v>11999.0571829978</v>
      </c>
      <c r="H1890" s="2" t="n">
        <f aca="false">IF(B1890&lt;Test1_Hand!$B$13,1,0)</f>
        <v>1</v>
      </c>
      <c r="I1890" s="23" t="n">
        <f aca="false">Test1_Hand!$B$4+H1890*D1890</f>
        <v>17.4998821478747</v>
      </c>
      <c r="J1890" s="24" t="n">
        <f aca="false">Test1_Hand!$B$6*H1890*D1890+Test1_Hand!$B$7*MAX(0,I1890-Test1_Hand!$B$5)+Test1_Hand!$B$14</f>
        <v>17999.0571829978</v>
      </c>
    </row>
    <row r="1891" customFormat="false" ht="15" hidden="false" customHeight="false" outlineLevel="0" collapsed="false">
      <c r="A1891" s="2" t="n">
        <v>1879</v>
      </c>
      <c r="B1891" s="22" t="n">
        <v>0.399545952118845</v>
      </c>
      <c r="C1891" s="22" t="n">
        <v>0.416682013470406</v>
      </c>
      <c r="D1891" s="23" t="n">
        <f aca="false">BETAINV(C1891,Test1_Hand!$B$21,Test1_Hand!$B$22,Test1_Hand!$B$9,Test1_Hand!$B$11)</f>
        <v>3.09306354883621</v>
      </c>
      <c r="E1891" s="2" t="n">
        <f aca="false">IF(B1891&lt;Test1_Hand!$B$12,1,0)</f>
        <v>1</v>
      </c>
      <c r="F1891" s="23" t="n">
        <f aca="false">Test1_Hand!$B$4+E1891*D1891</f>
        <v>19.0930635488362</v>
      </c>
      <c r="G1891" s="24" t="n">
        <f aca="false">Test1_Hand!$B$6*E1891*D1891+Test1_Hand!$B$7*MAX(0,F1891-Test1_Hand!$B$5)</f>
        <v>24744.5083906897</v>
      </c>
      <c r="H1891" s="2" t="n">
        <f aca="false">IF(B1891&lt;Test1_Hand!$B$13,1,0)</f>
        <v>0</v>
      </c>
      <c r="I1891" s="23" t="n">
        <f aca="false">Test1_Hand!$B$4+H1891*D1891</f>
        <v>16</v>
      </c>
      <c r="J1891" s="24" t="n">
        <f aca="false">Test1_Hand!$B$6*H1891*D1891+Test1_Hand!$B$7*MAX(0,I1891-Test1_Hand!$B$5)+Test1_Hand!$B$14</f>
        <v>6000</v>
      </c>
    </row>
    <row r="1892" customFormat="false" ht="15" hidden="false" customHeight="false" outlineLevel="0" collapsed="false">
      <c r="A1892" s="2" t="n">
        <v>1880</v>
      </c>
      <c r="B1892" s="22" t="n">
        <v>0.947438748143844</v>
      </c>
      <c r="C1892" s="22" t="n">
        <v>0.421215118910335</v>
      </c>
      <c r="D1892" s="23" t="n">
        <f aca="false">BETAINV(C1892,Test1_Hand!$B$21,Test1_Hand!$B$22,Test1_Hand!$B$9,Test1_Hand!$B$11)</f>
        <v>3.1086584450608</v>
      </c>
      <c r="E1892" s="2" t="n">
        <f aca="false">IF(B1892&lt;Test1_Hand!$B$12,1,0)</f>
        <v>0</v>
      </c>
      <c r="F1892" s="23" t="n">
        <f aca="false">Test1_Hand!$B$4+E1892*D1892</f>
        <v>16</v>
      </c>
      <c r="G1892" s="24" t="n">
        <f aca="false">Test1_Hand!$B$6*E1892*D1892+Test1_Hand!$B$7*MAX(0,F1892-Test1_Hand!$B$5)</f>
        <v>0</v>
      </c>
      <c r="H1892" s="2" t="n">
        <f aca="false">IF(B1892&lt;Test1_Hand!$B$13,1,0)</f>
        <v>0</v>
      </c>
      <c r="I1892" s="23" t="n">
        <f aca="false">Test1_Hand!$B$4+H1892*D1892</f>
        <v>16</v>
      </c>
      <c r="J1892" s="24" t="n">
        <f aca="false">Test1_Hand!$B$6*H1892*D1892+Test1_Hand!$B$7*MAX(0,I1892-Test1_Hand!$B$5)+Test1_Hand!$B$14</f>
        <v>6000</v>
      </c>
    </row>
    <row r="1893" customFormat="false" ht="15" hidden="false" customHeight="false" outlineLevel="0" collapsed="false">
      <c r="A1893" s="2" t="n">
        <v>1881</v>
      </c>
      <c r="B1893" s="22" t="n">
        <v>0.866247357036535</v>
      </c>
      <c r="C1893" s="22" t="n">
        <v>0.888762102135099</v>
      </c>
      <c r="D1893" s="23" t="n">
        <f aca="false">BETAINV(C1893,Test1_Hand!$B$21,Test1_Hand!$B$22,Test1_Hand!$B$9,Test1_Hand!$B$11)</f>
        <v>5.18420774676056</v>
      </c>
      <c r="E1893" s="2" t="n">
        <f aca="false">IF(B1893&lt;Test1_Hand!$B$12,1,0)</f>
        <v>0</v>
      </c>
      <c r="F1893" s="23" t="n">
        <f aca="false">Test1_Hand!$B$4+E1893*D1893</f>
        <v>16</v>
      </c>
      <c r="G1893" s="24" t="n">
        <f aca="false">Test1_Hand!$B$6*E1893*D1893+Test1_Hand!$B$7*MAX(0,F1893-Test1_Hand!$B$5)</f>
        <v>0</v>
      </c>
      <c r="H1893" s="2" t="n">
        <f aca="false">IF(B1893&lt;Test1_Hand!$B$13,1,0)</f>
        <v>0</v>
      </c>
      <c r="I1893" s="23" t="n">
        <f aca="false">Test1_Hand!$B$4+H1893*D1893</f>
        <v>16</v>
      </c>
      <c r="J1893" s="24" t="n">
        <f aca="false">Test1_Hand!$B$6*H1893*D1893+Test1_Hand!$B$7*MAX(0,I1893-Test1_Hand!$B$5)+Test1_Hand!$B$14</f>
        <v>6000</v>
      </c>
    </row>
    <row r="1894" customFormat="false" ht="15" hidden="false" customHeight="false" outlineLevel="0" collapsed="false">
      <c r="A1894" s="2" t="n">
        <v>1882</v>
      </c>
      <c r="B1894" s="22" t="n">
        <v>0.83119262633648</v>
      </c>
      <c r="C1894" s="22" t="n">
        <v>0.511590089663862</v>
      </c>
      <c r="D1894" s="23" t="n">
        <f aca="false">BETAINV(C1894,Test1_Hand!$B$21,Test1_Hand!$B$22,Test1_Hand!$B$9,Test1_Hand!$B$11)</f>
        <v>3.42360720481002</v>
      </c>
      <c r="E1894" s="2" t="n">
        <f aca="false">IF(B1894&lt;Test1_Hand!$B$12,1,0)</f>
        <v>0</v>
      </c>
      <c r="F1894" s="23" t="n">
        <f aca="false">Test1_Hand!$B$4+E1894*D1894</f>
        <v>16</v>
      </c>
      <c r="G1894" s="24" t="n">
        <f aca="false">Test1_Hand!$B$6*E1894*D1894+Test1_Hand!$B$7*MAX(0,F1894-Test1_Hand!$B$5)</f>
        <v>0</v>
      </c>
      <c r="H1894" s="2" t="n">
        <f aca="false">IF(B1894&lt;Test1_Hand!$B$13,1,0)</f>
        <v>0</v>
      </c>
      <c r="I1894" s="23" t="n">
        <f aca="false">Test1_Hand!$B$4+H1894*D1894</f>
        <v>16</v>
      </c>
      <c r="J1894" s="24" t="n">
        <f aca="false">Test1_Hand!$B$6*H1894*D1894+Test1_Hand!$B$7*MAX(0,I1894-Test1_Hand!$B$5)+Test1_Hand!$B$14</f>
        <v>6000</v>
      </c>
    </row>
    <row r="1895" customFormat="false" ht="15" hidden="false" customHeight="false" outlineLevel="0" collapsed="false">
      <c r="A1895" s="2" t="n">
        <v>1883</v>
      </c>
      <c r="B1895" s="22" t="n">
        <v>0.501562091580573</v>
      </c>
      <c r="C1895" s="22" t="n">
        <v>0.806717256144053</v>
      </c>
      <c r="D1895" s="23" t="n">
        <f aca="false">BETAINV(C1895,Test1_Hand!$B$21,Test1_Hand!$B$22,Test1_Hand!$B$9,Test1_Hand!$B$11)</f>
        <v>4.66217550214735</v>
      </c>
      <c r="E1895" s="2" t="n">
        <f aca="false">IF(B1895&lt;Test1_Hand!$B$12,1,0)</f>
        <v>0</v>
      </c>
      <c r="F1895" s="23" t="n">
        <f aca="false">Test1_Hand!$B$4+E1895*D1895</f>
        <v>16</v>
      </c>
      <c r="G1895" s="24" t="n">
        <f aca="false">Test1_Hand!$B$6*E1895*D1895+Test1_Hand!$B$7*MAX(0,F1895-Test1_Hand!$B$5)</f>
        <v>0</v>
      </c>
      <c r="H1895" s="2" t="n">
        <f aca="false">IF(B1895&lt;Test1_Hand!$B$13,1,0)</f>
        <v>0</v>
      </c>
      <c r="I1895" s="23" t="n">
        <f aca="false">Test1_Hand!$B$4+H1895*D1895</f>
        <v>16</v>
      </c>
      <c r="J1895" s="24" t="n">
        <f aca="false">Test1_Hand!$B$6*H1895*D1895+Test1_Hand!$B$7*MAX(0,I1895-Test1_Hand!$B$5)+Test1_Hand!$B$14</f>
        <v>6000</v>
      </c>
    </row>
    <row r="1896" customFormat="false" ht="15" hidden="false" customHeight="false" outlineLevel="0" collapsed="false">
      <c r="A1896" s="2" t="n">
        <v>1884</v>
      </c>
      <c r="B1896" s="22" t="n">
        <v>0.970229531300006</v>
      </c>
      <c r="C1896" s="22" t="n">
        <v>0.32326082955753</v>
      </c>
      <c r="D1896" s="23" t="n">
        <f aca="false">BETAINV(C1896,Test1_Hand!$B$21,Test1_Hand!$B$22,Test1_Hand!$B$9,Test1_Hand!$B$11)</f>
        <v>2.77143956850144</v>
      </c>
      <c r="E1896" s="2" t="n">
        <f aca="false">IF(B1896&lt;Test1_Hand!$B$12,1,0)</f>
        <v>0</v>
      </c>
      <c r="F1896" s="23" t="n">
        <f aca="false">Test1_Hand!$B$4+E1896*D1896</f>
        <v>16</v>
      </c>
      <c r="G1896" s="24" t="n">
        <f aca="false">Test1_Hand!$B$6*E1896*D1896+Test1_Hand!$B$7*MAX(0,F1896-Test1_Hand!$B$5)</f>
        <v>0</v>
      </c>
      <c r="H1896" s="2" t="n">
        <f aca="false">IF(B1896&lt;Test1_Hand!$B$13,1,0)</f>
        <v>0</v>
      </c>
      <c r="I1896" s="23" t="n">
        <f aca="false">Test1_Hand!$B$4+H1896*D1896</f>
        <v>16</v>
      </c>
      <c r="J1896" s="24" t="n">
        <f aca="false">Test1_Hand!$B$6*H1896*D1896+Test1_Hand!$B$7*MAX(0,I1896-Test1_Hand!$B$5)+Test1_Hand!$B$14</f>
        <v>6000</v>
      </c>
    </row>
    <row r="1897" customFormat="false" ht="15" hidden="false" customHeight="false" outlineLevel="0" collapsed="false">
      <c r="A1897" s="2" t="n">
        <v>1885</v>
      </c>
      <c r="B1897" s="22" t="n">
        <v>0.470623314749687</v>
      </c>
      <c r="C1897" s="22" t="n">
        <v>0.620316156367456</v>
      </c>
      <c r="D1897" s="23" t="n">
        <f aca="false">BETAINV(C1897,Test1_Hand!$B$21,Test1_Hand!$B$22,Test1_Hand!$B$9,Test1_Hand!$B$11)</f>
        <v>3.82492166185896</v>
      </c>
      <c r="E1897" s="2" t="n">
        <f aca="false">IF(B1897&lt;Test1_Hand!$B$12,1,0)</f>
        <v>1</v>
      </c>
      <c r="F1897" s="23" t="n">
        <f aca="false">Test1_Hand!$B$4+E1897*D1897</f>
        <v>19.824921661859</v>
      </c>
      <c r="G1897" s="24" t="n">
        <f aca="false">Test1_Hand!$B$6*E1897*D1897+Test1_Hand!$B$7*MAX(0,F1897-Test1_Hand!$B$5)</f>
        <v>30599.3732948717</v>
      </c>
      <c r="H1897" s="2" t="n">
        <f aca="false">IF(B1897&lt;Test1_Hand!$B$13,1,0)</f>
        <v>0</v>
      </c>
      <c r="I1897" s="23" t="n">
        <f aca="false">Test1_Hand!$B$4+H1897*D1897</f>
        <v>16</v>
      </c>
      <c r="J1897" s="24" t="n">
        <f aca="false">Test1_Hand!$B$6*H1897*D1897+Test1_Hand!$B$7*MAX(0,I1897-Test1_Hand!$B$5)+Test1_Hand!$B$14</f>
        <v>6000</v>
      </c>
    </row>
    <row r="1898" customFormat="false" ht="15" hidden="false" customHeight="false" outlineLevel="0" collapsed="false">
      <c r="A1898" s="2" t="n">
        <v>1886</v>
      </c>
      <c r="B1898" s="22" t="n">
        <v>0.41859658845687</v>
      </c>
      <c r="C1898" s="22" t="n">
        <v>0.185759364119064</v>
      </c>
      <c r="D1898" s="23" t="n">
        <f aca="false">BETAINV(C1898,Test1_Hand!$B$21,Test1_Hand!$B$22,Test1_Hand!$B$9,Test1_Hand!$B$11)</f>
        <v>2.27167322146354</v>
      </c>
      <c r="E1898" s="2" t="n">
        <f aca="false">IF(B1898&lt;Test1_Hand!$B$12,1,0)</f>
        <v>1</v>
      </c>
      <c r="F1898" s="23" t="n">
        <f aca="false">Test1_Hand!$B$4+E1898*D1898</f>
        <v>18.2716732214635</v>
      </c>
      <c r="G1898" s="24" t="n">
        <f aca="false">Test1_Hand!$B$6*E1898*D1898+Test1_Hand!$B$7*MAX(0,F1898-Test1_Hand!$B$5)</f>
        <v>18173.3857717083</v>
      </c>
      <c r="H1898" s="2" t="n">
        <f aca="false">IF(B1898&lt;Test1_Hand!$B$13,1,0)</f>
        <v>0</v>
      </c>
      <c r="I1898" s="23" t="n">
        <f aca="false">Test1_Hand!$B$4+H1898*D1898</f>
        <v>16</v>
      </c>
      <c r="J1898" s="24" t="n">
        <f aca="false">Test1_Hand!$B$6*H1898*D1898+Test1_Hand!$B$7*MAX(0,I1898-Test1_Hand!$B$5)+Test1_Hand!$B$14</f>
        <v>6000</v>
      </c>
    </row>
    <row r="1899" customFormat="false" ht="15" hidden="false" customHeight="false" outlineLevel="0" collapsed="false">
      <c r="A1899" s="2" t="n">
        <v>1887</v>
      </c>
      <c r="B1899" s="22" t="n">
        <v>0.131409069817213</v>
      </c>
      <c r="C1899" s="22" t="n">
        <v>0.42459359667842</v>
      </c>
      <c r="D1899" s="23" t="n">
        <f aca="false">BETAINV(C1899,Test1_Hand!$B$21,Test1_Hand!$B$22,Test1_Hand!$B$9,Test1_Hand!$B$11)</f>
        <v>3.12028775350041</v>
      </c>
      <c r="E1899" s="2" t="n">
        <f aca="false">IF(B1899&lt;Test1_Hand!$B$12,1,0)</f>
        <v>1</v>
      </c>
      <c r="F1899" s="23" t="n">
        <f aca="false">Test1_Hand!$B$4+E1899*D1899</f>
        <v>19.1202877535004</v>
      </c>
      <c r="G1899" s="24" t="n">
        <f aca="false">Test1_Hand!$B$6*E1899*D1899+Test1_Hand!$B$7*MAX(0,F1899-Test1_Hand!$B$5)</f>
        <v>24962.3020280032</v>
      </c>
      <c r="H1899" s="2" t="n">
        <f aca="false">IF(B1899&lt;Test1_Hand!$B$13,1,0)</f>
        <v>1</v>
      </c>
      <c r="I1899" s="23" t="n">
        <f aca="false">Test1_Hand!$B$4+H1899*D1899</f>
        <v>19.1202877535004</v>
      </c>
      <c r="J1899" s="24" t="n">
        <f aca="false">Test1_Hand!$B$6*H1899*D1899+Test1_Hand!$B$7*MAX(0,I1899-Test1_Hand!$B$5)+Test1_Hand!$B$14</f>
        <v>30962.3020280032</v>
      </c>
    </row>
    <row r="1900" customFormat="false" ht="15" hidden="false" customHeight="false" outlineLevel="0" collapsed="false">
      <c r="A1900" s="2" t="n">
        <v>1888</v>
      </c>
      <c r="B1900" s="22" t="n">
        <v>0.520882252988562</v>
      </c>
      <c r="C1900" s="22" t="n">
        <v>0.89076927647025</v>
      </c>
      <c r="D1900" s="23" t="n">
        <f aca="false">BETAINV(C1900,Test1_Hand!$B$21,Test1_Hand!$B$22,Test1_Hand!$B$9,Test1_Hand!$B$11)</f>
        <v>5.19958531764137</v>
      </c>
      <c r="E1900" s="2" t="n">
        <f aca="false">IF(B1900&lt;Test1_Hand!$B$12,1,0)</f>
        <v>0</v>
      </c>
      <c r="F1900" s="23" t="n">
        <f aca="false">Test1_Hand!$B$4+E1900*D1900</f>
        <v>16</v>
      </c>
      <c r="G1900" s="24" t="n">
        <f aca="false">Test1_Hand!$B$6*E1900*D1900+Test1_Hand!$B$7*MAX(0,F1900-Test1_Hand!$B$5)</f>
        <v>0</v>
      </c>
      <c r="H1900" s="2" t="n">
        <f aca="false">IF(B1900&lt;Test1_Hand!$B$13,1,0)</f>
        <v>0</v>
      </c>
      <c r="I1900" s="23" t="n">
        <f aca="false">Test1_Hand!$B$4+H1900*D1900</f>
        <v>16</v>
      </c>
      <c r="J1900" s="24" t="n">
        <f aca="false">Test1_Hand!$B$6*H1900*D1900+Test1_Hand!$B$7*MAX(0,I1900-Test1_Hand!$B$5)+Test1_Hand!$B$14</f>
        <v>6000</v>
      </c>
    </row>
    <row r="1901" customFormat="false" ht="15" hidden="false" customHeight="false" outlineLevel="0" collapsed="false">
      <c r="A1901" s="2" t="n">
        <v>1889</v>
      </c>
      <c r="B1901" s="22" t="n">
        <v>0.228363505711668</v>
      </c>
      <c r="C1901" s="22" t="n">
        <v>0.622448972596971</v>
      </c>
      <c r="D1901" s="23" t="n">
        <f aca="false">BETAINV(C1901,Test1_Hand!$B$21,Test1_Hand!$B$22,Test1_Hand!$B$9,Test1_Hand!$B$11)</f>
        <v>3.83319162744459</v>
      </c>
      <c r="E1901" s="2" t="n">
        <f aca="false">IF(B1901&lt;Test1_Hand!$B$12,1,0)</f>
        <v>1</v>
      </c>
      <c r="F1901" s="23" t="n">
        <f aca="false">Test1_Hand!$B$4+E1901*D1901</f>
        <v>19.8331916274446</v>
      </c>
      <c r="G1901" s="24" t="n">
        <f aca="false">Test1_Hand!$B$6*E1901*D1901+Test1_Hand!$B$7*MAX(0,F1901-Test1_Hand!$B$5)</f>
        <v>30665.5330195568</v>
      </c>
      <c r="H1901" s="2" t="n">
        <f aca="false">IF(B1901&lt;Test1_Hand!$B$13,1,0)</f>
        <v>0</v>
      </c>
      <c r="I1901" s="23" t="n">
        <f aca="false">Test1_Hand!$B$4+H1901*D1901</f>
        <v>16</v>
      </c>
      <c r="J1901" s="24" t="n">
        <f aca="false">Test1_Hand!$B$6*H1901*D1901+Test1_Hand!$B$7*MAX(0,I1901-Test1_Hand!$B$5)+Test1_Hand!$B$14</f>
        <v>6000</v>
      </c>
    </row>
    <row r="1902" customFormat="false" ht="15" hidden="false" customHeight="false" outlineLevel="0" collapsed="false">
      <c r="A1902" s="2" t="n">
        <v>1890</v>
      </c>
      <c r="B1902" s="22" t="n">
        <v>0.16239605308942</v>
      </c>
      <c r="C1902" s="22" t="n">
        <v>0.664000292681353</v>
      </c>
      <c r="D1902" s="23" t="n">
        <f aca="false">BETAINV(C1902,Test1_Hand!$B$21,Test1_Hand!$B$22,Test1_Hand!$B$9,Test1_Hand!$B$11)</f>
        <v>3.99851509776798</v>
      </c>
      <c r="E1902" s="2" t="n">
        <f aca="false">IF(B1902&lt;Test1_Hand!$B$12,1,0)</f>
        <v>1</v>
      </c>
      <c r="F1902" s="23" t="n">
        <f aca="false">Test1_Hand!$B$4+E1902*D1902</f>
        <v>19.998515097768</v>
      </c>
      <c r="G1902" s="24" t="n">
        <f aca="false">Test1_Hand!$B$6*E1902*D1902+Test1_Hand!$B$7*MAX(0,F1902-Test1_Hand!$B$5)</f>
        <v>31988.1207821438</v>
      </c>
      <c r="H1902" s="2" t="n">
        <f aca="false">IF(B1902&lt;Test1_Hand!$B$13,1,0)</f>
        <v>1</v>
      </c>
      <c r="I1902" s="23" t="n">
        <f aca="false">Test1_Hand!$B$4+H1902*D1902</f>
        <v>19.998515097768</v>
      </c>
      <c r="J1902" s="24" t="n">
        <f aca="false">Test1_Hand!$B$6*H1902*D1902+Test1_Hand!$B$7*MAX(0,I1902-Test1_Hand!$B$5)+Test1_Hand!$B$14</f>
        <v>37988.1207821438</v>
      </c>
    </row>
    <row r="1903" customFormat="false" ht="15" hidden="false" customHeight="false" outlineLevel="0" collapsed="false">
      <c r="A1903" s="2" t="n">
        <v>1891</v>
      </c>
      <c r="B1903" s="22" t="n">
        <v>0.844788022828474</v>
      </c>
      <c r="C1903" s="22" t="n">
        <v>0.758045624756918</v>
      </c>
      <c r="D1903" s="23" t="n">
        <f aca="false">BETAINV(C1903,Test1_Hand!$B$21,Test1_Hand!$B$22,Test1_Hand!$B$9,Test1_Hand!$B$11)</f>
        <v>4.41327460592964</v>
      </c>
      <c r="E1903" s="2" t="n">
        <f aca="false">IF(B1903&lt;Test1_Hand!$B$12,1,0)</f>
        <v>0</v>
      </c>
      <c r="F1903" s="23" t="n">
        <f aca="false">Test1_Hand!$B$4+E1903*D1903</f>
        <v>16</v>
      </c>
      <c r="G1903" s="24" t="n">
        <f aca="false">Test1_Hand!$B$6*E1903*D1903+Test1_Hand!$B$7*MAX(0,F1903-Test1_Hand!$B$5)</f>
        <v>0</v>
      </c>
      <c r="H1903" s="2" t="n">
        <f aca="false">IF(B1903&lt;Test1_Hand!$B$13,1,0)</f>
        <v>0</v>
      </c>
      <c r="I1903" s="23" t="n">
        <f aca="false">Test1_Hand!$B$4+H1903*D1903</f>
        <v>16</v>
      </c>
      <c r="J1903" s="24" t="n">
        <f aca="false">Test1_Hand!$B$6*H1903*D1903+Test1_Hand!$B$7*MAX(0,I1903-Test1_Hand!$B$5)+Test1_Hand!$B$14</f>
        <v>6000</v>
      </c>
    </row>
    <row r="1904" customFormat="false" ht="15" hidden="false" customHeight="false" outlineLevel="0" collapsed="false">
      <c r="A1904" s="2" t="n">
        <v>1892</v>
      </c>
      <c r="B1904" s="22" t="n">
        <v>0.534827605242831</v>
      </c>
      <c r="C1904" s="22" t="n">
        <v>0.822374825362518</v>
      </c>
      <c r="D1904" s="23" t="n">
        <f aca="false">BETAINV(C1904,Test1_Hand!$B$21,Test1_Hand!$B$22,Test1_Hand!$B$9,Test1_Hand!$B$11)</f>
        <v>4.74970129632981</v>
      </c>
      <c r="E1904" s="2" t="n">
        <f aca="false">IF(B1904&lt;Test1_Hand!$B$12,1,0)</f>
        <v>0</v>
      </c>
      <c r="F1904" s="23" t="n">
        <f aca="false">Test1_Hand!$B$4+E1904*D1904</f>
        <v>16</v>
      </c>
      <c r="G1904" s="24" t="n">
        <f aca="false">Test1_Hand!$B$6*E1904*D1904+Test1_Hand!$B$7*MAX(0,F1904-Test1_Hand!$B$5)</f>
        <v>0</v>
      </c>
      <c r="H1904" s="2" t="n">
        <f aca="false">IF(B1904&lt;Test1_Hand!$B$13,1,0)</f>
        <v>0</v>
      </c>
      <c r="I1904" s="23" t="n">
        <f aca="false">Test1_Hand!$B$4+H1904*D1904</f>
        <v>16</v>
      </c>
      <c r="J1904" s="24" t="n">
        <f aca="false">Test1_Hand!$B$6*H1904*D1904+Test1_Hand!$B$7*MAX(0,I1904-Test1_Hand!$B$5)+Test1_Hand!$B$14</f>
        <v>6000</v>
      </c>
    </row>
    <row r="1905" customFormat="false" ht="15" hidden="false" customHeight="false" outlineLevel="0" collapsed="false">
      <c r="A1905" s="2" t="n">
        <v>1893</v>
      </c>
      <c r="B1905" s="22" t="n">
        <v>0.806013170471122</v>
      </c>
      <c r="C1905" s="22" t="n">
        <v>0.572615488997665</v>
      </c>
      <c r="D1905" s="23" t="n">
        <f aca="false">BETAINV(C1905,Test1_Hand!$B$21,Test1_Hand!$B$22,Test1_Hand!$B$9,Test1_Hand!$B$11)</f>
        <v>3.64449566911475</v>
      </c>
      <c r="E1905" s="2" t="n">
        <f aca="false">IF(B1905&lt;Test1_Hand!$B$12,1,0)</f>
        <v>0</v>
      </c>
      <c r="F1905" s="23" t="n">
        <f aca="false">Test1_Hand!$B$4+E1905*D1905</f>
        <v>16</v>
      </c>
      <c r="G1905" s="24" t="n">
        <f aca="false">Test1_Hand!$B$6*E1905*D1905+Test1_Hand!$B$7*MAX(0,F1905-Test1_Hand!$B$5)</f>
        <v>0</v>
      </c>
      <c r="H1905" s="2" t="n">
        <f aca="false">IF(B1905&lt;Test1_Hand!$B$13,1,0)</f>
        <v>0</v>
      </c>
      <c r="I1905" s="23" t="n">
        <f aca="false">Test1_Hand!$B$4+H1905*D1905</f>
        <v>16</v>
      </c>
      <c r="J1905" s="24" t="n">
        <f aca="false">Test1_Hand!$B$6*H1905*D1905+Test1_Hand!$B$7*MAX(0,I1905-Test1_Hand!$B$5)+Test1_Hand!$B$14</f>
        <v>6000</v>
      </c>
    </row>
    <row r="1906" customFormat="false" ht="15" hidden="false" customHeight="false" outlineLevel="0" collapsed="false">
      <c r="A1906" s="2" t="n">
        <v>1894</v>
      </c>
      <c r="B1906" s="22" t="n">
        <v>0.743762257441806</v>
      </c>
      <c r="C1906" s="22" t="n">
        <v>0.428286576536277</v>
      </c>
      <c r="D1906" s="23" t="n">
        <f aca="false">BETAINV(C1906,Test1_Hand!$B$21,Test1_Hand!$B$22,Test1_Hand!$B$9,Test1_Hand!$B$11)</f>
        <v>3.13300685237666</v>
      </c>
      <c r="E1906" s="2" t="n">
        <f aca="false">IF(B1906&lt;Test1_Hand!$B$12,1,0)</f>
        <v>0</v>
      </c>
      <c r="F1906" s="23" t="n">
        <f aca="false">Test1_Hand!$B$4+E1906*D1906</f>
        <v>16</v>
      </c>
      <c r="G1906" s="24" t="n">
        <f aca="false">Test1_Hand!$B$6*E1906*D1906+Test1_Hand!$B$7*MAX(0,F1906-Test1_Hand!$B$5)</f>
        <v>0</v>
      </c>
      <c r="H1906" s="2" t="n">
        <f aca="false">IF(B1906&lt;Test1_Hand!$B$13,1,0)</f>
        <v>0</v>
      </c>
      <c r="I1906" s="23" t="n">
        <f aca="false">Test1_Hand!$B$4+H1906*D1906</f>
        <v>16</v>
      </c>
      <c r="J1906" s="24" t="n">
        <f aca="false">Test1_Hand!$B$6*H1906*D1906+Test1_Hand!$B$7*MAX(0,I1906-Test1_Hand!$B$5)+Test1_Hand!$B$14</f>
        <v>6000</v>
      </c>
    </row>
    <row r="1907" customFormat="false" ht="15" hidden="false" customHeight="false" outlineLevel="0" collapsed="false">
      <c r="A1907" s="2" t="n">
        <v>1895</v>
      </c>
      <c r="B1907" s="22" t="n">
        <v>0.888738524864169</v>
      </c>
      <c r="C1907" s="22" t="n">
        <v>0.63795464503084</v>
      </c>
      <c r="D1907" s="23" t="n">
        <f aca="false">BETAINV(C1907,Test1_Hand!$B$21,Test1_Hand!$B$22,Test1_Hand!$B$9,Test1_Hand!$B$11)</f>
        <v>3.89391347787675</v>
      </c>
      <c r="E1907" s="2" t="n">
        <f aca="false">IF(B1907&lt;Test1_Hand!$B$12,1,0)</f>
        <v>0</v>
      </c>
      <c r="F1907" s="23" t="n">
        <f aca="false">Test1_Hand!$B$4+E1907*D1907</f>
        <v>16</v>
      </c>
      <c r="G1907" s="24" t="n">
        <f aca="false">Test1_Hand!$B$6*E1907*D1907+Test1_Hand!$B$7*MAX(0,F1907-Test1_Hand!$B$5)</f>
        <v>0</v>
      </c>
      <c r="H1907" s="2" t="n">
        <f aca="false">IF(B1907&lt;Test1_Hand!$B$13,1,0)</f>
        <v>0</v>
      </c>
      <c r="I1907" s="23" t="n">
        <f aca="false">Test1_Hand!$B$4+H1907*D1907</f>
        <v>16</v>
      </c>
      <c r="J1907" s="24" t="n">
        <f aca="false">Test1_Hand!$B$6*H1907*D1907+Test1_Hand!$B$7*MAX(0,I1907-Test1_Hand!$B$5)+Test1_Hand!$B$14</f>
        <v>6000</v>
      </c>
    </row>
    <row r="1908" customFormat="false" ht="15" hidden="false" customHeight="false" outlineLevel="0" collapsed="false">
      <c r="A1908" s="2" t="n">
        <v>1896</v>
      </c>
      <c r="B1908" s="22" t="n">
        <v>0.593106229452381</v>
      </c>
      <c r="C1908" s="22" t="n">
        <v>0.689922192856995</v>
      </c>
      <c r="D1908" s="23" t="n">
        <f aca="false">BETAINV(C1908,Test1_Hand!$B$21,Test1_Hand!$B$22,Test1_Hand!$B$9,Test1_Hand!$B$11)</f>
        <v>4.10636925403969</v>
      </c>
      <c r="E1908" s="2" t="n">
        <f aca="false">IF(B1908&lt;Test1_Hand!$B$12,1,0)</f>
        <v>0</v>
      </c>
      <c r="F1908" s="23" t="n">
        <f aca="false">Test1_Hand!$B$4+E1908*D1908</f>
        <v>16</v>
      </c>
      <c r="G1908" s="24" t="n">
        <f aca="false">Test1_Hand!$B$6*E1908*D1908+Test1_Hand!$B$7*MAX(0,F1908-Test1_Hand!$B$5)</f>
        <v>0</v>
      </c>
      <c r="H1908" s="2" t="n">
        <f aca="false">IF(B1908&lt;Test1_Hand!$B$13,1,0)</f>
        <v>0</v>
      </c>
      <c r="I1908" s="23" t="n">
        <f aca="false">Test1_Hand!$B$4+H1908*D1908</f>
        <v>16</v>
      </c>
      <c r="J1908" s="24" t="n">
        <f aca="false">Test1_Hand!$B$6*H1908*D1908+Test1_Hand!$B$7*MAX(0,I1908-Test1_Hand!$B$5)+Test1_Hand!$B$14</f>
        <v>6000</v>
      </c>
    </row>
    <row r="1909" customFormat="false" ht="15" hidden="false" customHeight="false" outlineLevel="0" collapsed="false">
      <c r="A1909" s="2" t="n">
        <v>1897</v>
      </c>
      <c r="B1909" s="22" t="n">
        <v>0.307279873808159</v>
      </c>
      <c r="C1909" s="22" t="n">
        <v>0.631906644873625</v>
      </c>
      <c r="D1909" s="23" t="n">
        <f aca="false">BETAINV(C1909,Test1_Hand!$B$21,Test1_Hand!$B$22,Test1_Hand!$B$9,Test1_Hand!$B$11)</f>
        <v>3.87010050969171</v>
      </c>
      <c r="E1909" s="2" t="n">
        <f aca="false">IF(B1909&lt;Test1_Hand!$B$12,1,0)</f>
        <v>1</v>
      </c>
      <c r="F1909" s="23" t="n">
        <f aca="false">Test1_Hand!$B$4+E1909*D1909</f>
        <v>19.8701005096917</v>
      </c>
      <c r="G1909" s="24" t="n">
        <f aca="false">Test1_Hand!$B$6*E1909*D1909+Test1_Hand!$B$7*MAX(0,F1909-Test1_Hand!$B$5)</f>
        <v>30960.8040775337</v>
      </c>
      <c r="H1909" s="2" t="n">
        <f aca="false">IF(B1909&lt;Test1_Hand!$B$13,1,0)</f>
        <v>0</v>
      </c>
      <c r="I1909" s="23" t="n">
        <f aca="false">Test1_Hand!$B$4+H1909*D1909</f>
        <v>16</v>
      </c>
      <c r="J1909" s="24" t="n">
        <f aca="false">Test1_Hand!$B$6*H1909*D1909+Test1_Hand!$B$7*MAX(0,I1909-Test1_Hand!$B$5)+Test1_Hand!$B$14</f>
        <v>6000</v>
      </c>
    </row>
    <row r="1910" customFormat="false" ht="15" hidden="false" customHeight="false" outlineLevel="0" collapsed="false">
      <c r="A1910" s="2" t="n">
        <v>1898</v>
      </c>
      <c r="B1910" s="22" t="n">
        <v>0.312623924208432</v>
      </c>
      <c r="C1910" s="22" t="n">
        <v>0.876403197116368</v>
      </c>
      <c r="D1910" s="23" t="n">
        <f aca="false">BETAINV(C1910,Test1_Hand!$B$21,Test1_Hand!$B$22,Test1_Hand!$B$9,Test1_Hand!$B$11)</f>
        <v>5.09315077757988</v>
      </c>
      <c r="E1910" s="2" t="n">
        <f aca="false">IF(B1910&lt;Test1_Hand!$B$12,1,0)</f>
        <v>1</v>
      </c>
      <c r="F1910" s="23" t="n">
        <f aca="false">Test1_Hand!$B$4+E1910*D1910</f>
        <v>21.0931507775799</v>
      </c>
      <c r="G1910" s="24" t="n">
        <f aca="false">Test1_Hand!$B$6*E1910*D1910+Test1_Hand!$B$7*MAX(0,F1910-Test1_Hand!$B$5)</f>
        <v>46210.9601085385</v>
      </c>
      <c r="H1910" s="2" t="n">
        <f aca="false">IF(B1910&lt;Test1_Hand!$B$13,1,0)</f>
        <v>0</v>
      </c>
      <c r="I1910" s="23" t="n">
        <f aca="false">Test1_Hand!$B$4+H1910*D1910</f>
        <v>16</v>
      </c>
      <c r="J1910" s="24" t="n">
        <f aca="false">Test1_Hand!$B$6*H1910*D1910+Test1_Hand!$B$7*MAX(0,I1910-Test1_Hand!$B$5)+Test1_Hand!$B$14</f>
        <v>6000</v>
      </c>
    </row>
    <row r="1911" customFormat="false" ht="15" hidden="false" customHeight="false" outlineLevel="0" collapsed="false">
      <c r="A1911" s="2" t="n">
        <v>1899</v>
      </c>
      <c r="B1911" s="22" t="n">
        <v>0.115469960184993</v>
      </c>
      <c r="C1911" s="22" t="n">
        <v>0.436846158401132</v>
      </c>
      <c r="D1911" s="23" t="n">
        <f aca="false">BETAINV(C1911,Test1_Hand!$B$21,Test1_Hand!$B$22,Test1_Hand!$B$9,Test1_Hand!$B$11)</f>
        <v>3.16252036429106</v>
      </c>
      <c r="E1911" s="2" t="n">
        <f aca="false">IF(B1911&lt;Test1_Hand!$B$12,1,0)</f>
        <v>1</v>
      </c>
      <c r="F1911" s="23" t="n">
        <f aca="false">Test1_Hand!$B$4+E1911*D1911</f>
        <v>19.1625203642911</v>
      </c>
      <c r="G1911" s="24" t="n">
        <f aca="false">Test1_Hand!$B$6*E1911*D1911+Test1_Hand!$B$7*MAX(0,F1911-Test1_Hand!$B$5)</f>
        <v>25300.1629143284</v>
      </c>
      <c r="H1911" s="2" t="n">
        <f aca="false">IF(B1911&lt;Test1_Hand!$B$13,1,0)</f>
        <v>1</v>
      </c>
      <c r="I1911" s="23" t="n">
        <f aca="false">Test1_Hand!$B$4+H1911*D1911</f>
        <v>19.1625203642911</v>
      </c>
      <c r="J1911" s="24" t="n">
        <f aca="false">Test1_Hand!$B$6*H1911*D1911+Test1_Hand!$B$7*MAX(0,I1911-Test1_Hand!$B$5)+Test1_Hand!$B$14</f>
        <v>31300.1629143284</v>
      </c>
    </row>
    <row r="1912" customFormat="false" ht="15" hidden="false" customHeight="false" outlineLevel="0" collapsed="false">
      <c r="A1912" s="2" t="n">
        <v>1900</v>
      </c>
      <c r="B1912" s="22" t="n">
        <v>0.56049270049268</v>
      </c>
      <c r="C1912" s="22" t="n">
        <v>0.69493474838628</v>
      </c>
      <c r="D1912" s="23" t="n">
        <f aca="false">BETAINV(C1912,Test1_Hand!$B$21,Test1_Hand!$B$22,Test1_Hand!$B$9,Test1_Hand!$B$11)</f>
        <v>4.12771301779938</v>
      </c>
      <c r="E1912" s="2" t="n">
        <f aca="false">IF(B1912&lt;Test1_Hand!$B$12,1,0)</f>
        <v>0</v>
      </c>
      <c r="F1912" s="23" t="n">
        <f aca="false">Test1_Hand!$B$4+E1912*D1912</f>
        <v>16</v>
      </c>
      <c r="G1912" s="24" t="n">
        <f aca="false">Test1_Hand!$B$6*E1912*D1912+Test1_Hand!$B$7*MAX(0,F1912-Test1_Hand!$B$5)</f>
        <v>0</v>
      </c>
      <c r="H1912" s="2" t="n">
        <f aca="false">IF(B1912&lt;Test1_Hand!$B$13,1,0)</f>
        <v>0</v>
      </c>
      <c r="I1912" s="23" t="n">
        <f aca="false">Test1_Hand!$B$4+H1912*D1912</f>
        <v>16</v>
      </c>
      <c r="J1912" s="24" t="n">
        <f aca="false">Test1_Hand!$B$6*H1912*D1912+Test1_Hand!$B$7*MAX(0,I1912-Test1_Hand!$B$5)+Test1_Hand!$B$14</f>
        <v>6000</v>
      </c>
    </row>
    <row r="1913" customFormat="false" ht="15" hidden="false" customHeight="false" outlineLevel="0" collapsed="false">
      <c r="A1913" s="2" t="n">
        <v>1901</v>
      </c>
      <c r="B1913" s="22" t="n">
        <v>0.246145593067307</v>
      </c>
      <c r="C1913" s="22" t="n">
        <v>0.0056420654796383</v>
      </c>
      <c r="D1913" s="23" t="n">
        <f aca="false">BETAINV(C1913,Test1_Hand!$B$21,Test1_Hand!$B$22,Test1_Hand!$B$9,Test1_Hand!$B$11)</f>
        <v>1.21532505747469</v>
      </c>
      <c r="E1913" s="2" t="n">
        <f aca="false">IF(B1913&lt;Test1_Hand!$B$12,1,0)</f>
        <v>1</v>
      </c>
      <c r="F1913" s="23" t="n">
        <f aca="false">Test1_Hand!$B$4+E1913*D1913</f>
        <v>17.2153250574747</v>
      </c>
      <c r="G1913" s="24" t="n">
        <f aca="false">Test1_Hand!$B$6*E1913*D1913+Test1_Hand!$B$7*MAX(0,F1913-Test1_Hand!$B$5)</f>
        <v>9722.60045979754</v>
      </c>
      <c r="H1913" s="2" t="n">
        <f aca="false">IF(B1913&lt;Test1_Hand!$B$13,1,0)</f>
        <v>0</v>
      </c>
      <c r="I1913" s="23" t="n">
        <f aca="false">Test1_Hand!$B$4+H1913*D1913</f>
        <v>16</v>
      </c>
      <c r="J1913" s="24" t="n">
        <f aca="false">Test1_Hand!$B$6*H1913*D1913+Test1_Hand!$B$7*MAX(0,I1913-Test1_Hand!$B$5)+Test1_Hand!$B$14</f>
        <v>6000</v>
      </c>
    </row>
    <row r="1914" customFormat="false" ht="15" hidden="false" customHeight="false" outlineLevel="0" collapsed="false">
      <c r="A1914" s="2" t="n">
        <v>1902</v>
      </c>
      <c r="B1914" s="22" t="n">
        <v>0.846293196870657</v>
      </c>
      <c r="C1914" s="22" t="n">
        <v>0.00117495243838672</v>
      </c>
      <c r="D1914" s="23" t="n">
        <f aca="false">BETAINV(C1914,Test1_Hand!$B$21,Test1_Hand!$B$22,Test1_Hand!$B$9,Test1_Hand!$B$11)</f>
        <v>1.10200690189993</v>
      </c>
      <c r="E1914" s="2" t="n">
        <f aca="false">IF(B1914&lt;Test1_Hand!$B$12,1,0)</f>
        <v>0</v>
      </c>
      <c r="F1914" s="23" t="n">
        <f aca="false">Test1_Hand!$B$4+E1914*D1914</f>
        <v>16</v>
      </c>
      <c r="G1914" s="24" t="n">
        <f aca="false">Test1_Hand!$B$6*E1914*D1914+Test1_Hand!$B$7*MAX(0,F1914-Test1_Hand!$B$5)</f>
        <v>0</v>
      </c>
      <c r="H1914" s="2" t="n">
        <f aca="false">IF(B1914&lt;Test1_Hand!$B$13,1,0)</f>
        <v>0</v>
      </c>
      <c r="I1914" s="23" t="n">
        <f aca="false">Test1_Hand!$B$4+H1914*D1914</f>
        <v>16</v>
      </c>
      <c r="J1914" s="24" t="n">
        <f aca="false">Test1_Hand!$B$6*H1914*D1914+Test1_Hand!$B$7*MAX(0,I1914-Test1_Hand!$B$5)+Test1_Hand!$B$14</f>
        <v>6000</v>
      </c>
    </row>
    <row r="1915" customFormat="false" ht="15" hidden="false" customHeight="false" outlineLevel="0" collapsed="false">
      <c r="A1915" s="2" t="n">
        <v>1903</v>
      </c>
      <c r="B1915" s="22" t="n">
        <v>0.26417320493007</v>
      </c>
      <c r="C1915" s="22" t="n">
        <v>0.676122509644979</v>
      </c>
      <c r="D1915" s="23" t="n">
        <f aca="false">BETAINV(C1915,Test1_Hand!$B$21,Test1_Hand!$B$22,Test1_Hand!$B$9,Test1_Hand!$B$11)</f>
        <v>4.0484476170223</v>
      </c>
      <c r="E1915" s="2" t="n">
        <f aca="false">IF(B1915&lt;Test1_Hand!$B$12,1,0)</f>
        <v>1</v>
      </c>
      <c r="F1915" s="23" t="n">
        <f aca="false">Test1_Hand!$B$4+E1915*D1915</f>
        <v>20.0484476170223</v>
      </c>
      <c r="G1915" s="24" t="n">
        <f aca="false">Test1_Hand!$B$6*E1915*D1915+Test1_Hand!$B$7*MAX(0,F1915-Test1_Hand!$B$5)</f>
        <v>32629.8190212899</v>
      </c>
      <c r="H1915" s="2" t="n">
        <f aca="false">IF(B1915&lt;Test1_Hand!$B$13,1,0)</f>
        <v>0</v>
      </c>
      <c r="I1915" s="23" t="n">
        <f aca="false">Test1_Hand!$B$4+H1915*D1915</f>
        <v>16</v>
      </c>
      <c r="J1915" s="24" t="n">
        <f aca="false">Test1_Hand!$B$6*H1915*D1915+Test1_Hand!$B$7*MAX(0,I1915-Test1_Hand!$B$5)+Test1_Hand!$B$14</f>
        <v>6000</v>
      </c>
    </row>
    <row r="1916" customFormat="false" ht="15" hidden="false" customHeight="false" outlineLevel="0" collapsed="false">
      <c r="A1916" s="2" t="n">
        <v>1904</v>
      </c>
      <c r="B1916" s="22" t="n">
        <v>0.0681921635530342</v>
      </c>
      <c r="C1916" s="22" t="n">
        <v>0.0757263096860967</v>
      </c>
      <c r="D1916" s="23" t="n">
        <f aca="false">BETAINV(C1916,Test1_Hand!$B$21,Test1_Hand!$B$22,Test1_Hand!$B$9,Test1_Hand!$B$11)</f>
        <v>1.78082161210788</v>
      </c>
      <c r="E1916" s="2" t="n">
        <f aca="false">IF(B1916&lt;Test1_Hand!$B$12,1,0)</f>
        <v>1</v>
      </c>
      <c r="F1916" s="23" t="n">
        <f aca="false">Test1_Hand!$B$4+E1916*D1916</f>
        <v>17.7808216121079</v>
      </c>
      <c r="G1916" s="24" t="n">
        <f aca="false">Test1_Hand!$B$6*E1916*D1916+Test1_Hand!$B$7*MAX(0,F1916-Test1_Hand!$B$5)</f>
        <v>14246.572896863</v>
      </c>
      <c r="H1916" s="2" t="n">
        <f aca="false">IF(B1916&lt;Test1_Hand!$B$13,1,0)</f>
        <v>1</v>
      </c>
      <c r="I1916" s="23" t="n">
        <f aca="false">Test1_Hand!$B$4+H1916*D1916</f>
        <v>17.7808216121079</v>
      </c>
      <c r="J1916" s="24" t="n">
        <f aca="false">Test1_Hand!$B$6*H1916*D1916+Test1_Hand!$B$7*MAX(0,I1916-Test1_Hand!$B$5)+Test1_Hand!$B$14</f>
        <v>20246.572896863</v>
      </c>
    </row>
    <row r="1917" customFormat="false" ht="15" hidden="false" customHeight="false" outlineLevel="0" collapsed="false">
      <c r="A1917" s="2" t="n">
        <v>1905</v>
      </c>
      <c r="B1917" s="22" t="n">
        <v>0.620413836797795</v>
      </c>
      <c r="C1917" s="22" t="n">
        <v>0.528506508192829</v>
      </c>
      <c r="D1917" s="23" t="n">
        <f aca="false">BETAINV(C1917,Test1_Hand!$B$21,Test1_Hand!$B$22,Test1_Hand!$B$9,Test1_Hand!$B$11)</f>
        <v>3.48394789175232</v>
      </c>
      <c r="E1917" s="2" t="n">
        <f aca="false">IF(B1917&lt;Test1_Hand!$B$12,1,0)</f>
        <v>0</v>
      </c>
      <c r="F1917" s="23" t="n">
        <f aca="false">Test1_Hand!$B$4+E1917*D1917</f>
        <v>16</v>
      </c>
      <c r="G1917" s="24" t="n">
        <f aca="false">Test1_Hand!$B$6*E1917*D1917+Test1_Hand!$B$7*MAX(0,F1917-Test1_Hand!$B$5)</f>
        <v>0</v>
      </c>
      <c r="H1917" s="2" t="n">
        <f aca="false">IF(B1917&lt;Test1_Hand!$B$13,1,0)</f>
        <v>0</v>
      </c>
      <c r="I1917" s="23" t="n">
        <f aca="false">Test1_Hand!$B$4+H1917*D1917</f>
        <v>16</v>
      </c>
      <c r="J1917" s="24" t="n">
        <f aca="false">Test1_Hand!$B$6*H1917*D1917+Test1_Hand!$B$7*MAX(0,I1917-Test1_Hand!$B$5)+Test1_Hand!$B$14</f>
        <v>6000</v>
      </c>
    </row>
    <row r="1918" customFormat="false" ht="15" hidden="false" customHeight="false" outlineLevel="0" collapsed="false">
      <c r="A1918" s="2" t="n">
        <v>1906</v>
      </c>
      <c r="B1918" s="22" t="n">
        <v>0.075861033011827</v>
      </c>
      <c r="C1918" s="22" t="n">
        <v>0.0915600671125212</v>
      </c>
      <c r="D1918" s="23" t="n">
        <f aca="false">BETAINV(C1918,Test1_Hand!$B$21,Test1_Hand!$B$22,Test1_Hand!$B$9,Test1_Hand!$B$11)</f>
        <v>1.8629100913673</v>
      </c>
      <c r="E1918" s="2" t="n">
        <f aca="false">IF(B1918&lt;Test1_Hand!$B$12,1,0)</f>
        <v>1</v>
      </c>
      <c r="F1918" s="23" t="n">
        <f aca="false">Test1_Hand!$B$4+E1918*D1918</f>
        <v>17.8629100913673</v>
      </c>
      <c r="G1918" s="24" t="n">
        <f aca="false">Test1_Hand!$B$6*E1918*D1918+Test1_Hand!$B$7*MAX(0,F1918-Test1_Hand!$B$5)</f>
        <v>14903.2807309384</v>
      </c>
      <c r="H1918" s="2" t="n">
        <f aca="false">IF(B1918&lt;Test1_Hand!$B$13,1,0)</f>
        <v>1</v>
      </c>
      <c r="I1918" s="23" t="n">
        <f aca="false">Test1_Hand!$B$4+H1918*D1918</f>
        <v>17.8629100913673</v>
      </c>
      <c r="J1918" s="24" t="n">
        <f aca="false">Test1_Hand!$B$6*H1918*D1918+Test1_Hand!$B$7*MAX(0,I1918-Test1_Hand!$B$5)+Test1_Hand!$B$14</f>
        <v>20903.2807309384</v>
      </c>
    </row>
    <row r="1919" customFormat="false" ht="15" hidden="false" customHeight="false" outlineLevel="0" collapsed="false">
      <c r="A1919" s="2" t="n">
        <v>1907</v>
      </c>
      <c r="B1919" s="22" t="n">
        <v>0.239451669823464</v>
      </c>
      <c r="C1919" s="22" t="n">
        <v>0.043601943531809</v>
      </c>
      <c r="D1919" s="23" t="n">
        <f aca="false">BETAINV(C1919,Test1_Hand!$B$21,Test1_Hand!$B$22,Test1_Hand!$B$9,Test1_Hand!$B$11)</f>
        <v>1.58775057327022</v>
      </c>
      <c r="E1919" s="2" t="n">
        <f aca="false">IF(B1919&lt;Test1_Hand!$B$12,1,0)</f>
        <v>1</v>
      </c>
      <c r="F1919" s="23" t="n">
        <f aca="false">Test1_Hand!$B$4+E1919*D1919</f>
        <v>17.5877505732702</v>
      </c>
      <c r="G1919" s="24" t="n">
        <f aca="false">Test1_Hand!$B$6*E1919*D1919+Test1_Hand!$B$7*MAX(0,F1919-Test1_Hand!$B$5)</f>
        <v>12702.0045861618</v>
      </c>
      <c r="H1919" s="2" t="n">
        <f aca="false">IF(B1919&lt;Test1_Hand!$B$13,1,0)</f>
        <v>0</v>
      </c>
      <c r="I1919" s="23" t="n">
        <f aca="false">Test1_Hand!$B$4+H1919*D1919</f>
        <v>16</v>
      </c>
      <c r="J1919" s="24" t="n">
        <f aca="false">Test1_Hand!$B$6*H1919*D1919+Test1_Hand!$B$7*MAX(0,I1919-Test1_Hand!$B$5)+Test1_Hand!$B$14</f>
        <v>6000</v>
      </c>
    </row>
    <row r="1920" customFormat="false" ht="15" hidden="false" customHeight="false" outlineLevel="0" collapsed="false">
      <c r="A1920" s="2" t="n">
        <v>1908</v>
      </c>
      <c r="B1920" s="22" t="n">
        <v>0.39483494191565</v>
      </c>
      <c r="C1920" s="22" t="n">
        <v>0.64224483217924</v>
      </c>
      <c r="D1920" s="23" t="n">
        <f aca="false">BETAINV(C1920,Test1_Hand!$B$21,Test1_Hand!$B$22,Test1_Hand!$B$9,Test1_Hand!$B$11)</f>
        <v>3.91090916699401</v>
      </c>
      <c r="E1920" s="2" t="n">
        <f aca="false">IF(B1920&lt;Test1_Hand!$B$12,1,0)</f>
        <v>1</v>
      </c>
      <c r="F1920" s="23" t="n">
        <f aca="false">Test1_Hand!$B$4+E1920*D1920</f>
        <v>19.910909166994</v>
      </c>
      <c r="G1920" s="24" t="n">
        <f aca="false">Test1_Hand!$B$6*E1920*D1920+Test1_Hand!$B$7*MAX(0,F1920-Test1_Hand!$B$5)</f>
        <v>31287.2733359521</v>
      </c>
      <c r="H1920" s="2" t="n">
        <f aca="false">IF(B1920&lt;Test1_Hand!$B$13,1,0)</f>
        <v>0</v>
      </c>
      <c r="I1920" s="23" t="n">
        <f aca="false">Test1_Hand!$B$4+H1920*D1920</f>
        <v>16</v>
      </c>
      <c r="J1920" s="24" t="n">
        <f aca="false">Test1_Hand!$B$6*H1920*D1920+Test1_Hand!$B$7*MAX(0,I1920-Test1_Hand!$B$5)+Test1_Hand!$B$14</f>
        <v>6000</v>
      </c>
    </row>
    <row r="1921" customFormat="false" ht="15" hidden="false" customHeight="false" outlineLevel="0" collapsed="false">
      <c r="A1921" s="2" t="n">
        <v>1909</v>
      </c>
      <c r="B1921" s="22" t="n">
        <v>0.902635962848302</v>
      </c>
      <c r="C1921" s="22" t="n">
        <v>0.360576667690757</v>
      </c>
      <c r="D1921" s="23" t="n">
        <f aca="false">BETAINV(C1921,Test1_Hand!$B$21,Test1_Hand!$B$22,Test1_Hand!$B$9,Test1_Hand!$B$11)</f>
        <v>2.90031410817051</v>
      </c>
      <c r="E1921" s="2" t="n">
        <f aca="false">IF(B1921&lt;Test1_Hand!$B$12,1,0)</f>
        <v>0</v>
      </c>
      <c r="F1921" s="23" t="n">
        <f aca="false">Test1_Hand!$B$4+E1921*D1921</f>
        <v>16</v>
      </c>
      <c r="G1921" s="24" t="n">
        <f aca="false">Test1_Hand!$B$6*E1921*D1921+Test1_Hand!$B$7*MAX(0,F1921-Test1_Hand!$B$5)</f>
        <v>0</v>
      </c>
      <c r="H1921" s="2" t="n">
        <f aca="false">IF(B1921&lt;Test1_Hand!$B$13,1,0)</f>
        <v>0</v>
      </c>
      <c r="I1921" s="23" t="n">
        <f aca="false">Test1_Hand!$B$4+H1921*D1921</f>
        <v>16</v>
      </c>
      <c r="J1921" s="24" t="n">
        <f aca="false">Test1_Hand!$B$6*H1921*D1921+Test1_Hand!$B$7*MAX(0,I1921-Test1_Hand!$B$5)+Test1_Hand!$B$14</f>
        <v>6000</v>
      </c>
    </row>
    <row r="1922" customFormat="false" ht="15" hidden="false" customHeight="false" outlineLevel="0" collapsed="false">
      <c r="A1922" s="2" t="n">
        <v>1910</v>
      </c>
      <c r="B1922" s="22" t="n">
        <v>0.849724110156223</v>
      </c>
      <c r="C1922" s="22" t="n">
        <v>0.0611795592592882</v>
      </c>
      <c r="D1922" s="23" t="n">
        <f aca="false">BETAINV(C1922,Test1_Hand!$B$21,Test1_Hand!$B$22,Test1_Hand!$B$9,Test1_Hand!$B$11)</f>
        <v>1.69892281712289</v>
      </c>
      <c r="E1922" s="2" t="n">
        <f aca="false">IF(B1922&lt;Test1_Hand!$B$12,1,0)</f>
        <v>0</v>
      </c>
      <c r="F1922" s="23" t="n">
        <f aca="false">Test1_Hand!$B$4+E1922*D1922</f>
        <v>16</v>
      </c>
      <c r="G1922" s="24" t="n">
        <f aca="false">Test1_Hand!$B$6*E1922*D1922+Test1_Hand!$B$7*MAX(0,F1922-Test1_Hand!$B$5)</f>
        <v>0</v>
      </c>
      <c r="H1922" s="2" t="n">
        <f aca="false">IF(B1922&lt;Test1_Hand!$B$13,1,0)</f>
        <v>0</v>
      </c>
      <c r="I1922" s="23" t="n">
        <f aca="false">Test1_Hand!$B$4+H1922*D1922</f>
        <v>16</v>
      </c>
      <c r="J1922" s="24" t="n">
        <f aca="false">Test1_Hand!$B$6*H1922*D1922+Test1_Hand!$B$7*MAX(0,I1922-Test1_Hand!$B$5)+Test1_Hand!$B$14</f>
        <v>6000</v>
      </c>
    </row>
    <row r="1923" customFormat="false" ht="15" hidden="false" customHeight="false" outlineLevel="0" collapsed="false">
      <c r="A1923" s="2" t="n">
        <v>1911</v>
      </c>
      <c r="B1923" s="22" t="n">
        <v>0.845533709133025</v>
      </c>
      <c r="C1923" s="22" t="n">
        <v>0.0313721910154211</v>
      </c>
      <c r="D1923" s="23" t="n">
        <f aca="false">BETAINV(C1923,Test1_Hand!$B$21,Test1_Hand!$B$22,Test1_Hand!$B$9,Test1_Hand!$B$11)</f>
        <v>1.49796316215631</v>
      </c>
      <c r="E1923" s="2" t="n">
        <f aca="false">IF(B1923&lt;Test1_Hand!$B$12,1,0)</f>
        <v>0</v>
      </c>
      <c r="F1923" s="23" t="n">
        <f aca="false">Test1_Hand!$B$4+E1923*D1923</f>
        <v>16</v>
      </c>
      <c r="G1923" s="24" t="n">
        <f aca="false">Test1_Hand!$B$6*E1923*D1923+Test1_Hand!$B$7*MAX(0,F1923-Test1_Hand!$B$5)</f>
        <v>0</v>
      </c>
      <c r="H1923" s="2" t="n">
        <f aca="false">IF(B1923&lt;Test1_Hand!$B$13,1,0)</f>
        <v>0</v>
      </c>
      <c r="I1923" s="23" t="n">
        <f aca="false">Test1_Hand!$B$4+H1923*D1923</f>
        <v>16</v>
      </c>
      <c r="J1923" s="24" t="n">
        <f aca="false">Test1_Hand!$B$6*H1923*D1923+Test1_Hand!$B$7*MAX(0,I1923-Test1_Hand!$B$5)+Test1_Hand!$B$14</f>
        <v>6000</v>
      </c>
    </row>
    <row r="1924" customFormat="false" ht="15" hidden="false" customHeight="false" outlineLevel="0" collapsed="false">
      <c r="A1924" s="2" t="n">
        <v>1912</v>
      </c>
      <c r="B1924" s="22" t="n">
        <v>0.768122830722471</v>
      </c>
      <c r="C1924" s="22" t="n">
        <v>0.652182907589458</v>
      </c>
      <c r="D1924" s="23" t="n">
        <f aca="false">BETAINV(C1924,Test1_Hand!$B$21,Test1_Hand!$B$22,Test1_Hand!$B$9,Test1_Hand!$B$11)</f>
        <v>3.9506247280991</v>
      </c>
      <c r="E1924" s="2" t="n">
        <f aca="false">IF(B1924&lt;Test1_Hand!$B$12,1,0)</f>
        <v>0</v>
      </c>
      <c r="F1924" s="23" t="n">
        <f aca="false">Test1_Hand!$B$4+E1924*D1924</f>
        <v>16</v>
      </c>
      <c r="G1924" s="24" t="n">
        <f aca="false">Test1_Hand!$B$6*E1924*D1924+Test1_Hand!$B$7*MAX(0,F1924-Test1_Hand!$B$5)</f>
        <v>0</v>
      </c>
      <c r="H1924" s="2" t="n">
        <f aca="false">IF(B1924&lt;Test1_Hand!$B$13,1,0)</f>
        <v>0</v>
      </c>
      <c r="I1924" s="23" t="n">
        <f aca="false">Test1_Hand!$B$4+H1924*D1924</f>
        <v>16</v>
      </c>
      <c r="J1924" s="24" t="n">
        <f aca="false">Test1_Hand!$B$6*H1924*D1924+Test1_Hand!$B$7*MAX(0,I1924-Test1_Hand!$B$5)+Test1_Hand!$B$14</f>
        <v>6000</v>
      </c>
    </row>
    <row r="1925" customFormat="false" ht="15" hidden="false" customHeight="false" outlineLevel="0" collapsed="false">
      <c r="A1925" s="2" t="n">
        <v>1913</v>
      </c>
      <c r="B1925" s="22" t="n">
        <v>0.201266669131306</v>
      </c>
      <c r="C1925" s="22" t="n">
        <v>0.204832405948473</v>
      </c>
      <c r="D1925" s="23" t="n">
        <f aca="false">BETAINV(C1925,Test1_Hand!$B$21,Test1_Hand!$B$22,Test1_Hand!$B$9,Test1_Hand!$B$11)</f>
        <v>2.34513463075027</v>
      </c>
      <c r="E1925" s="2" t="n">
        <f aca="false">IF(B1925&lt;Test1_Hand!$B$12,1,0)</f>
        <v>1</v>
      </c>
      <c r="F1925" s="23" t="n">
        <f aca="false">Test1_Hand!$B$4+E1925*D1925</f>
        <v>18.3451346307503</v>
      </c>
      <c r="G1925" s="24" t="n">
        <f aca="false">Test1_Hand!$B$6*E1925*D1925+Test1_Hand!$B$7*MAX(0,F1925-Test1_Hand!$B$5)</f>
        <v>18761.0770460021</v>
      </c>
      <c r="H1925" s="2" t="n">
        <f aca="false">IF(B1925&lt;Test1_Hand!$B$13,1,0)</f>
        <v>0</v>
      </c>
      <c r="I1925" s="23" t="n">
        <f aca="false">Test1_Hand!$B$4+H1925*D1925</f>
        <v>16</v>
      </c>
      <c r="J1925" s="24" t="n">
        <f aca="false">Test1_Hand!$B$6*H1925*D1925+Test1_Hand!$B$7*MAX(0,I1925-Test1_Hand!$B$5)+Test1_Hand!$B$14</f>
        <v>6000</v>
      </c>
    </row>
    <row r="1926" customFormat="false" ht="15" hidden="false" customHeight="false" outlineLevel="0" collapsed="false">
      <c r="A1926" s="2" t="n">
        <v>1914</v>
      </c>
      <c r="B1926" s="22" t="n">
        <v>0.979125167384352</v>
      </c>
      <c r="C1926" s="22" t="n">
        <v>0.503375915282215</v>
      </c>
      <c r="D1926" s="23" t="n">
        <f aca="false">BETAINV(C1926,Test1_Hand!$B$21,Test1_Hand!$B$22,Test1_Hand!$B$9,Test1_Hand!$B$11)</f>
        <v>3.39451117658732</v>
      </c>
      <c r="E1926" s="2" t="n">
        <f aca="false">IF(B1926&lt;Test1_Hand!$B$12,1,0)</f>
        <v>0</v>
      </c>
      <c r="F1926" s="23" t="n">
        <f aca="false">Test1_Hand!$B$4+E1926*D1926</f>
        <v>16</v>
      </c>
      <c r="G1926" s="24" t="n">
        <f aca="false">Test1_Hand!$B$6*E1926*D1926+Test1_Hand!$B$7*MAX(0,F1926-Test1_Hand!$B$5)</f>
        <v>0</v>
      </c>
      <c r="H1926" s="2" t="n">
        <f aca="false">IF(B1926&lt;Test1_Hand!$B$13,1,0)</f>
        <v>0</v>
      </c>
      <c r="I1926" s="23" t="n">
        <f aca="false">Test1_Hand!$B$4+H1926*D1926</f>
        <v>16</v>
      </c>
      <c r="J1926" s="24" t="n">
        <f aca="false">Test1_Hand!$B$6*H1926*D1926+Test1_Hand!$B$7*MAX(0,I1926-Test1_Hand!$B$5)+Test1_Hand!$B$14</f>
        <v>6000</v>
      </c>
    </row>
    <row r="1927" customFormat="false" ht="15" hidden="false" customHeight="false" outlineLevel="0" collapsed="false">
      <c r="A1927" s="2" t="n">
        <v>1915</v>
      </c>
      <c r="B1927" s="22" t="n">
        <v>0.750391495246833</v>
      </c>
      <c r="C1927" s="22" t="n">
        <v>0.139102282439013</v>
      </c>
      <c r="D1927" s="23" t="n">
        <f aca="false">BETAINV(C1927,Test1_Hand!$B$21,Test1_Hand!$B$22,Test1_Hand!$B$9,Test1_Hand!$B$11)</f>
        <v>2.08145972752007</v>
      </c>
      <c r="E1927" s="2" t="n">
        <f aca="false">IF(B1927&lt;Test1_Hand!$B$12,1,0)</f>
        <v>0</v>
      </c>
      <c r="F1927" s="23" t="n">
        <f aca="false">Test1_Hand!$B$4+E1927*D1927</f>
        <v>16</v>
      </c>
      <c r="G1927" s="24" t="n">
        <f aca="false">Test1_Hand!$B$6*E1927*D1927+Test1_Hand!$B$7*MAX(0,F1927-Test1_Hand!$B$5)</f>
        <v>0</v>
      </c>
      <c r="H1927" s="2" t="n">
        <f aca="false">IF(B1927&lt;Test1_Hand!$B$13,1,0)</f>
        <v>0</v>
      </c>
      <c r="I1927" s="23" t="n">
        <f aca="false">Test1_Hand!$B$4+H1927*D1927</f>
        <v>16</v>
      </c>
      <c r="J1927" s="24" t="n">
        <f aca="false">Test1_Hand!$B$6*H1927*D1927+Test1_Hand!$B$7*MAX(0,I1927-Test1_Hand!$B$5)+Test1_Hand!$B$14</f>
        <v>6000</v>
      </c>
    </row>
    <row r="1928" customFormat="false" ht="15" hidden="false" customHeight="false" outlineLevel="0" collapsed="false">
      <c r="A1928" s="2" t="n">
        <v>1916</v>
      </c>
      <c r="B1928" s="22" t="n">
        <v>0.553614476128791</v>
      </c>
      <c r="C1928" s="22" t="n">
        <v>0.537034523813254</v>
      </c>
      <c r="D1928" s="23" t="n">
        <f aca="false">BETAINV(C1928,Test1_Hand!$B$21,Test1_Hand!$B$22,Test1_Hand!$B$9,Test1_Hand!$B$11)</f>
        <v>3.51460257469692</v>
      </c>
      <c r="E1928" s="2" t="n">
        <f aca="false">IF(B1928&lt;Test1_Hand!$B$12,1,0)</f>
        <v>0</v>
      </c>
      <c r="F1928" s="23" t="n">
        <f aca="false">Test1_Hand!$B$4+E1928*D1928</f>
        <v>16</v>
      </c>
      <c r="G1928" s="24" t="n">
        <f aca="false">Test1_Hand!$B$6*E1928*D1928+Test1_Hand!$B$7*MAX(0,F1928-Test1_Hand!$B$5)</f>
        <v>0</v>
      </c>
      <c r="H1928" s="2" t="n">
        <f aca="false">IF(B1928&lt;Test1_Hand!$B$13,1,0)</f>
        <v>0</v>
      </c>
      <c r="I1928" s="23" t="n">
        <f aca="false">Test1_Hand!$B$4+H1928*D1928</f>
        <v>16</v>
      </c>
      <c r="J1928" s="24" t="n">
        <f aca="false">Test1_Hand!$B$6*H1928*D1928+Test1_Hand!$B$7*MAX(0,I1928-Test1_Hand!$B$5)+Test1_Hand!$B$14</f>
        <v>6000</v>
      </c>
    </row>
    <row r="1929" customFormat="false" ht="15" hidden="false" customHeight="false" outlineLevel="0" collapsed="false">
      <c r="A1929" s="2" t="n">
        <v>1917</v>
      </c>
      <c r="B1929" s="22" t="n">
        <v>0.131448256483999</v>
      </c>
      <c r="C1929" s="22" t="n">
        <v>0.471274518561016</v>
      </c>
      <c r="D1929" s="23" t="n">
        <f aca="false">BETAINV(C1929,Test1_Hand!$B$21,Test1_Hand!$B$22,Test1_Hand!$B$9,Test1_Hand!$B$11)</f>
        <v>3.28187555328327</v>
      </c>
      <c r="E1929" s="2" t="n">
        <f aca="false">IF(B1929&lt;Test1_Hand!$B$12,1,0)</f>
        <v>1</v>
      </c>
      <c r="F1929" s="23" t="n">
        <f aca="false">Test1_Hand!$B$4+E1929*D1929</f>
        <v>19.2818755532833</v>
      </c>
      <c r="G1929" s="24" t="n">
        <f aca="false">Test1_Hand!$B$6*E1929*D1929+Test1_Hand!$B$7*MAX(0,F1929-Test1_Hand!$B$5)</f>
        <v>26255.0044262661</v>
      </c>
      <c r="H1929" s="2" t="n">
        <f aca="false">IF(B1929&lt;Test1_Hand!$B$13,1,0)</f>
        <v>1</v>
      </c>
      <c r="I1929" s="23" t="n">
        <f aca="false">Test1_Hand!$B$4+H1929*D1929</f>
        <v>19.2818755532833</v>
      </c>
      <c r="J1929" s="24" t="n">
        <f aca="false">Test1_Hand!$B$6*H1929*D1929+Test1_Hand!$B$7*MAX(0,I1929-Test1_Hand!$B$5)+Test1_Hand!$B$14</f>
        <v>32255.0044262661</v>
      </c>
    </row>
    <row r="1930" customFormat="false" ht="15" hidden="false" customHeight="false" outlineLevel="0" collapsed="false">
      <c r="A1930" s="2" t="n">
        <v>1918</v>
      </c>
      <c r="B1930" s="22" t="n">
        <v>0.671734855142994</v>
      </c>
      <c r="C1930" s="22" t="n">
        <v>0.303709227348791</v>
      </c>
      <c r="D1930" s="23" t="n">
        <f aca="false">BETAINV(C1930,Test1_Hand!$B$21,Test1_Hand!$B$22,Test1_Hand!$B$9,Test1_Hand!$B$11)</f>
        <v>2.70331732601245</v>
      </c>
      <c r="E1930" s="2" t="n">
        <f aca="false">IF(B1930&lt;Test1_Hand!$B$12,1,0)</f>
        <v>0</v>
      </c>
      <c r="F1930" s="23" t="n">
        <f aca="false">Test1_Hand!$B$4+E1930*D1930</f>
        <v>16</v>
      </c>
      <c r="G1930" s="24" t="n">
        <f aca="false">Test1_Hand!$B$6*E1930*D1930+Test1_Hand!$B$7*MAX(0,F1930-Test1_Hand!$B$5)</f>
        <v>0</v>
      </c>
      <c r="H1930" s="2" t="n">
        <f aca="false">IF(B1930&lt;Test1_Hand!$B$13,1,0)</f>
        <v>0</v>
      </c>
      <c r="I1930" s="23" t="n">
        <f aca="false">Test1_Hand!$B$4+H1930*D1930</f>
        <v>16</v>
      </c>
      <c r="J1930" s="24" t="n">
        <f aca="false">Test1_Hand!$B$6*H1930*D1930+Test1_Hand!$B$7*MAX(0,I1930-Test1_Hand!$B$5)+Test1_Hand!$B$14</f>
        <v>6000</v>
      </c>
    </row>
    <row r="1931" customFormat="false" ht="15" hidden="false" customHeight="false" outlineLevel="0" collapsed="false">
      <c r="A1931" s="2" t="n">
        <v>1919</v>
      </c>
      <c r="B1931" s="22" t="n">
        <v>0.923341573969266</v>
      </c>
      <c r="C1931" s="22" t="n">
        <v>0.787469524950376</v>
      </c>
      <c r="D1931" s="23" t="n">
        <f aca="false">BETAINV(C1931,Test1_Hand!$B$21,Test1_Hand!$B$22,Test1_Hand!$B$9,Test1_Hand!$B$11)</f>
        <v>4.55997821210398</v>
      </c>
      <c r="E1931" s="2" t="n">
        <f aca="false">IF(B1931&lt;Test1_Hand!$B$12,1,0)</f>
        <v>0</v>
      </c>
      <c r="F1931" s="23" t="n">
        <f aca="false">Test1_Hand!$B$4+E1931*D1931</f>
        <v>16</v>
      </c>
      <c r="G1931" s="24" t="n">
        <f aca="false">Test1_Hand!$B$6*E1931*D1931+Test1_Hand!$B$7*MAX(0,F1931-Test1_Hand!$B$5)</f>
        <v>0</v>
      </c>
      <c r="H1931" s="2" t="n">
        <f aca="false">IF(B1931&lt;Test1_Hand!$B$13,1,0)</f>
        <v>0</v>
      </c>
      <c r="I1931" s="23" t="n">
        <f aca="false">Test1_Hand!$B$4+H1931*D1931</f>
        <v>16</v>
      </c>
      <c r="J1931" s="24" t="n">
        <f aca="false">Test1_Hand!$B$6*H1931*D1931+Test1_Hand!$B$7*MAX(0,I1931-Test1_Hand!$B$5)+Test1_Hand!$B$14</f>
        <v>6000</v>
      </c>
    </row>
    <row r="1932" customFormat="false" ht="15" hidden="false" customHeight="false" outlineLevel="0" collapsed="false">
      <c r="A1932" s="2" t="n">
        <v>1920</v>
      </c>
      <c r="B1932" s="22" t="n">
        <v>0.800599999059241</v>
      </c>
      <c r="C1932" s="22" t="n">
        <v>0.143678951195152</v>
      </c>
      <c r="D1932" s="23" t="n">
        <f aca="false">BETAINV(C1932,Test1_Hand!$B$21,Test1_Hand!$B$22,Test1_Hand!$B$9,Test1_Hand!$B$11)</f>
        <v>2.1009474221248</v>
      </c>
      <c r="E1932" s="2" t="n">
        <f aca="false">IF(B1932&lt;Test1_Hand!$B$12,1,0)</f>
        <v>0</v>
      </c>
      <c r="F1932" s="23" t="n">
        <f aca="false">Test1_Hand!$B$4+E1932*D1932</f>
        <v>16</v>
      </c>
      <c r="G1932" s="24" t="n">
        <f aca="false">Test1_Hand!$B$6*E1932*D1932+Test1_Hand!$B$7*MAX(0,F1932-Test1_Hand!$B$5)</f>
        <v>0</v>
      </c>
      <c r="H1932" s="2" t="n">
        <f aca="false">IF(B1932&lt;Test1_Hand!$B$13,1,0)</f>
        <v>0</v>
      </c>
      <c r="I1932" s="23" t="n">
        <f aca="false">Test1_Hand!$B$4+H1932*D1932</f>
        <v>16</v>
      </c>
      <c r="J1932" s="24" t="n">
        <f aca="false">Test1_Hand!$B$6*H1932*D1932+Test1_Hand!$B$7*MAX(0,I1932-Test1_Hand!$B$5)+Test1_Hand!$B$14</f>
        <v>6000</v>
      </c>
    </row>
    <row r="1933" customFormat="false" ht="15" hidden="false" customHeight="false" outlineLevel="0" collapsed="false">
      <c r="A1933" s="2" t="n">
        <v>1921</v>
      </c>
      <c r="B1933" s="22" t="n">
        <v>0.594577253412288</v>
      </c>
      <c r="C1933" s="22" t="n">
        <v>0.563977493397901</v>
      </c>
      <c r="D1933" s="23" t="n">
        <f aca="false">BETAINV(C1933,Test1_Hand!$B$21,Test1_Hand!$B$22,Test1_Hand!$B$9,Test1_Hand!$B$11)</f>
        <v>3.61263938874545</v>
      </c>
      <c r="E1933" s="2" t="n">
        <f aca="false">IF(B1933&lt;Test1_Hand!$B$12,1,0)</f>
        <v>0</v>
      </c>
      <c r="F1933" s="23" t="n">
        <f aca="false">Test1_Hand!$B$4+E1933*D1933</f>
        <v>16</v>
      </c>
      <c r="G1933" s="24" t="n">
        <f aca="false">Test1_Hand!$B$6*E1933*D1933+Test1_Hand!$B$7*MAX(0,F1933-Test1_Hand!$B$5)</f>
        <v>0</v>
      </c>
      <c r="H1933" s="2" t="n">
        <f aca="false">IF(B1933&lt;Test1_Hand!$B$13,1,0)</f>
        <v>0</v>
      </c>
      <c r="I1933" s="23" t="n">
        <f aca="false">Test1_Hand!$B$4+H1933*D1933</f>
        <v>16</v>
      </c>
      <c r="J1933" s="24" t="n">
        <f aca="false">Test1_Hand!$B$6*H1933*D1933+Test1_Hand!$B$7*MAX(0,I1933-Test1_Hand!$B$5)+Test1_Hand!$B$14</f>
        <v>6000</v>
      </c>
    </row>
    <row r="1934" customFormat="false" ht="15" hidden="false" customHeight="false" outlineLevel="0" collapsed="false">
      <c r="A1934" s="2" t="n">
        <v>1922</v>
      </c>
      <c r="B1934" s="22" t="n">
        <v>0.665450836738517</v>
      </c>
      <c r="C1934" s="22" t="n">
        <v>0.990962678230479</v>
      </c>
      <c r="D1934" s="23" t="n">
        <f aca="false">BETAINV(C1934,Test1_Hand!$B$21,Test1_Hand!$B$22,Test1_Hand!$B$9,Test1_Hand!$B$11)</f>
        <v>6.6215609413463</v>
      </c>
      <c r="E1934" s="2" t="n">
        <f aca="false">IF(B1934&lt;Test1_Hand!$B$12,1,0)</f>
        <v>0</v>
      </c>
      <c r="F1934" s="23" t="n">
        <f aca="false">Test1_Hand!$B$4+E1934*D1934</f>
        <v>16</v>
      </c>
      <c r="G1934" s="24" t="n">
        <f aca="false">Test1_Hand!$B$6*E1934*D1934+Test1_Hand!$B$7*MAX(0,F1934-Test1_Hand!$B$5)</f>
        <v>0</v>
      </c>
      <c r="H1934" s="2" t="n">
        <f aca="false">IF(B1934&lt;Test1_Hand!$B$13,1,0)</f>
        <v>0</v>
      </c>
      <c r="I1934" s="23" t="n">
        <f aca="false">Test1_Hand!$B$4+H1934*D1934</f>
        <v>16</v>
      </c>
      <c r="J1934" s="24" t="n">
        <f aca="false">Test1_Hand!$B$6*H1934*D1934+Test1_Hand!$B$7*MAX(0,I1934-Test1_Hand!$B$5)+Test1_Hand!$B$14</f>
        <v>6000</v>
      </c>
    </row>
    <row r="1935" customFormat="false" ht="15" hidden="false" customHeight="false" outlineLevel="0" collapsed="false">
      <c r="A1935" s="2" t="n">
        <v>1923</v>
      </c>
      <c r="B1935" s="22" t="n">
        <v>0.387381675793585</v>
      </c>
      <c r="C1935" s="22" t="n">
        <v>0.278373260066288</v>
      </c>
      <c r="D1935" s="23" t="n">
        <f aca="false">BETAINV(C1935,Test1_Hand!$B$21,Test1_Hand!$B$22,Test1_Hand!$B$9,Test1_Hand!$B$11)</f>
        <v>2.61409714700212</v>
      </c>
      <c r="E1935" s="2" t="n">
        <f aca="false">IF(B1935&lt;Test1_Hand!$B$12,1,0)</f>
        <v>1</v>
      </c>
      <c r="F1935" s="23" t="n">
        <f aca="false">Test1_Hand!$B$4+E1935*D1935</f>
        <v>18.6140971470021</v>
      </c>
      <c r="G1935" s="24" t="n">
        <f aca="false">Test1_Hand!$B$6*E1935*D1935+Test1_Hand!$B$7*MAX(0,F1935-Test1_Hand!$B$5)</f>
        <v>20912.777176017</v>
      </c>
      <c r="H1935" s="2" t="n">
        <f aca="false">IF(B1935&lt;Test1_Hand!$B$13,1,0)</f>
        <v>0</v>
      </c>
      <c r="I1935" s="23" t="n">
        <f aca="false">Test1_Hand!$B$4+H1935*D1935</f>
        <v>16</v>
      </c>
      <c r="J1935" s="24" t="n">
        <f aca="false">Test1_Hand!$B$6*H1935*D1935+Test1_Hand!$B$7*MAX(0,I1935-Test1_Hand!$B$5)+Test1_Hand!$B$14</f>
        <v>6000</v>
      </c>
    </row>
    <row r="1936" customFormat="false" ht="15" hidden="false" customHeight="false" outlineLevel="0" collapsed="false">
      <c r="A1936" s="2" t="n">
        <v>1924</v>
      </c>
      <c r="B1936" s="22" t="n">
        <v>0.292841695796868</v>
      </c>
      <c r="C1936" s="22" t="n">
        <v>0.00383691590715773</v>
      </c>
      <c r="D1936" s="23" t="n">
        <f aca="false">BETAINV(C1936,Test1_Hand!$B$21,Test1_Hand!$B$22,Test1_Hand!$B$9,Test1_Hand!$B$11)</f>
        <v>1.17900645908679</v>
      </c>
      <c r="E1936" s="2" t="n">
        <f aca="false">IF(B1936&lt;Test1_Hand!$B$12,1,0)</f>
        <v>1</v>
      </c>
      <c r="F1936" s="23" t="n">
        <f aca="false">Test1_Hand!$B$4+E1936*D1936</f>
        <v>17.1790064590868</v>
      </c>
      <c r="G1936" s="24" t="n">
        <f aca="false">Test1_Hand!$B$6*E1936*D1936+Test1_Hand!$B$7*MAX(0,F1936-Test1_Hand!$B$5)</f>
        <v>9432.05167269431</v>
      </c>
      <c r="H1936" s="2" t="n">
        <f aca="false">IF(B1936&lt;Test1_Hand!$B$13,1,0)</f>
        <v>0</v>
      </c>
      <c r="I1936" s="23" t="n">
        <f aca="false">Test1_Hand!$B$4+H1936*D1936</f>
        <v>16</v>
      </c>
      <c r="J1936" s="24" t="n">
        <f aca="false">Test1_Hand!$B$6*H1936*D1936+Test1_Hand!$B$7*MAX(0,I1936-Test1_Hand!$B$5)+Test1_Hand!$B$14</f>
        <v>6000</v>
      </c>
    </row>
    <row r="1937" customFormat="false" ht="15" hidden="false" customHeight="false" outlineLevel="0" collapsed="false">
      <c r="A1937" s="2" t="n">
        <v>1925</v>
      </c>
      <c r="B1937" s="22" t="n">
        <v>0.563691766617152</v>
      </c>
      <c r="C1937" s="22" t="n">
        <v>0.0104778176077199</v>
      </c>
      <c r="D1937" s="23" t="n">
        <f aca="false">BETAINV(C1937,Test1_Hand!$B$21,Test1_Hand!$B$22,Test1_Hand!$B$9,Test1_Hand!$B$11)</f>
        <v>1.29031027006953</v>
      </c>
      <c r="E1937" s="2" t="n">
        <f aca="false">IF(B1937&lt;Test1_Hand!$B$12,1,0)</f>
        <v>0</v>
      </c>
      <c r="F1937" s="23" t="n">
        <f aca="false">Test1_Hand!$B$4+E1937*D1937</f>
        <v>16</v>
      </c>
      <c r="G1937" s="24" t="n">
        <f aca="false">Test1_Hand!$B$6*E1937*D1937+Test1_Hand!$B$7*MAX(0,F1937-Test1_Hand!$B$5)</f>
        <v>0</v>
      </c>
      <c r="H1937" s="2" t="n">
        <f aca="false">IF(B1937&lt;Test1_Hand!$B$13,1,0)</f>
        <v>0</v>
      </c>
      <c r="I1937" s="23" t="n">
        <f aca="false">Test1_Hand!$B$4+H1937*D1937</f>
        <v>16</v>
      </c>
      <c r="J1937" s="24" t="n">
        <f aca="false">Test1_Hand!$B$6*H1937*D1937+Test1_Hand!$B$7*MAX(0,I1937-Test1_Hand!$B$5)+Test1_Hand!$B$14</f>
        <v>6000</v>
      </c>
    </row>
    <row r="1938" customFormat="false" ht="15" hidden="false" customHeight="false" outlineLevel="0" collapsed="false">
      <c r="A1938" s="2" t="n">
        <v>1926</v>
      </c>
      <c r="B1938" s="22" t="n">
        <v>0.555965589547571</v>
      </c>
      <c r="C1938" s="22" t="n">
        <v>0.219153107605323</v>
      </c>
      <c r="D1938" s="23" t="n">
        <f aca="false">BETAINV(C1938,Test1_Hand!$B$21,Test1_Hand!$B$22,Test1_Hand!$B$9,Test1_Hand!$B$11)</f>
        <v>2.3990788915732</v>
      </c>
      <c r="E1938" s="2" t="n">
        <f aca="false">IF(B1938&lt;Test1_Hand!$B$12,1,0)</f>
        <v>0</v>
      </c>
      <c r="F1938" s="23" t="n">
        <f aca="false">Test1_Hand!$B$4+E1938*D1938</f>
        <v>16</v>
      </c>
      <c r="G1938" s="24" t="n">
        <f aca="false">Test1_Hand!$B$6*E1938*D1938+Test1_Hand!$B$7*MAX(0,F1938-Test1_Hand!$B$5)</f>
        <v>0</v>
      </c>
      <c r="H1938" s="2" t="n">
        <f aca="false">IF(B1938&lt;Test1_Hand!$B$13,1,0)</f>
        <v>0</v>
      </c>
      <c r="I1938" s="23" t="n">
        <f aca="false">Test1_Hand!$B$4+H1938*D1938</f>
        <v>16</v>
      </c>
      <c r="J1938" s="24" t="n">
        <f aca="false">Test1_Hand!$B$6*H1938*D1938+Test1_Hand!$B$7*MAX(0,I1938-Test1_Hand!$B$5)+Test1_Hand!$B$14</f>
        <v>6000</v>
      </c>
    </row>
    <row r="1939" customFormat="false" ht="15" hidden="false" customHeight="false" outlineLevel="0" collapsed="false">
      <c r="A1939" s="2" t="n">
        <v>1927</v>
      </c>
      <c r="B1939" s="22" t="n">
        <v>0.942870481336847</v>
      </c>
      <c r="C1939" s="22" t="n">
        <v>0.845956754146871</v>
      </c>
      <c r="D1939" s="23" t="n">
        <f aca="false">BETAINV(C1939,Test1_Hand!$B$21,Test1_Hand!$B$22,Test1_Hand!$B$9,Test1_Hand!$B$11)</f>
        <v>4.89053249238879</v>
      </c>
      <c r="E1939" s="2" t="n">
        <f aca="false">IF(B1939&lt;Test1_Hand!$B$12,1,0)</f>
        <v>0</v>
      </c>
      <c r="F1939" s="23" t="n">
        <f aca="false">Test1_Hand!$B$4+E1939*D1939</f>
        <v>16</v>
      </c>
      <c r="G1939" s="24" t="n">
        <f aca="false">Test1_Hand!$B$6*E1939*D1939+Test1_Hand!$B$7*MAX(0,F1939-Test1_Hand!$B$5)</f>
        <v>0</v>
      </c>
      <c r="H1939" s="2" t="n">
        <f aca="false">IF(B1939&lt;Test1_Hand!$B$13,1,0)</f>
        <v>0</v>
      </c>
      <c r="I1939" s="23" t="n">
        <f aca="false">Test1_Hand!$B$4+H1939*D1939</f>
        <v>16</v>
      </c>
      <c r="J1939" s="24" t="n">
        <f aca="false">Test1_Hand!$B$6*H1939*D1939+Test1_Hand!$B$7*MAX(0,I1939-Test1_Hand!$B$5)+Test1_Hand!$B$14</f>
        <v>6000</v>
      </c>
    </row>
    <row r="1940" customFormat="false" ht="15" hidden="false" customHeight="false" outlineLevel="0" collapsed="false">
      <c r="A1940" s="2" t="n">
        <v>1928</v>
      </c>
      <c r="B1940" s="22" t="n">
        <v>0.869393562824384</v>
      </c>
      <c r="C1940" s="22" t="n">
        <v>0.0340752828212728</v>
      </c>
      <c r="D1940" s="23" t="n">
        <f aca="false">BETAINV(C1940,Test1_Hand!$B$21,Test1_Hand!$B$22,Test1_Hand!$B$9,Test1_Hand!$B$11)</f>
        <v>1.51901883305505</v>
      </c>
      <c r="E1940" s="2" t="n">
        <f aca="false">IF(B1940&lt;Test1_Hand!$B$12,1,0)</f>
        <v>0</v>
      </c>
      <c r="F1940" s="23" t="n">
        <f aca="false">Test1_Hand!$B$4+E1940*D1940</f>
        <v>16</v>
      </c>
      <c r="G1940" s="24" t="n">
        <f aca="false">Test1_Hand!$B$6*E1940*D1940+Test1_Hand!$B$7*MAX(0,F1940-Test1_Hand!$B$5)</f>
        <v>0</v>
      </c>
      <c r="H1940" s="2" t="n">
        <f aca="false">IF(B1940&lt;Test1_Hand!$B$13,1,0)</f>
        <v>0</v>
      </c>
      <c r="I1940" s="23" t="n">
        <f aca="false">Test1_Hand!$B$4+H1940*D1940</f>
        <v>16</v>
      </c>
      <c r="J1940" s="24" t="n">
        <f aca="false">Test1_Hand!$B$6*H1940*D1940+Test1_Hand!$B$7*MAX(0,I1940-Test1_Hand!$B$5)+Test1_Hand!$B$14</f>
        <v>6000</v>
      </c>
    </row>
    <row r="1941" customFormat="false" ht="15" hidden="false" customHeight="false" outlineLevel="0" collapsed="false">
      <c r="A1941" s="2" t="n">
        <v>1929</v>
      </c>
      <c r="B1941" s="22" t="n">
        <v>0.590653635450644</v>
      </c>
      <c r="C1941" s="22" t="n">
        <v>0.542673326514273</v>
      </c>
      <c r="D1941" s="23" t="n">
        <f aca="false">BETAINV(C1941,Test1_Hand!$B$21,Test1_Hand!$B$22,Test1_Hand!$B$9,Test1_Hand!$B$11)</f>
        <v>3.53496574984985</v>
      </c>
      <c r="E1941" s="2" t="n">
        <f aca="false">IF(B1941&lt;Test1_Hand!$B$12,1,0)</f>
        <v>0</v>
      </c>
      <c r="F1941" s="23" t="n">
        <f aca="false">Test1_Hand!$B$4+E1941*D1941</f>
        <v>16</v>
      </c>
      <c r="G1941" s="24" t="n">
        <f aca="false">Test1_Hand!$B$6*E1941*D1941+Test1_Hand!$B$7*MAX(0,F1941-Test1_Hand!$B$5)</f>
        <v>0</v>
      </c>
      <c r="H1941" s="2" t="n">
        <f aca="false">IF(B1941&lt;Test1_Hand!$B$13,1,0)</f>
        <v>0</v>
      </c>
      <c r="I1941" s="23" t="n">
        <f aca="false">Test1_Hand!$B$4+H1941*D1941</f>
        <v>16</v>
      </c>
      <c r="J1941" s="24" t="n">
        <f aca="false">Test1_Hand!$B$6*H1941*D1941+Test1_Hand!$B$7*MAX(0,I1941-Test1_Hand!$B$5)+Test1_Hand!$B$14</f>
        <v>6000</v>
      </c>
    </row>
    <row r="1942" customFormat="false" ht="15" hidden="false" customHeight="false" outlineLevel="0" collapsed="false">
      <c r="A1942" s="2" t="n">
        <v>1930</v>
      </c>
      <c r="B1942" s="22" t="n">
        <v>0.489552155443588</v>
      </c>
      <c r="C1942" s="22" t="n">
        <v>0.740266231610225</v>
      </c>
      <c r="D1942" s="23" t="n">
        <f aca="false">BETAINV(C1942,Test1_Hand!$B$21,Test1_Hand!$B$22,Test1_Hand!$B$9,Test1_Hand!$B$11)</f>
        <v>4.32927999174104</v>
      </c>
      <c r="E1942" s="2" t="n">
        <f aca="false">IF(B1942&lt;Test1_Hand!$B$12,1,0)</f>
        <v>1</v>
      </c>
      <c r="F1942" s="23" t="n">
        <f aca="false">Test1_Hand!$B$4+E1942*D1942</f>
        <v>20.329279991741</v>
      </c>
      <c r="G1942" s="24" t="n">
        <f aca="false">Test1_Hand!$B$6*E1942*D1942+Test1_Hand!$B$7*MAX(0,F1942-Test1_Hand!$B$5)</f>
        <v>36280.6398926335</v>
      </c>
      <c r="H1942" s="2" t="n">
        <f aca="false">IF(B1942&lt;Test1_Hand!$B$13,1,0)</f>
        <v>0</v>
      </c>
      <c r="I1942" s="23" t="n">
        <f aca="false">Test1_Hand!$B$4+H1942*D1942</f>
        <v>16</v>
      </c>
      <c r="J1942" s="24" t="n">
        <f aca="false">Test1_Hand!$B$6*H1942*D1942+Test1_Hand!$B$7*MAX(0,I1942-Test1_Hand!$B$5)+Test1_Hand!$B$14</f>
        <v>6000</v>
      </c>
    </row>
    <row r="1943" customFormat="false" ht="15" hidden="false" customHeight="false" outlineLevel="0" collapsed="false">
      <c r="A1943" s="2" t="n">
        <v>1931</v>
      </c>
      <c r="B1943" s="22" t="n">
        <v>0.415514117882785</v>
      </c>
      <c r="C1943" s="22" t="n">
        <v>0.900184658737396</v>
      </c>
      <c r="D1943" s="23" t="n">
        <f aca="false">BETAINV(C1943,Test1_Hand!$B$21,Test1_Hand!$B$22,Test1_Hand!$B$9,Test1_Hand!$B$11)</f>
        <v>5.27420824993091</v>
      </c>
      <c r="E1943" s="2" t="n">
        <f aca="false">IF(B1943&lt;Test1_Hand!$B$12,1,0)</f>
        <v>1</v>
      </c>
      <c r="F1943" s="23" t="n">
        <f aca="false">Test1_Hand!$B$4+E1943*D1943</f>
        <v>21.2742082499309</v>
      </c>
      <c r="G1943" s="24" t="n">
        <f aca="false">Test1_Hand!$B$6*E1943*D1943+Test1_Hand!$B$7*MAX(0,F1943-Test1_Hand!$B$5)</f>
        <v>48564.7072491018</v>
      </c>
      <c r="H1943" s="2" t="n">
        <f aca="false">IF(B1943&lt;Test1_Hand!$B$13,1,0)</f>
        <v>0</v>
      </c>
      <c r="I1943" s="23" t="n">
        <f aca="false">Test1_Hand!$B$4+H1943*D1943</f>
        <v>16</v>
      </c>
      <c r="J1943" s="24" t="n">
        <f aca="false">Test1_Hand!$B$6*H1943*D1943+Test1_Hand!$B$7*MAX(0,I1943-Test1_Hand!$B$5)+Test1_Hand!$B$14</f>
        <v>6000</v>
      </c>
    </row>
    <row r="1944" customFormat="false" ht="15" hidden="false" customHeight="false" outlineLevel="0" collapsed="false">
      <c r="A1944" s="2" t="n">
        <v>1932</v>
      </c>
      <c r="B1944" s="22" t="n">
        <v>0.384488252742577</v>
      </c>
      <c r="C1944" s="22" t="n">
        <v>0.264989013927668</v>
      </c>
      <c r="D1944" s="23" t="n">
        <f aca="false">BETAINV(C1944,Test1_Hand!$B$21,Test1_Hand!$B$22,Test1_Hand!$B$9,Test1_Hand!$B$11)</f>
        <v>2.5664116465763</v>
      </c>
      <c r="E1944" s="2" t="n">
        <f aca="false">IF(B1944&lt;Test1_Hand!$B$12,1,0)</f>
        <v>1</v>
      </c>
      <c r="F1944" s="23" t="n">
        <f aca="false">Test1_Hand!$B$4+E1944*D1944</f>
        <v>18.5664116465763</v>
      </c>
      <c r="G1944" s="24" t="n">
        <f aca="false">Test1_Hand!$B$6*E1944*D1944+Test1_Hand!$B$7*MAX(0,F1944-Test1_Hand!$B$5)</f>
        <v>20531.2931726104</v>
      </c>
      <c r="H1944" s="2" t="n">
        <f aca="false">IF(B1944&lt;Test1_Hand!$B$13,1,0)</f>
        <v>0</v>
      </c>
      <c r="I1944" s="23" t="n">
        <f aca="false">Test1_Hand!$B$4+H1944*D1944</f>
        <v>16</v>
      </c>
      <c r="J1944" s="24" t="n">
        <f aca="false">Test1_Hand!$B$6*H1944*D1944+Test1_Hand!$B$7*MAX(0,I1944-Test1_Hand!$B$5)+Test1_Hand!$B$14</f>
        <v>6000</v>
      </c>
    </row>
    <row r="1945" customFormat="false" ht="15" hidden="false" customHeight="false" outlineLevel="0" collapsed="false">
      <c r="A1945" s="2" t="n">
        <v>1933</v>
      </c>
      <c r="B1945" s="22" t="n">
        <v>0.134121481681469</v>
      </c>
      <c r="C1945" s="22" t="n">
        <v>0.532622046169906</v>
      </c>
      <c r="D1945" s="23" t="n">
        <f aca="false">BETAINV(C1945,Test1_Hand!$B$21,Test1_Hand!$B$22,Test1_Hand!$B$9,Test1_Hand!$B$11)</f>
        <v>3.49872072480857</v>
      </c>
      <c r="E1945" s="2" t="n">
        <f aca="false">IF(B1945&lt;Test1_Hand!$B$12,1,0)</f>
        <v>1</v>
      </c>
      <c r="F1945" s="23" t="n">
        <f aca="false">Test1_Hand!$B$4+E1945*D1945</f>
        <v>19.4987207248086</v>
      </c>
      <c r="G1945" s="24" t="n">
        <f aca="false">Test1_Hand!$B$6*E1945*D1945+Test1_Hand!$B$7*MAX(0,F1945-Test1_Hand!$B$5)</f>
        <v>27989.7657984686</v>
      </c>
      <c r="H1945" s="2" t="n">
        <f aca="false">IF(B1945&lt;Test1_Hand!$B$13,1,0)</f>
        <v>1</v>
      </c>
      <c r="I1945" s="23" t="n">
        <f aca="false">Test1_Hand!$B$4+H1945*D1945</f>
        <v>19.4987207248086</v>
      </c>
      <c r="J1945" s="24" t="n">
        <f aca="false">Test1_Hand!$B$6*H1945*D1945+Test1_Hand!$B$7*MAX(0,I1945-Test1_Hand!$B$5)+Test1_Hand!$B$14</f>
        <v>33989.7657984686</v>
      </c>
    </row>
    <row r="1946" customFormat="false" ht="15" hidden="false" customHeight="false" outlineLevel="0" collapsed="false">
      <c r="A1946" s="2" t="n">
        <v>1934</v>
      </c>
      <c r="B1946" s="22" t="n">
        <v>0.160508770696538</v>
      </c>
      <c r="C1946" s="22" t="n">
        <v>0.933174379287974</v>
      </c>
      <c r="D1946" s="23" t="n">
        <f aca="false">BETAINV(C1946,Test1_Hand!$B$21,Test1_Hand!$B$22,Test1_Hand!$B$9,Test1_Hand!$B$11)</f>
        <v>5.57863515773587</v>
      </c>
      <c r="E1946" s="2" t="n">
        <f aca="false">IF(B1946&lt;Test1_Hand!$B$12,1,0)</f>
        <v>1</v>
      </c>
      <c r="F1946" s="23" t="n">
        <f aca="false">Test1_Hand!$B$4+E1946*D1946</f>
        <v>21.5786351577359</v>
      </c>
      <c r="G1946" s="24" t="n">
        <f aca="false">Test1_Hand!$B$6*E1946*D1946+Test1_Hand!$B$7*MAX(0,F1946-Test1_Hand!$B$5)</f>
        <v>52522.2570505662</v>
      </c>
      <c r="H1946" s="2" t="n">
        <f aca="false">IF(B1946&lt;Test1_Hand!$B$13,1,0)</f>
        <v>1</v>
      </c>
      <c r="I1946" s="23" t="n">
        <f aca="false">Test1_Hand!$B$4+H1946*D1946</f>
        <v>21.5786351577359</v>
      </c>
      <c r="J1946" s="24" t="n">
        <f aca="false">Test1_Hand!$B$6*H1946*D1946+Test1_Hand!$B$7*MAX(0,I1946-Test1_Hand!$B$5)+Test1_Hand!$B$14</f>
        <v>58522.2570505662</v>
      </c>
    </row>
    <row r="1947" customFormat="false" ht="15" hidden="false" customHeight="false" outlineLevel="0" collapsed="false">
      <c r="A1947" s="2" t="n">
        <v>1935</v>
      </c>
      <c r="B1947" s="22" t="n">
        <v>0.568559716750727</v>
      </c>
      <c r="C1947" s="22" t="n">
        <v>0.5572510728266</v>
      </c>
      <c r="D1947" s="23" t="n">
        <f aca="false">BETAINV(C1947,Test1_Hand!$B$21,Test1_Hand!$B$22,Test1_Hand!$B$9,Test1_Hand!$B$11)</f>
        <v>3.58798275806884</v>
      </c>
      <c r="E1947" s="2" t="n">
        <f aca="false">IF(B1947&lt;Test1_Hand!$B$12,1,0)</f>
        <v>0</v>
      </c>
      <c r="F1947" s="23" t="n">
        <f aca="false">Test1_Hand!$B$4+E1947*D1947</f>
        <v>16</v>
      </c>
      <c r="G1947" s="24" t="n">
        <f aca="false">Test1_Hand!$B$6*E1947*D1947+Test1_Hand!$B$7*MAX(0,F1947-Test1_Hand!$B$5)</f>
        <v>0</v>
      </c>
      <c r="H1947" s="2" t="n">
        <f aca="false">IF(B1947&lt;Test1_Hand!$B$13,1,0)</f>
        <v>0</v>
      </c>
      <c r="I1947" s="23" t="n">
        <f aca="false">Test1_Hand!$B$4+H1947*D1947</f>
        <v>16</v>
      </c>
      <c r="J1947" s="24" t="n">
        <f aca="false">Test1_Hand!$B$6*H1947*D1947+Test1_Hand!$B$7*MAX(0,I1947-Test1_Hand!$B$5)+Test1_Hand!$B$14</f>
        <v>6000</v>
      </c>
    </row>
    <row r="1948" customFormat="false" ht="15" hidden="false" customHeight="false" outlineLevel="0" collapsed="false">
      <c r="A1948" s="2" t="n">
        <v>1936</v>
      </c>
      <c r="B1948" s="22" t="n">
        <v>0.770929433932028</v>
      </c>
      <c r="C1948" s="22" t="n">
        <v>0.623361331101676</v>
      </c>
      <c r="D1948" s="23" t="n">
        <f aca="false">BETAINV(C1948,Test1_Hand!$B$21,Test1_Hand!$B$22,Test1_Hand!$B$9,Test1_Hand!$B$11)</f>
        <v>3.83673517960452</v>
      </c>
      <c r="E1948" s="2" t="n">
        <f aca="false">IF(B1948&lt;Test1_Hand!$B$12,1,0)</f>
        <v>0</v>
      </c>
      <c r="F1948" s="23" t="n">
        <f aca="false">Test1_Hand!$B$4+E1948*D1948</f>
        <v>16</v>
      </c>
      <c r="G1948" s="24" t="n">
        <f aca="false">Test1_Hand!$B$6*E1948*D1948+Test1_Hand!$B$7*MAX(0,F1948-Test1_Hand!$B$5)</f>
        <v>0</v>
      </c>
      <c r="H1948" s="2" t="n">
        <f aca="false">IF(B1948&lt;Test1_Hand!$B$13,1,0)</f>
        <v>0</v>
      </c>
      <c r="I1948" s="23" t="n">
        <f aca="false">Test1_Hand!$B$4+H1948*D1948</f>
        <v>16</v>
      </c>
      <c r="J1948" s="24" t="n">
        <f aca="false">Test1_Hand!$B$6*H1948*D1948+Test1_Hand!$B$7*MAX(0,I1948-Test1_Hand!$B$5)+Test1_Hand!$B$14</f>
        <v>6000</v>
      </c>
    </row>
    <row r="1949" customFormat="false" ht="15" hidden="false" customHeight="false" outlineLevel="0" collapsed="false">
      <c r="A1949" s="2" t="n">
        <v>1937</v>
      </c>
      <c r="B1949" s="22" t="n">
        <v>0.0676017093455583</v>
      </c>
      <c r="C1949" s="22" t="n">
        <v>0.558971037677556</v>
      </c>
      <c r="D1949" s="23" t="n">
        <f aca="false">BETAINV(C1949,Test1_Hand!$B$21,Test1_Hand!$B$22,Test1_Hand!$B$9,Test1_Hand!$B$11)</f>
        <v>3.59427543321499</v>
      </c>
      <c r="E1949" s="2" t="n">
        <f aca="false">IF(B1949&lt;Test1_Hand!$B$12,1,0)</f>
        <v>1</v>
      </c>
      <c r="F1949" s="23" t="n">
        <f aca="false">Test1_Hand!$B$4+E1949*D1949</f>
        <v>19.594275433215</v>
      </c>
      <c r="G1949" s="24" t="n">
        <f aca="false">Test1_Hand!$B$6*E1949*D1949+Test1_Hand!$B$7*MAX(0,F1949-Test1_Hand!$B$5)</f>
        <v>28754.2034657199</v>
      </c>
      <c r="H1949" s="2" t="n">
        <f aca="false">IF(B1949&lt;Test1_Hand!$B$13,1,0)</f>
        <v>1</v>
      </c>
      <c r="I1949" s="23" t="n">
        <f aca="false">Test1_Hand!$B$4+H1949*D1949</f>
        <v>19.594275433215</v>
      </c>
      <c r="J1949" s="24" t="n">
        <f aca="false">Test1_Hand!$B$6*H1949*D1949+Test1_Hand!$B$7*MAX(0,I1949-Test1_Hand!$B$5)+Test1_Hand!$B$14</f>
        <v>34754.2034657199</v>
      </c>
    </row>
    <row r="1950" customFormat="false" ht="15" hidden="false" customHeight="false" outlineLevel="0" collapsed="false">
      <c r="A1950" s="2" t="n">
        <v>1938</v>
      </c>
      <c r="B1950" s="22" t="n">
        <v>0.737555424743158</v>
      </c>
      <c r="C1950" s="22" t="n">
        <v>0.10664525461077</v>
      </c>
      <c r="D1950" s="23" t="n">
        <f aca="false">BETAINV(C1950,Test1_Hand!$B$21,Test1_Hand!$B$22,Test1_Hand!$B$9,Test1_Hand!$B$11)</f>
        <v>1.93604407925859</v>
      </c>
      <c r="E1950" s="2" t="n">
        <f aca="false">IF(B1950&lt;Test1_Hand!$B$12,1,0)</f>
        <v>0</v>
      </c>
      <c r="F1950" s="23" t="n">
        <f aca="false">Test1_Hand!$B$4+E1950*D1950</f>
        <v>16</v>
      </c>
      <c r="G1950" s="24" t="n">
        <f aca="false">Test1_Hand!$B$6*E1950*D1950+Test1_Hand!$B$7*MAX(0,F1950-Test1_Hand!$B$5)</f>
        <v>0</v>
      </c>
      <c r="H1950" s="2" t="n">
        <f aca="false">IF(B1950&lt;Test1_Hand!$B$13,1,0)</f>
        <v>0</v>
      </c>
      <c r="I1950" s="23" t="n">
        <f aca="false">Test1_Hand!$B$4+H1950*D1950</f>
        <v>16</v>
      </c>
      <c r="J1950" s="24" t="n">
        <f aca="false">Test1_Hand!$B$6*H1950*D1950+Test1_Hand!$B$7*MAX(0,I1950-Test1_Hand!$B$5)+Test1_Hand!$B$14</f>
        <v>6000</v>
      </c>
    </row>
    <row r="1951" customFormat="false" ht="15" hidden="false" customHeight="false" outlineLevel="0" collapsed="false">
      <c r="A1951" s="2" t="n">
        <v>1939</v>
      </c>
      <c r="B1951" s="22" t="n">
        <v>0.7709430551166</v>
      </c>
      <c r="C1951" s="22" t="n">
        <v>0.276474264095422</v>
      </c>
      <c r="D1951" s="23" t="n">
        <f aca="false">BETAINV(C1951,Test1_Hand!$B$21,Test1_Hand!$B$22,Test1_Hand!$B$9,Test1_Hand!$B$11)</f>
        <v>2.60735727668598</v>
      </c>
      <c r="E1951" s="2" t="n">
        <f aca="false">IF(B1951&lt;Test1_Hand!$B$12,1,0)</f>
        <v>0</v>
      </c>
      <c r="F1951" s="23" t="n">
        <f aca="false">Test1_Hand!$B$4+E1951*D1951</f>
        <v>16</v>
      </c>
      <c r="G1951" s="24" t="n">
        <f aca="false">Test1_Hand!$B$6*E1951*D1951+Test1_Hand!$B$7*MAX(0,F1951-Test1_Hand!$B$5)</f>
        <v>0</v>
      </c>
      <c r="H1951" s="2" t="n">
        <f aca="false">IF(B1951&lt;Test1_Hand!$B$13,1,0)</f>
        <v>0</v>
      </c>
      <c r="I1951" s="23" t="n">
        <f aca="false">Test1_Hand!$B$4+H1951*D1951</f>
        <v>16</v>
      </c>
      <c r="J1951" s="24" t="n">
        <f aca="false">Test1_Hand!$B$6*H1951*D1951+Test1_Hand!$B$7*MAX(0,I1951-Test1_Hand!$B$5)+Test1_Hand!$B$14</f>
        <v>6000</v>
      </c>
    </row>
    <row r="1952" customFormat="false" ht="15" hidden="false" customHeight="false" outlineLevel="0" collapsed="false">
      <c r="A1952" s="2" t="n">
        <v>1940</v>
      </c>
      <c r="B1952" s="22" t="n">
        <v>0.957692580844225</v>
      </c>
      <c r="C1952" s="22" t="n">
        <v>0.134600041699672</v>
      </c>
      <c r="D1952" s="23" t="n">
        <f aca="false">BETAINV(C1952,Test1_Hand!$B$21,Test1_Hand!$B$22,Test1_Hand!$B$9,Test1_Hand!$B$11)</f>
        <v>2.06207385884936</v>
      </c>
      <c r="E1952" s="2" t="n">
        <f aca="false">IF(B1952&lt;Test1_Hand!$B$12,1,0)</f>
        <v>0</v>
      </c>
      <c r="F1952" s="23" t="n">
        <f aca="false">Test1_Hand!$B$4+E1952*D1952</f>
        <v>16</v>
      </c>
      <c r="G1952" s="24" t="n">
        <f aca="false">Test1_Hand!$B$6*E1952*D1952+Test1_Hand!$B$7*MAX(0,F1952-Test1_Hand!$B$5)</f>
        <v>0</v>
      </c>
      <c r="H1952" s="2" t="n">
        <f aca="false">IF(B1952&lt;Test1_Hand!$B$13,1,0)</f>
        <v>0</v>
      </c>
      <c r="I1952" s="23" t="n">
        <f aca="false">Test1_Hand!$B$4+H1952*D1952</f>
        <v>16</v>
      </c>
      <c r="J1952" s="24" t="n">
        <f aca="false">Test1_Hand!$B$6*H1952*D1952+Test1_Hand!$B$7*MAX(0,I1952-Test1_Hand!$B$5)+Test1_Hand!$B$14</f>
        <v>6000</v>
      </c>
    </row>
    <row r="1953" customFormat="false" ht="15" hidden="false" customHeight="false" outlineLevel="0" collapsed="false">
      <c r="A1953" s="2" t="n">
        <v>1941</v>
      </c>
      <c r="B1953" s="22" t="n">
        <v>0.0366001709782216</v>
      </c>
      <c r="C1953" s="22" t="n">
        <v>0.249000990593521</v>
      </c>
      <c r="D1953" s="23" t="n">
        <f aca="false">BETAINV(C1953,Test1_Hand!$B$21,Test1_Hand!$B$22,Test1_Hand!$B$9,Test1_Hand!$B$11)</f>
        <v>2.5088293192962</v>
      </c>
      <c r="E1953" s="2" t="n">
        <f aca="false">IF(B1953&lt;Test1_Hand!$B$12,1,0)</f>
        <v>1</v>
      </c>
      <c r="F1953" s="23" t="n">
        <f aca="false">Test1_Hand!$B$4+E1953*D1953</f>
        <v>18.5088293192962</v>
      </c>
      <c r="G1953" s="24" t="n">
        <f aca="false">Test1_Hand!$B$6*E1953*D1953+Test1_Hand!$B$7*MAX(0,F1953-Test1_Hand!$B$5)</f>
        <v>20070.6345543696</v>
      </c>
      <c r="H1953" s="2" t="n">
        <f aca="false">IF(B1953&lt;Test1_Hand!$B$13,1,0)</f>
        <v>1</v>
      </c>
      <c r="I1953" s="23" t="n">
        <f aca="false">Test1_Hand!$B$4+H1953*D1953</f>
        <v>18.5088293192962</v>
      </c>
      <c r="J1953" s="24" t="n">
        <f aca="false">Test1_Hand!$B$6*H1953*D1953+Test1_Hand!$B$7*MAX(0,I1953-Test1_Hand!$B$5)+Test1_Hand!$B$14</f>
        <v>26070.6345543696</v>
      </c>
    </row>
    <row r="1954" customFormat="false" ht="15" hidden="false" customHeight="false" outlineLevel="0" collapsed="false">
      <c r="A1954" s="2" t="n">
        <v>1942</v>
      </c>
      <c r="B1954" s="22" t="n">
        <v>0.58720228783604</v>
      </c>
      <c r="C1954" s="22" t="n">
        <v>0.130583818161394</v>
      </c>
      <c r="D1954" s="23" t="n">
        <f aca="false">BETAINV(C1954,Test1_Hand!$B$21,Test1_Hand!$B$22,Test1_Hand!$B$9,Test1_Hand!$B$11)</f>
        <v>2.04459019729832</v>
      </c>
      <c r="E1954" s="2" t="n">
        <f aca="false">IF(B1954&lt;Test1_Hand!$B$12,1,0)</f>
        <v>0</v>
      </c>
      <c r="F1954" s="23" t="n">
        <f aca="false">Test1_Hand!$B$4+E1954*D1954</f>
        <v>16</v>
      </c>
      <c r="G1954" s="24" t="n">
        <f aca="false">Test1_Hand!$B$6*E1954*D1954+Test1_Hand!$B$7*MAX(0,F1954-Test1_Hand!$B$5)</f>
        <v>0</v>
      </c>
      <c r="H1954" s="2" t="n">
        <f aca="false">IF(B1954&lt;Test1_Hand!$B$13,1,0)</f>
        <v>0</v>
      </c>
      <c r="I1954" s="23" t="n">
        <f aca="false">Test1_Hand!$B$4+H1954*D1954</f>
        <v>16</v>
      </c>
      <c r="J1954" s="24" t="n">
        <f aca="false">Test1_Hand!$B$6*H1954*D1954+Test1_Hand!$B$7*MAX(0,I1954-Test1_Hand!$B$5)+Test1_Hand!$B$14</f>
        <v>6000</v>
      </c>
    </row>
    <row r="1955" customFormat="false" ht="15" hidden="false" customHeight="false" outlineLevel="0" collapsed="false">
      <c r="A1955" s="2" t="n">
        <v>1943</v>
      </c>
      <c r="B1955" s="22" t="n">
        <v>0.286117692773271</v>
      </c>
      <c r="C1955" s="22" t="n">
        <v>0.475635549771807</v>
      </c>
      <c r="D1955" s="23" t="n">
        <f aca="false">BETAINV(C1955,Test1_Hand!$B$21,Test1_Hand!$B$22,Test1_Hand!$B$9,Test1_Hand!$B$11)</f>
        <v>3.29708869249815</v>
      </c>
      <c r="E1955" s="2" t="n">
        <f aca="false">IF(B1955&lt;Test1_Hand!$B$12,1,0)</f>
        <v>1</v>
      </c>
      <c r="F1955" s="23" t="n">
        <f aca="false">Test1_Hand!$B$4+E1955*D1955</f>
        <v>19.2970886924982</v>
      </c>
      <c r="G1955" s="24" t="n">
        <f aca="false">Test1_Hand!$B$6*E1955*D1955+Test1_Hand!$B$7*MAX(0,F1955-Test1_Hand!$B$5)</f>
        <v>26376.7095399852</v>
      </c>
      <c r="H1955" s="2" t="n">
        <f aca="false">IF(B1955&lt;Test1_Hand!$B$13,1,0)</f>
        <v>0</v>
      </c>
      <c r="I1955" s="23" t="n">
        <f aca="false">Test1_Hand!$B$4+H1955*D1955</f>
        <v>16</v>
      </c>
      <c r="J1955" s="24" t="n">
        <f aca="false">Test1_Hand!$B$6*H1955*D1955+Test1_Hand!$B$7*MAX(0,I1955-Test1_Hand!$B$5)+Test1_Hand!$B$14</f>
        <v>6000</v>
      </c>
    </row>
    <row r="1956" customFormat="false" ht="15" hidden="false" customHeight="false" outlineLevel="0" collapsed="false">
      <c r="A1956" s="2" t="n">
        <v>1944</v>
      </c>
      <c r="B1956" s="22" t="n">
        <v>0.817379522372229</v>
      </c>
      <c r="C1956" s="22" t="n">
        <v>0.824830617299628</v>
      </c>
      <c r="D1956" s="23" t="n">
        <f aca="false">BETAINV(C1956,Test1_Hand!$B$21,Test1_Hand!$B$22,Test1_Hand!$B$9,Test1_Hand!$B$11)</f>
        <v>4.76383100183897</v>
      </c>
      <c r="E1956" s="2" t="n">
        <f aca="false">IF(B1956&lt;Test1_Hand!$B$12,1,0)</f>
        <v>0</v>
      </c>
      <c r="F1956" s="23" t="n">
        <f aca="false">Test1_Hand!$B$4+E1956*D1956</f>
        <v>16</v>
      </c>
      <c r="G1956" s="24" t="n">
        <f aca="false">Test1_Hand!$B$6*E1956*D1956+Test1_Hand!$B$7*MAX(0,F1956-Test1_Hand!$B$5)</f>
        <v>0</v>
      </c>
      <c r="H1956" s="2" t="n">
        <f aca="false">IF(B1956&lt;Test1_Hand!$B$13,1,0)</f>
        <v>0</v>
      </c>
      <c r="I1956" s="23" t="n">
        <f aca="false">Test1_Hand!$B$4+H1956*D1956</f>
        <v>16</v>
      </c>
      <c r="J1956" s="24" t="n">
        <f aca="false">Test1_Hand!$B$6*H1956*D1956+Test1_Hand!$B$7*MAX(0,I1956-Test1_Hand!$B$5)+Test1_Hand!$B$14</f>
        <v>6000</v>
      </c>
    </row>
    <row r="1957" customFormat="false" ht="15" hidden="false" customHeight="false" outlineLevel="0" collapsed="false">
      <c r="A1957" s="2" t="n">
        <v>1945</v>
      </c>
      <c r="B1957" s="22" t="n">
        <v>0.96509889003811</v>
      </c>
      <c r="C1957" s="22" t="n">
        <v>0.697012331581235</v>
      </c>
      <c r="D1957" s="23" t="n">
        <f aca="false">BETAINV(C1957,Test1_Hand!$B$21,Test1_Hand!$B$22,Test1_Hand!$B$9,Test1_Hand!$B$11)</f>
        <v>4.1366092983981</v>
      </c>
      <c r="E1957" s="2" t="n">
        <f aca="false">IF(B1957&lt;Test1_Hand!$B$12,1,0)</f>
        <v>0</v>
      </c>
      <c r="F1957" s="23" t="n">
        <f aca="false">Test1_Hand!$B$4+E1957*D1957</f>
        <v>16</v>
      </c>
      <c r="G1957" s="24" t="n">
        <f aca="false">Test1_Hand!$B$6*E1957*D1957+Test1_Hand!$B$7*MAX(0,F1957-Test1_Hand!$B$5)</f>
        <v>0</v>
      </c>
      <c r="H1957" s="2" t="n">
        <f aca="false">IF(B1957&lt;Test1_Hand!$B$13,1,0)</f>
        <v>0</v>
      </c>
      <c r="I1957" s="23" t="n">
        <f aca="false">Test1_Hand!$B$4+H1957*D1957</f>
        <v>16</v>
      </c>
      <c r="J1957" s="24" t="n">
        <f aca="false">Test1_Hand!$B$6*H1957*D1957+Test1_Hand!$B$7*MAX(0,I1957-Test1_Hand!$B$5)+Test1_Hand!$B$14</f>
        <v>6000</v>
      </c>
    </row>
    <row r="1958" customFormat="false" ht="15" hidden="false" customHeight="false" outlineLevel="0" collapsed="false">
      <c r="A1958" s="2" t="n">
        <v>1946</v>
      </c>
      <c r="B1958" s="22" t="n">
        <v>0.517395065009454</v>
      </c>
      <c r="C1958" s="22" t="n">
        <v>0.391809974561583</v>
      </c>
      <c r="D1958" s="23" t="n">
        <f aca="false">BETAINV(C1958,Test1_Hand!$B$21,Test1_Hand!$B$22,Test1_Hand!$B$9,Test1_Hand!$B$11)</f>
        <v>3.00761611741561</v>
      </c>
      <c r="E1958" s="2" t="n">
        <f aca="false">IF(B1958&lt;Test1_Hand!$B$12,1,0)</f>
        <v>0</v>
      </c>
      <c r="F1958" s="23" t="n">
        <f aca="false">Test1_Hand!$B$4+E1958*D1958</f>
        <v>16</v>
      </c>
      <c r="G1958" s="24" t="n">
        <f aca="false">Test1_Hand!$B$6*E1958*D1958+Test1_Hand!$B$7*MAX(0,F1958-Test1_Hand!$B$5)</f>
        <v>0</v>
      </c>
      <c r="H1958" s="2" t="n">
        <f aca="false">IF(B1958&lt;Test1_Hand!$B$13,1,0)</f>
        <v>0</v>
      </c>
      <c r="I1958" s="23" t="n">
        <f aca="false">Test1_Hand!$B$4+H1958*D1958</f>
        <v>16</v>
      </c>
      <c r="J1958" s="24" t="n">
        <f aca="false">Test1_Hand!$B$6*H1958*D1958+Test1_Hand!$B$7*MAX(0,I1958-Test1_Hand!$B$5)+Test1_Hand!$B$14</f>
        <v>6000</v>
      </c>
    </row>
    <row r="1959" customFormat="false" ht="15" hidden="false" customHeight="false" outlineLevel="0" collapsed="false">
      <c r="A1959" s="2" t="n">
        <v>1947</v>
      </c>
      <c r="B1959" s="22" t="n">
        <v>0.373744937725018</v>
      </c>
      <c r="C1959" s="22" t="n">
        <v>0.105951746033356</v>
      </c>
      <c r="D1959" s="23" t="n">
        <f aca="false">BETAINV(C1959,Test1_Hand!$B$21,Test1_Hand!$B$22,Test1_Hand!$B$9,Test1_Hand!$B$11)</f>
        <v>1.93277252825057</v>
      </c>
      <c r="E1959" s="2" t="n">
        <f aca="false">IF(B1959&lt;Test1_Hand!$B$12,1,0)</f>
        <v>1</v>
      </c>
      <c r="F1959" s="23" t="n">
        <f aca="false">Test1_Hand!$B$4+E1959*D1959</f>
        <v>17.9327725282506</v>
      </c>
      <c r="G1959" s="24" t="n">
        <f aca="false">Test1_Hand!$B$6*E1959*D1959+Test1_Hand!$B$7*MAX(0,F1959-Test1_Hand!$B$5)</f>
        <v>15462.1802260045</v>
      </c>
      <c r="H1959" s="2" t="n">
        <f aca="false">IF(B1959&lt;Test1_Hand!$B$13,1,0)</f>
        <v>0</v>
      </c>
      <c r="I1959" s="23" t="n">
        <f aca="false">Test1_Hand!$B$4+H1959*D1959</f>
        <v>16</v>
      </c>
      <c r="J1959" s="24" t="n">
        <f aca="false">Test1_Hand!$B$6*H1959*D1959+Test1_Hand!$B$7*MAX(0,I1959-Test1_Hand!$B$5)+Test1_Hand!$B$14</f>
        <v>6000</v>
      </c>
    </row>
    <row r="1960" customFormat="false" ht="15" hidden="false" customHeight="false" outlineLevel="0" collapsed="false">
      <c r="A1960" s="2" t="n">
        <v>1948</v>
      </c>
      <c r="B1960" s="22" t="n">
        <v>0.846580358548397</v>
      </c>
      <c r="C1960" s="22" t="n">
        <v>0.218351781252359</v>
      </c>
      <c r="D1960" s="23" t="n">
        <f aca="false">BETAINV(C1960,Test1_Hand!$B$21,Test1_Hand!$B$22,Test1_Hand!$B$9,Test1_Hand!$B$11)</f>
        <v>2.39608484775592</v>
      </c>
      <c r="E1960" s="2" t="n">
        <f aca="false">IF(B1960&lt;Test1_Hand!$B$12,1,0)</f>
        <v>0</v>
      </c>
      <c r="F1960" s="23" t="n">
        <f aca="false">Test1_Hand!$B$4+E1960*D1960</f>
        <v>16</v>
      </c>
      <c r="G1960" s="24" t="n">
        <f aca="false">Test1_Hand!$B$6*E1960*D1960+Test1_Hand!$B$7*MAX(0,F1960-Test1_Hand!$B$5)</f>
        <v>0</v>
      </c>
      <c r="H1960" s="2" t="n">
        <f aca="false">IF(B1960&lt;Test1_Hand!$B$13,1,0)</f>
        <v>0</v>
      </c>
      <c r="I1960" s="23" t="n">
        <f aca="false">Test1_Hand!$B$4+H1960*D1960</f>
        <v>16</v>
      </c>
      <c r="J1960" s="24" t="n">
        <f aca="false">Test1_Hand!$B$6*H1960*D1960+Test1_Hand!$B$7*MAX(0,I1960-Test1_Hand!$B$5)+Test1_Hand!$B$14</f>
        <v>6000</v>
      </c>
    </row>
    <row r="1961" customFormat="false" ht="15" hidden="false" customHeight="false" outlineLevel="0" collapsed="false">
      <c r="A1961" s="2" t="n">
        <v>1949</v>
      </c>
      <c r="B1961" s="22" t="n">
        <v>0.606182814387552</v>
      </c>
      <c r="C1961" s="22" t="n">
        <v>0.35285197842968</v>
      </c>
      <c r="D1961" s="23" t="n">
        <f aca="false">BETAINV(C1961,Test1_Hand!$B$21,Test1_Hand!$B$22,Test1_Hand!$B$9,Test1_Hand!$B$11)</f>
        <v>2.87372277614235</v>
      </c>
      <c r="E1961" s="2" t="n">
        <f aca="false">IF(B1961&lt;Test1_Hand!$B$12,1,0)</f>
        <v>0</v>
      </c>
      <c r="F1961" s="23" t="n">
        <f aca="false">Test1_Hand!$B$4+E1961*D1961</f>
        <v>16</v>
      </c>
      <c r="G1961" s="24" t="n">
        <f aca="false">Test1_Hand!$B$6*E1961*D1961+Test1_Hand!$B$7*MAX(0,F1961-Test1_Hand!$B$5)</f>
        <v>0</v>
      </c>
      <c r="H1961" s="2" t="n">
        <f aca="false">IF(B1961&lt;Test1_Hand!$B$13,1,0)</f>
        <v>0</v>
      </c>
      <c r="I1961" s="23" t="n">
        <f aca="false">Test1_Hand!$B$4+H1961*D1961</f>
        <v>16</v>
      </c>
      <c r="J1961" s="24" t="n">
        <f aca="false">Test1_Hand!$B$6*H1961*D1961+Test1_Hand!$B$7*MAX(0,I1961-Test1_Hand!$B$5)+Test1_Hand!$B$14</f>
        <v>6000</v>
      </c>
    </row>
    <row r="1962" customFormat="false" ht="15" hidden="false" customHeight="false" outlineLevel="0" collapsed="false">
      <c r="A1962" s="2" t="n">
        <v>1950</v>
      </c>
      <c r="B1962" s="22" t="n">
        <v>0.755367651873534</v>
      </c>
      <c r="C1962" s="22" t="n">
        <v>0.489821426182966</v>
      </c>
      <c r="D1962" s="23" t="n">
        <f aca="false">BETAINV(C1962,Test1_Hand!$B$21,Test1_Hand!$B$22,Test1_Hand!$B$9,Test1_Hand!$B$11)</f>
        <v>3.34675829962677</v>
      </c>
      <c r="E1962" s="2" t="n">
        <f aca="false">IF(B1962&lt;Test1_Hand!$B$12,1,0)</f>
        <v>0</v>
      </c>
      <c r="F1962" s="23" t="n">
        <f aca="false">Test1_Hand!$B$4+E1962*D1962</f>
        <v>16</v>
      </c>
      <c r="G1962" s="24" t="n">
        <f aca="false">Test1_Hand!$B$6*E1962*D1962+Test1_Hand!$B$7*MAX(0,F1962-Test1_Hand!$B$5)</f>
        <v>0</v>
      </c>
      <c r="H1962" s="2" t="n">
        <f aca="false">IF(B1962&lt;Test1_Hand!$B$13,1,0)</f>
        <v>0</v>
      </c>
      <c r="I1962" s="23" t="n">
        <f aca="false">Test1_Hand!$B$4+H1962*D1962</f>
        <v>16</v>
      </c>
      <c r="J1962" s="24" t="n">
        <f aca="false">Test1_Hand!$B$6*H1962*D1962+Test1_Hand!$B$7*MAX(0,I1962-Test1_Hand!$B$5)+Test1_Hand!$B$14</f>
        <v>6000</v>
      </c>
    </row>
    <row r="1963" customFormat="false" ht="15" hidden="false" customHeight="false" outlineLevel="0" collapsed="false">
      <c r="A1963" s="2" t="n">
        <v>1951</v>
      </c>
      <c r="B1963" s="22" t="n">
        <v>0.86247801010729</v>
      </c>
      <c r="C1963" s="22" t="n">
        <v>0.778107532035892</v>
      </c>
      <c r="D1963" s="23" t="n">
        <f aca="false">BETAINV(C1963,Test1_Hand!$B$21,Test1_Hand!$B$22,Test1_Hand!$B$9,Test1_Hand!$B$11)</f>
        <v>4.51215120317188</v>
      </c>
      <c r="E1963" s="2" t="n">
        <f aca="false">IF(B1963&lt;Test1_Hand!$B$12,1,0)</f>
        <v>0</v>
      </c>
      <c r="F1963" s="23" t="n">
        <f aca="false">Test1_Hand!$B$4+E1963*D1963</f>
        <v>16</v>
      </c>
      <c r="G1963" s="24" t="n">
        <f aca="false">Test1_Hand!$B$6*E1963*D1963+Test1_Hand!$B$7*MAX(0,F1963-Test1_Hand!$B$5)</f>
        <v>0</v>
      </c>
      <c r="H1963" s="2" t="n">
        <f aca="false">IF(B1963&lt;Test1_Hand!$B$13,1,0)</f>
        <v>0</v>
      </c>
      <c r="I1963" s="23" t="n">
        <f aca="false">Test1_Hand!$B$4+H1963*D1963</f>
        <v>16</v>
      </c>
      <c r="J1963" s="24" t="n">
        <f aca="false">Test1_Hand!$B$6*H1963*D1963+Test1_Hand!$B$7*MAX(0,I1963-Test1_Hand!$B$5)+Test1_Hand!$B$14</f>
        <v>6000</v>
      </c>
    </row>
    <row r="1964" customFormat="false" ht="15" hidden="false" customHeight="false" outlineLevel="0" collapsed="false">
      <c r="A1964" s="2" t="n">
        <v>1952</v>
      </c>
      <c r="B1964" s="22" t="n">
        <v>0.569968156510867</v>
      </c>
      <c r="C1964" s="22" t="n">
        <v>0.756887877598942</v>
      </c>
      <c r="D1964" s="23" t="n">
        <f aca="false">BETAINV(C1964,Test1_Hand!$B$21,Test1_Hand!$B$22,Test1_Hand!$B$9,Test1_Hand!$B$11)</f>
        <v>4.4077069095312</v>
      </c>
      <c r="E1964" s="2" t="n">
        <f aca="false">IF(B1964&lt;Test1_Hand!$B$12,1,0)</f>
        <v>0</v>
      </c>
      <c r="F1964" s="23" t="n">
        <f aca="false">Test1_Hand!$B$4+E1964*D1964</f>
        <v>16</v>
      </c>
      <c r="G1964" s="24" t="n">
        <f aca="false">Test1_Hand!$B$6*E1964*D1964+Test1_Hand!$B$7*MAX(0,F1964-Test1_Hand!$B$5)</f>
        <v>0</v>
      </c>
      <c r="H1964" s="2" t="n">
        <f aca="false">IF(B1964&lt;Test1_Hand!$B$13,1,0)</f>
        <v>0</v>
      </c>
      <c r="I1964" s="23" t="n">
        <f aca="false">Test1_Hand!$B$4+H1964*D1964</f>
        <v>16</v>
      </c>
      <c r="J1964" s="24" t="n">
        <f aca="false">Test1_Hand!$B$6*H1964*D1964+Test1_Hand!$B$7*MAX(0,I1964-Test1_Hand!$B$5)+Test1_Hand!$B$14</f>
        <v>6000</v>
      </c>
    </row>
    <row r="1965" customFormat="false" ht="15" hidden="false" customHeight="false" outlineLevel="0" collapsed="false">
      <c r="A1965" s="2" t="n">
        <v>1953</v>
      </c>
      <c r="B1965" s="22" t="n">
        <v>0.363489851547432</v>
      </c>
      <c r="C1965" s="22" t="n">
        <v>0.319227109883845</v>
      </c>
      <c r="D1965" s="23" t="n">
        <f aca="false">BETAINV(C1965,Test1_Hand!$B$21,Test1_Hand!$B$22,Test1_Hand!$B$9,Test1_Hand!$B$11)</f>
        <v>2.7574275526482</v>
      </c>
      <c r="E1965" s="2" t="n">
        <f aca="false">IF(B1965&lt;Test1_Hand!$B$12,1,0)</f>
        <v>1</v>
      </c>
      <c r="F1965" s="23" t="n">
        <f aca="false">Test1_Hand!$B$4+E1965*D1965</f>
        <v>18.7574275526482</v>
      </c>
      <c r="G1965" s="24" t="n">
        <f aca="false">Test1_Hand!$B$6*E1965*D1965+Test1_Hand!$B$7*MAX(0,F1965-Test1_Hand!$B$5)</f>
        <v>22059.4204211856</v>
      </c>
      <c r="H1965" s="2" t="n">
        <f aca="false">IF(B1965&lt;Test1_Hand!$B$13,1,0)</f>
        <v>0</v>
      </c>
      <c r="I1965" s="23" t="n">
        <f aca="false">Test1_Hand!$B$4+H1965*D1965</f>
        <v>16</v>
      </c>
      <c r="J1965" s="24" t="n">
        <f aca="false">Test1_Hand!$B$6*H1965*D1965+Test1_Hand!$B$7*MAX(0,I1965-Test1_Hand!$B$5)+Test1_Hand!$B$14</f>
        <v>6000</v>
      </c>
    </row>
    <row r="1966" customFormat="false" ht="15" hidden="false" customHeight="false" outlineLevel="0" collapsed="false">
      <c r="A1966" s="2" t="n">
        <v>1954</v>
      </c>
      <c r="B1966" s="22" t="n">
        <v>0.222367860543105</v>
      </c>
      <c r="C1966" s="22" t="n">
        <v>0.319779155318175</v>
      </c>
      <c r="D1966" s="23" t="n">
        <f aca="false">BETAINV(C1966,Test1_Hand!$B$21,Test1_Hand!$B$22,Test1_Hand!$B$9,Test1_Hand!$B$11)</f>
        <v>2.75934639689725</v>
      </c>
      <c r="E1966" s="2" t="n">
        <f aca="false">IF(B1966&lt;Test1_Hand!$B$12,1,0)</f>
        <v>1</v>
      </c>
      <c r="F1966" s="23" t="n">
        <f aca="false">Test1_Hand!$B$4+E1966*D1966</f>
        <v>18.7593463968973</v>
      </c>
      <c r="G1966" s="24" t="n">
        <f aca="false">Test1_Hand!$B$6*E1966*D1966+Test1_Hand!$B$7*MAX(0,F1966-Test1_Hand!$B$5)</f>
        <v>22074.771175178</v>
      </c>
      <c r="H1966" s="2" t="n">
        <f aca="false">IF(B1966&lt;Test1_Hand!$B$13,1,0)</f>
        <v>0</v>
      </c>
      <c r="I1966" s="23" t="n">
        <f aca="false">Test1_Hand!$B$4+H1966*D1966</f>
        <v>16</v>
      </c>
      <c r="J1966" s="24" t="n">
        <f aca="false">Test1_Hand!$B$6*H1966*D1966+Test1_Hand!$B$7*MAX(0,I1966-Test1_Hand!$B$5)+Test1_Hand!$B$14</f>
        <v>6000</v>
      </c>
    </row>
    <row r="1967" customFormat="false" ht="15" hidden="false" customHeight="false" outlineLevel="0" collapsed="false">
      <c r="A1967" s="2" t="n">
        <v>1955</v>
      </c>
      <c r="B1967" s="22" t="n">
        <v>0.945786984089833</v>
      </c>
      <c r="C1967" s="22" t="n">
        <v>0.448507624235496</v>
      </c>
      <c r="D1967" s="23" t="n">
        <f aca="false">BETAINV(C1967,Test1_Hand!$B$21,Test1_Hand!$B$22,Test1_Hand!$B$9,Test1_Hand!$B$11)</f>
        <v>3.20281832956604</v>
      </c>
      <c r="E1967" s="2" t="n">
        <f aca="false">IF(B1967&lt;Test1_Hand!$B$12,1,0)</f>
        <v>0</v>
      </c>
      <c r="F1967" s="23" t="n">
        <f aca="false">Test1_Hand!$B$4+E1967*D1967</f>
        <v>16</v>
      </c>
      <c r="G1967" s="24" t="n">
        <f aca="false">Test1_Hand!$B$6*E1967*D1967+Test1_Hand!$B$7*MAX(0,F1967-Test1_Hand!$B$5)</f>
        <v>0</v>
      </c>
      <c r="H1967" s="2" t="n">
        <f aca="false">IF(B1967&lt;Test1_Hand!$B$13,1,0)</f>
        <v>0</v>
      </c>
      <c r="I1967" s="23" t="n">
        <f aca="false">Test1_Hand!$B$4+H1967*D1967</f>
        <v>16</v>
      </c>
      <c r="J1967" s="24" t="n">
        <f aca="false">Test1_Hand!$B$6*H1967*D1967+Test1_Hand!$B$7*MAX(0,I1967-Test1_Hand!$B$5)+Test1_Hand!$B$14</f>
        <v>6000</v>
      </c>
    </row>
    <row r="1968" customFormat="false" ht="15" hidden="false" customHeight="false" outlineLevel="0" collapsed="false">
      <c r="A1968" s="2" t="n">
        <v>1956</v>
      </c>
      <c r="B1968" s="22" t="n">
        <v>0.0564425496348779</v>
      </c>
      <c r="C1968" s="22" t="n">
        <v>0.34263150223021</v>
      </c>
      <c r="D1968" s="23" t="n">
        <f aca="false">BETAINV(C1968,Test1_Hand!$B$21,Test1_Hand!$B$22,Test1_Hand!$B$9,Test1_Hand!$B$11)</f>
        <v>2.83848135724238</v>
      </c>
      <c r="E1968" s="2" t="n">
        <f aca="false">IF(B1968&lt;Test1_Hand!$B$12,1,0)</f>
        <v>1</v>
      </c>
      <c r="F1968" s="23" t="n">
        <f aca="false">Test1_Hand!$B$4+E1968*D1968</f>
        <v>18.8384813572424</v>
      </c>
      <c r="G1968" s="24" t="n">
        <f aca="false">Test1_Hand!$B$6*E1968*D1968+Test1_Hand!$B$7*MAX(0,F1968-Test1_Hand!$B$5)</f>
        <v>22707.850857939</v>
      </c>
      <c r="H1968" s="2" t="n">
        <f aca="false">IF(B1968&lt;Test1_Hand!$B$13,1,0)</f>
        <v>1</v>
      </c>
      <c r="I1968" s="23" t="n">
        <f aca="false">Test1_Hand!$B$4+H1968*D1968</f>
        <v>18.8384813572424</v>
      </c>
      <c r="J1968" s="24" t="n">
        <f aca="false">Test1_Hand!$B$6*H1968*D1968+Test1_Hand!$B$7*MAX(0,I1968-Test1_Hand!$B$5)+Test1_Hand!$B$14</f>
        <v>28707.850857939</v>
      </c>
    </row>
    <row r="1969" customFormat="false" ht="15" hidden="false" customHeight="false" outlineLevel="0" collapsed="false">
      <c r="A1969" s="2" t="n">
        <v>1957</v>
      </c>
      <c r="B1969" s="22" t="n">
        <v>0.986554869089911</v>
      </c>
      <c r="C1969" s="22" t="n">
        <v>0.466571343164172</v>
      </c>
      <c r="D1969" s="23" t="n">
        <f aca="false">BETAINV(C1969,Test1_Hand!$B$21,Test1_Hand!$B$22,Test1_Hand!$B$9,Test1_Hand!$B$11)</f>
        <v>3.26549595245984</v>
      </c>
      <c r="E1969" s="2" t="n">
        <f aca="false">IF(B1969&lt;Test1_Hand!$B$12,1,0)</f>
        <v>0</v>
      </c>
      <c r="F1969" s="23" t="n">
        <f aca="false">Test1_Hand!$B$4+E1969*D1969</f>
        <v>16</v>
      </c>
      <c r="G1969" s="24" t="n">
        <f aca="false">Test1_Hand!$B$6*E1969*D1969+Test1_Hand!$B$7*MAX(0,F1969-Test1_Hand!$B$5)</f>
        <v>0</v>
      </c>
      <c r="H1969" s="2" t="n">
        <f aca="false">IF(B1969&lt;Test1_Hand!$B$13,1,0)</f>
        <v>0</v>
      </c>
      <c r="I1969" s="23" t="n">
        <f aca="false">Test1_Hand!$B$4+H1969*D1969</f>
        <v>16</v>
      </c>
      <c r="J1969" s="24" t="n">
        <f aca="false">Test1_Hand!$B$6*H1969*D1969+Test1_Hand!$B$7*MAX(0,I1969-Test1_Hand!$B$5)+Test1_Hand!$B$14</f>
        <v>6000</v>
      </c>
    </row>
    <row r="1970" customFormat="false" ht="15" hidden="false" customHeight="false" outlineLevel="0" collapsed="false">
      <c r="A1970" s="2" t="n">
        <v>1958</v>
      </c>
      <c r="B1970" s="22" t="n">
        <v>0.600005887792435</v>
      </c>
      <c r="C1970" s="22" t="n">
        <v>0.220333261256161</v>
      </c>
      <c r="D1970" s="23" t="n">
        <f aca="false">BETAINV(C1970,Test1_Hand!$B$21,Test1_Hand!$B$22,Test1_Hand!$B$9,Test1_Hand!$B$11)</f>
        <v>2.40348337485774</v>
      </c>
      <c r="E1970" s="2" t="n">
        <f aca="false">IF(B1970&lt;Test1_Hand!$B$12,1,0)</f>
        <v>0</v>
      </c>
      <c r="F1970" s="23" t="n">
        <f aca="false">Test1_Hand!$B$4+E1970*D1970</f>
        <v>16</v>
      </c>
      <c r="G1970" s="24" t="n">
        <f aca="false">Test1_Hand!$B$6*E1970*D1970+Test1_Hand!$B$7*MAX(0,F1970-Test1_Hand!$B$5)</f>
        <v>0</v>
      </c>
      <c r="H1970" s="2" t="n">
        <f aca="false">IF(B1970&lt;Test1_Hand!$B$13,1,0)</f>
        <v>0</v>
      </c>
      <c r="I1970" s="23" t="n">
        <f aca="false">Test1_Hand!$B$4+H1970*D1970</f>
        <v>16</v>
      </c>
      <c r="J1970" s="24" t="n">
        <f aca="false">Test1_Hand!$B$6*H1970*D1970+Test1_Hand!$B$7*MAX(0,I1970-Test1_Hand!$B$5)+Test1_Hand!$B$14</f>
        <v>6000</v>
      </c>
    </row>
    <row r="1971" customFormat="false" ht="15" hidden="false" customHeight="false" outlineLevel="0" collapsed="false">
      <c r="A1971" s="2" t="n">
        <v>1959</v>
      </c>
      <c r="B1971" s="22" t="n">
        <v>0.225216659888578</v>
      </c>
      <c r="C1971" s="22" t="n">
        <v>0.79105455356834</v>
      </c>
      <c r="D1971" s="23" t="n">
        <f aca="false">BETAINV(C1971,Test1_Hand!$B$21,Test1_Hand!$B$22,Test1_Hand!$B$9,Test1_Hand!$B$11)</f>
        <v>4.57860390529639</v>
      </c>
      <c r="E1971" s="2" t="n">
        <f aca="false">IF(B1971&lt;Test1_Hand!$B$12,1,0)</f>
        <v>1</v>
      </c>
      <c r="F1971" s="23" t="n">
        <f aca="false">Test1_Hand!$B$4+E1971*D1971</f>
        <v>20.5786039052964</v>
      </c>
      <c r="G1971" s="24" t="n">
        <f aca="false">Test1_Hand!$B$6*E1971*D1971+Test1_Hand!$B$7*MAX(0,F1971-Test1_Hand!$B$5)</f>
        <v>39521.8507688531</v>
      </c>
      <c r="H1971" s="2" t="n">
        <f aca="false">IF(B1971&lt;Test1_Hand!$B$13,1,0)</f>
        <v>0</v>
      </c>
      <c r="I1971" s="23" t="n">
        <f aca="false">Test1_Hand!$B$4+H1971*D1971</f>
        <v>16</v>
      </c>
      <c r="J1971" s="24" t="n">
        <f aca="false">Test1_Hand!$B$6*H1971*D1971+Test1_Hand!$B$7*MAX(0,I1971-Test1_Hand!$B$5)+Test1_Hand!$B$14</f>
        <v>6000</v>
      </c>
    </row>
    <row r="1972" customFormat="false" ht="15" hidden="false" customHeight="false" outlineLevel="0" collapsed="false">
      <c r="A1972" s="2" t="n">
        <v>1960</v>
      </c>
      <c r="B1972" s="22" t="n">
        <v>0.0222924534094448</v>
      </c>
      <c r="C1972" s="22" t="n">
        <v>0.637839917276725</v>
      </c>
      <c r="D1972" s="23" t="n">
        <f aca="false">BETAINV(C1972,Test1_Hand!$B$21,Test1_Hand!$B$22,Test1_Hand!$B$9,Test1_Hand!$B$11)</f>
        <v>3.89346017866726</v>
      </c>
      <c r="E1972" s="2" t="n">
        <f aca="false">IF(B1972&lt;Test1_Hand!$B$12,1,0)</f>
        <v>1</v>
      </c>
      <c r="F1972" s="23" t="n">
        <f aca="false">Test1_Hand!$B$4+E1972*D1972</f>
        <v>19.8934601786673</v>
      </c>
      <c r="G1972" s="24" t="n">
        <f aca="false">Test1_Hand!$B$6*E1972*D1972+Test1_Hand!$B$7*MAX(0,F1972-Test1_Hand!$B$5)</f>
        <v>31147.6814293381</v>
      </c>
      <c r="H1972" s="2" t="n">
        <f aca="false">IF(B1972&lt;Test1_Hand!$B$13,1,0)</f>
        <v>1</v>
      </c>
      <c r="I1972" s="23" t="n">
        <f aca="false">Test1_Hand!$B$4+H1972*D1972</f>
        <v>19.8934601786673</v>
      </c>
      <c r="J1972" s="24" t="n">
        <f aca="false">Test1_Hand!$B$6*H1972*D1972+Test1_Hand!$B$7*MAX(0,I1972-Test1_Hand!$B$5)+Test1_Hand!$B$14</f>
        <v>37147.6814293381</v>
      </c>
    </row>
    <row r="1973" customFormat="false" ht="15" hidden="false" customHeight="false" outlineLevel="0" collapsed="false">
      <c r="A1973" s="2" t="n">
        <v>1961</v>
      </c>
      <c r="B1973" s="22" t="n">
        <v>0.969040802374785</v>
      </c>
      <c r="C1973" s="22" t="n">
        <v>0.542031540551317</v>
      </c>
      <c r="D1973" s="23" t="n">
        <f aca="false">BETAINV(C1973,Test1_Hand!$B$21,Test1_Hand!$B$22,Test1_Hand!$B$9,Test1_Hand!$B$11)</f>
        <v>3.53264418830498</v>
      </c>
      <c r="E1973" s="2" t="n">
        <f aca="false">IF(B1973&lt;Test1_Hand!$B$12,1,0)</f>
        <v>0</v>
      </c>
      <c r="F1973" s="23" t="n">
        <f aca="false">Test1_Hand!$B$4+E1973*D1973</f>
        <v>16</v>
      </c>
      <c r="G1973" s="24" t="n">
        <f aca="false">Test1_Hand!$B$6*E1973*D1973+Test1_Hand!$B$7*MAX(0,F1973-Test1_Hand!$B$5)</f>
        <v>0</v>
      </c>
      <c r="H1973" s="2" t="n">
        <f aca="false">IF(B1973&lt;Test1_Hand!$B$13,1,0)</f>
        <v>0</v>
      </c>
      <c r="I1973" s="23" t="n">
        <f aca="false">Test1_Hand!$B$4+H1973*D1973</f>
        <v>16</v>
      </c>
      <c r="J1973" s="24" t="n">
        <f aca="false">Test1_Hand!$B$6*H1973*D1973+Test1_Hand!$B$7*MAX(0,I1973-Test1_Hand!$B$5)+Test1_Hand!$B$14</f>
        <v>6000</v>
      </c>
    </row>
    <row r="1974" customFormat="false" ht="15" hidden="false" customHeight="false" outlineLevel="0" collapsed="false">
      <c r="A1974" s="2" t="n">
        <v>1962</v>
      </c>
      <c r="B1974" s="22" t="n">
        <v>0.257089464418547</v>
      </c>
      <c r="C1974" s="22" t="n">
        <v>0.664791943764902</v>
      </c>
      <c r="D1974" s="23" t="n">
        <f aca="false">BETAINV(C1974,Test1_Hand!$B$21,Test1_Hand!$B$22,Test1_Hand!$B$9,Test1_Hand!$B$11)</f>
        <v>4.00175036428719</v>
      </c>
      <c r="E1974" s="2" t="n">
        <f aca="false">IF(B1974&lt;Test1_Hand!$B$12,1,0)</f>
        <v>1</v>
      </c>
      <c r="F1974" s="23" t="n">
        <f aca="false">Test1_Hand!$B$4+E1974*D1974</f>
        <v>20.0017503642872</v>
      </c>
      <c r="G1974" s="24" t="n">
        <f aca="false">Test1_Hand!$B$6*E1974*D1974+Test1_Hand!$B$7*MAX(0,F1974-Test1_Hand!$B$5)</f>
        <v>32022.7547357335</v>
      </c>
      <c r="H1974" s="2" t="n">
        <f aca="false">IF(B1974&lt;Test1_Hand!$B$13,1,0)</f>
        <v>0</v>
      </c>
      <c r="I1974" s="23" t="n">
        <f aca="false">Test1_Hand!$B$4+H1974*D1974</f>
        <v>16</v>
      </c>
      <c r="J1974" s="24" t="n">
        <f aca="false">Test1_Hand!$B$6*H1974*D1974+Test1_Hand!$B$7*MAX(0,I1974-Test1_Hand!$B$5)+Test1_Hand!$B$14</f>
        <v>6000</v>
      </c>
    </row>
    <row r="1975" customFormat="false" ht="15" hidden="false" customHeight="false" outlineLevel="0" collapsed="false">
      <c r="A1975" s="2" t="n">
        <v>1963</v>
      </c>
      <c r="B1975" s="22" t="n">
        <v>0.062830784340809</v>
      </c>
      <c r="C1975" s="22" t="n">
        <v>0.0696165552041543</v>
      </c>
      <c r="D1975" s="23" t="n">
        <f aca="false">BETAINV(C1975,Test1_Hand!$B$21,Test1_Hand!$B$22,Test1_Hand!$B$9,Test1_Hand!$B$11)</f>
        <v>1.74730408538191</v>
      </c>
      <c r="E1975" s="2" t="n">
        <f aca="false">IF(B1975&lt;Test1_Hand!$B$12,1,0)</f>
        <v>1</v>
      </c>
      <c r="F1975" s="23" t="n">
        <f aca="false">Test1_Hand!$B$4+E1975*D1975</f>
        <v>17.7473040853819</v>
      </c>
      <c r="G1975" s="24" t="n">
        <f aca="false">Test1_Hand!$B$6*E1975*D1975+Test1_Hand!$B$7*MAX(0,F1975-Test1_Hand!$B$5)</f>
        <v>13978.4326830553</v>
      </c>
      <c r="H1975" s="2" t="n">
        <f aca="false">IF(B1975&lt;Test1_Hand!$B$13,1,0)</f>
        <v>1</v>
      </c>
      <c r="I1975" s="23" t="n">
        <f aca="false">Test1_Hand!$B$4+H1975*D1975</f>
        <v>17.7473040853819</v>
      </c>
      <c r="J1975" s="24" t="n">
        <f aca="false">Test1_Hand!$B$6*H1975*D1975+Test1_Hand!$B$7*MAX(0,I1975-Test1_Hand!$B$5)+Test1_Hand!$B$14</f>
        <v>19978.4326830553</v>
      </c>
    </row>
    <row r="1976" customFormat="false" ht="15" hidden="false" customHeight="false" outlineLevel="0" collapsed="false">
      <c r="A1976" s="2" t="n">
        <v>1964</v>
      </c>
      <c r="B1976" s="22" t="n">
        <v>0.518292174943379</v>
      </c>
      <c r="C1976" s="22" t="n">
        <v>0.226921752389554</v>
      </c>
      <c r="D1976" s="23" t="n">
        <f aca="false">BETAINV(C1976,Test1_Hand!$B$21,Test1_Hand!$B$22,Test1_Hand!$B$9,Test1_Hand!$B$11)</f>
        <v>2.42796633291291</v>
      </c>
      <c r="E1976" s="2" t="n">
        <f aca="false">IF(B1976&lt;Test1_Hand!$B$12,1,0)</f>
        <v>0</v>
      </c>
      <c r="F1976" s="23" t="n">
        <f aca="false">Test1_Hand!$B$4+E1976*D1976</f>
        <v>16</v>
      </c>
      <c r="G1976" s="24" t="n">
        <f aca="false">Test1_Hand!$B$6*E1976*D1976+Test1_Hand!$B$7*MAX(0,F1976-Test1_Hand!$B$5)</f>
        <v>0</v>
      </c>
      <c r="H1976" s="2" t="n">
        <f aca="false">IF(B1976&lt;Test1_Hand!$B$13,1,0)</f>
        <v>0</v>
      </c>
      <c r="I1976" s="23" t="n">
        <f aca="false">Test1_Hand!$B$4+H1976*D1976</f>
        <v>16</v>
      </c>
      <c r="J1976" s="24" t="n">
        <f aca="false">Test1_Hand!$B$6*H1976*D1976+Test1_Hand!$B$7*MAX(0,I1976-Test1_Hand!$B$5)+Test1_Hand!$B$14</f>
        <v>6000</v>
      </c>
    </row>
    <row r="1977" customFormat="false" ht="15" hidden="false" customHeight="false" outlineLevel="0" collapsed="false">
      <c r="A1977" s="2" t="n">
        <v>1965</v>
      </c>
      <c r="B1977" s="22" t="n">
        <v>0.597031135048346</v>
      </c>
      <c r="C1977" s="22" t="n">
        <v>0.0208449098790787</v>
      </c>
      <c r="D1977" s="23" t="n">
        <f aca="false">BETAINV(C1977,Test1_Hand!$B$21,Test1_Hand!$B$22,Test1_Hand!$B$9,Test1_Hand!$B$11)</f>
        <v>1.40644120953451</v>
      </c>
      <c r="E1977" s="2" t="n">
        <f aca="false">IF(B1977&lt;Test1_Hand!$B$12,1,0)</f>
        <v>0</v>
      </c>
      <c r="F1977" s="23" t="n">
        <f aca="false">Test1_Hand!$B$4+E1977*D1977</f>
        <v>16</v>
      </c>
      <c r="G1977" s="24" t="n">
        <f aca="false">Test1_Hand!$B$6*E1977*D1977+Test1_Hand!$B$7*MAX(0,F1977-Test1_Hand!$B$5)</f>
        <v>0</v>
      </c>
      <c r="H1977" s="2" t="n">
        <f aca="false">IF(B1977&lt;Test1_Hand!$B$13,1,0)</f>
        <v>0</v>
      </c>
      <c r="I1977" s="23" t="n">
        <f aca="false">Test1_Hand!$B$4+H1977*D1977</f>
        <v>16</v>
      </c>
      <c r="J1977" s="24" t="n">
        <f aca="false">Test1_Hand!$B$6*H1977*D1977+Test1_Hand!$B$7*MAX(0,I1977-Test1_Hand!$B$5)+Test1_Hand!$B$14</f>
        <v>6000</v>
      </c>
    </row>
    <row r="1978" customFormat="false" ht="15" hidden="false" customHeight="false" outlineLevel="0" collapsed="false">
      <c r="A1978" s="2" t="n">
        <v>1966</v>
      </c>
      <c r="B1978" s="22" t="n">
        <v>0.179586440252139</v>
      </c>
      <c r="C1978" s="22" t="n">
        <v>0.0636206295039261</v>
      </c>
      <c r="D1978" s="23" t="n">
        <f aca="false">BETAINV(C1978,Test1_Hand!$B$21,Test1_Hand!$B$22,Test1_Hand!$B$9,Test1_Hand!$B$11)</f>
        <v>1.71319566597249</v>
      </c>
      <c r="E1978" s="2" t="n">
        <f aca="false">IF(B1978&lt;Test1_Hand!$B$12,1,0)</f>
        <v>1</v>
      </c>
      <c r="F1978" s="23" t="n">
        <f aca="false">Test1_Hand!$B$4+E1978*D1978</f>
        <v>17.7131956659725</v>
      </c>
      <c r="G1978" s="24" t="n">
        <f aca="false">Test1_Hand!$B$6*E1978*D1978+Test1_Hand!$B$7*MAX(0,F1978-Test1_Hand!$B$5)</f>
        <v>13705.5653277799</v>
      </c>
      <c r="H1978" s="2" t="n">
        <f aca="false">IF(B1978&lt;Test1_Hand!$B$13,1,0)</f>
        <v>1</v>
      </c>
      <c r="I1978" s="23" t="n">
        <f aca="false">Test1_Hand!$B$4+H1978*D1978</f>
        <v>17.7131956659725</v>
      </c>
      <c r="J1978" s="24" t="n">
        <f aca="false">Test1_Hand!$B$6*H1978*D1978+Test1_Hand!$B$7*MAX(0,I1978-Test1_Hand!$B$5)+Test1_Hand!$B$14</f>
        <v>19705.5653277799</v>
      </c>
    </row>
    <row r="1979" customFormat="false" ht="15" hidden="false" customHeight="false" outlineLevel="0" collapsed="false">
      <c r="A1979" s="2" t="n">
        <v>1967</v>
      </c>
      <c r="B1979" s="22" t="n">
        <v>0.747562966656037</v>
      </c>
      <c r="C1979" s="22" t="n">
        <v>0.794600592237291</v>
      </c>
      <c r="D1979" s="23" t="n">
        <f aca="false">BETAINV(C1979,Test1_Hand!$B$21,Test1_Hand!$B$22,Test1_Hand!$B$9,Test1_Hand!$B$11)</f>
        <v>4.59720472839394</v>
      </c>
      <c r="E1979" s="2" t="n">
        <f aca="false">IF(B1979&lt;Test1_Hand!$B$12,1,0)</f>
        <v>0</v>
      </c>
      <c r="F1979" s="23" t="n">
        <f aca="false">Test1_Hand!$B$4+E1979*D1979</f>
        <v>16</v>
      </c>
      <c r="G1979" s="24" t="n">
        <f aca="false">Test1_Hand!$B$6*E1979*D1979+Test1_Hand!$B$7*MAX(0,F1979-Test1_Hand!$B$5)</f>
        <v>0</v>
      </c>
      <c r="H1979" s="2" t="n">
        <f aca="false">IF(B1979&lt;Test1_Hand!$B$13,1,0)</f>
        <v>0</v>
      </c>
      <c r="I1979" s="23" t="n">
        <f aca="false">Test1_Hand!$B$4+H1979*D1979</f>
        <v>16</v>
      </c>
      <c r="J1979" s="24" t="n">
        <f aca="false">Test1_Hand!$B$6*H1979*D1979+Test1_Hand!$B$7*MAX(0,I1979-Test1_Hand!$B$5)+Test1_Hand!$B$14</f>
        <v>6000</v>
      </c>
    </row>
    <row r="1980" customFormat="false" ht="15" hidden="false" customHeight="false" outlineLevel="0" collapsed="false">
      <c r="A1980" s="2" t="n">
        <v>1968</v>
      </c>
      <c r="B1980" s="22" t="n">
        <v>0.692598706321649</v>
      </c>
      <c r="C1980" s="22" t="n">
        <v>0.754247065499896</v>
      </c>
      <c r="D1980" s="23" t="n">
        <f aca="false">BETAINV(C1980,Test1_Hand!$B$21,Test1_Hand!$B$22,Test1_Hand!$B$9,Test1_Hand!$B$11)</f>
        <v>4.39506005597685</v>
      </c>
      <c r="E1980" s="2" t="n">
        <f aca="false">IF(B1980&lt;Test1_Hand!$B$12,1,0)</f>
        <v>0</v>
      </c>
      <c r="F1980" s="23" t="n">
        <f aca="false">Test1_Hand!$B$4+E1980*D1980</f>
        <v>16</v>
      </c>
      <c r="G1980" s="24" t="n">
        <f aca="false">Test1_Hand!$B$6*E1980*D1980+Test1_Hand!$B$7*MAX(0,F1980-Test1_Hand!$B$5)</f>
        <v>0</v>
      </c>
      <c r="H1980" s="2" t="n">
        <f aca="false">IF(B1980&lt;Test1_Hand!$B$13,1,0)</f>
        <v>0</v>
      </c>
      <c r="I1980" s="23" t="n">
        <f aca="false">Test1_Hand!$B$4+H1980*D1980</f>
        <v>16</v>
      </c>
      <c r="J1980" s="24" t="n">
        <f aca="false">Test1_Hand!$B$6*H1980*D1980+Test1_Hand!$B$7*MAX(0,I1980-Test1_Hand!$B$5)+Test1_Hand!$B$14</f>
        <v>6000</v>
      </c>
    </row>
    <row r="1981" customFormat="false" ht="15" hidden="false" customHeight="false" outlineLevel="0" collapsed="false">
      <c r="A1981" s="2" t="n">
        <v>1969</v>
      </c>
      <c r="B1981" s="22" t="n">
        <v>0.856832067579915</v>
      </c>
      <c r="C1981" s="22" t="n">
        <v>0.076628574670772</v>
      </c>
      <c r="D1981" s="23" t="n">
        <f aca="false">BETAINV(C1981,Test1_Hand!$B$21,Test1_Hand!$B$22,Test1_Hand!$B$9,Test1_Hand!$B$11)</f>
        <v>1.78567536508789</v>
      </c>
      <c r="E1981" s="2" t="n">
        <f aca="false">IF(B1981&lt;Test1_Hand!$B$12,1,0)</f>
        <v>0</v>
      </c>
      <c r="F1981" s="23" t="n">
        <f aca="false">Test1_Hand!$B$4+E1981*D1981</f>
        <v>16</v>
      </c>
      <c r="G1981" s="24" t="n">
        <f aca="false">Test1_Hand!$B$6*E1981*D1981+Test1_Hand!$B$7*MAX(0,F1981-Test1_Hand!$B$5)</f>
        <v>0</v>
      </c>
      <c r="H1981" s="2" t="n">
        <f aca="false">IF(B1981&lt;Test1_Hand!$B$13,1,0)</f>
        <v>0</v>
      </c>
      <c r="I1981" s="23" t="n">
        <f aca="false">Test1_Hand!$B$4+H1981*D1981</f>
        <v>16</v>
      </c>
      <c r="J1981" s="24" t="n">
        <f aca="false">Test1_Hand!$B$6*H1981*D1981+Test1_Hand!$B$7*MAX(0,I1981-Test1_Hand!$B$5)+Test1_Hand!$B$14</f>
        <v>6000</v>
      </c>
    </row>
    <row r="1982" customFormat="false" ht="15" hidden="false" customHeight="false" outlineLevel="0" collapsed="false">
      <c r="A1982" s="2" t="n">
        <v>1970</v>
      </c>
      <c r="B1982" s="22" t="n">
        <v>0.945314433085217</v>
      </c>
      <c r="C1982" s="22" t="n">
        <v>0.0671163594446216</v>
      </c>
      <c r="D1982" s="23" t="n">
        <f aca="false">BETAINV(C1982,Test1_Hand!$B$21,Test1_Hand!$B$22,Test1_Hand!$B$9,Test1_Hand!$B$11)</f>
        <v>1.73323771086412</v>
      </c>
      <c r="E1982" s="2" t="n">
        <f aca="false">IF(B1982&lt;Test1_Hand!$B$12,1,0)</f>
        <v>0</v>
      </c>
      <c r="F1982" s="23" t="n">
        <f aca="false">Test1_Hand!$B$4+E1982*D1982</f>
        <v>16</v>
      </c>
      <c r="G1982" s="24" t="n">
        <f aca="false">Test1_Hand!$B$6*E1982*D1982+Test1_Hand!$B$7*MAX(0,F1982-Test1_Hand!$B$5)</f>
        <v>0</v>
      </c>
      <c r="H1982" s="2" t="n">
        <f aca="false">IF(B1982&lt;Test1_Hand!$B$13,1,0)</f>
        <v>0</v>
      </c>
      <c r="I1982" s="23" t="n">
        <f aca="false">Test1_Hand!$B$4+H1982*D1982</f>
        <v>16</v>
      </c>
      <c r="J1982" s="24" t="n">
        <f aca="false">Test1_Hand!$B$6*H1982*D1982+Test1_Hand!$B$7*MAX(0,I1982-Test1_Hand!$B$5)+Test1_Hand!$B$14</f>
        <v>6000</v>
      </c>
    </row>
    <row r="1983" customFormat="false" ht="15" hidden="false" customHeight="false" outlineLevel="0" collapsed="false">
      <c r="A1983" s="2" t="n">
        <v>1971</v>
      </c>
      <c r="B1983" s="22" t="n">
        <v>0.566887306956106</v>
      </c>
      <c r="C1983" s="22" t="n">
        <v>0.723705607021503</v>
      </c>
      <c r="D1983" s="23" t="n">
        <f aca="false">BETAINV(C1983,Test1_Hand!$B$21,Test1_Hand!$B$22,Test1_Hand!$B$9,Test1_Hand!$B$11)</f>
        <v>4.25371650154945</v>
      </c>
      <c r="E1983" s="2" t="n">
        <f aca="false">IF(B1983&lt;Test1_Hand!$B$12,1,0)</f>
        <v>0</v>
      </c>
      <c r="F1983" s="23" t="n">
        <f aca="false">Test1_Hand!$B$4+E1983*D1983</f>
        <v>16</v>
      </c>
      <c r="G1983" s="24" t="n">
        <f aca="false">Test1_Hand!$B$6*E1983*D1983+Test1_Hand!$B$7*MAX(0,F1983-Test1_Hand!$B$5)</f>
        <v>0</v>
      </c>
      <c r="H1983" s="2" t="n">
        <f aca="false">IF(B1983&lt;Test1_Hand!$B$13,1,0)</f>
        <v>0</v>
      </c>
      <c r="I1983" s="23" t="n">
        <f aca="false">Test1_Hand!$B$4+H1983*D1983</f>
        <v>16</v>
      </c>
      <c r="J1983" s="24" t="n">
        <f aca="false">Test1_Hand!$B$6*H1983*D1983+Test1_Hand!$B$7*MAX(0,I1983-Test1_Hand!$B$5)+Test1_Hand!$B$14</f>
        <v>6000</v>
      </c>
    </row>
    <row r="1984" customFormat="false" ht="15" hidden="false" customHeight="false" outlineLevel="0" collapsed="false">
      <c r="A1984" s="2" t="n">
        <v>1972</v>
      </c>
      <c r="B1984" s="22" t="n">
        <v>0.563800987903962</v>
      </c>
      <c r="C1984" s="22" t="n">
        <v>0.500801972143973</v>
      </c>
      <c r="D1984" s="23" t="n">
        <f aca="false">BETAINV(C1984,Test1_Hand!$B$21,Test1_Hand!$B$22,Test1_Hand!$B$9,Test1_Hand!$B$11)</f>
        <v>3.38541908063344</v>
      </c>
      <c r="E1984" s="2" t="n">
        <f aca="false">IF(B1984&lt;Test1_Hand!$B$12,1,0)</f>
        <v>0</v>
      </c>
      <c r="F1984" s="23" t="n">
        <f aca="false">Test1_Hand!$B$4+E1984*D1984</f>
        <v>16</v>
      </c>
      <c r="G1984" s="24" t="n">
        <f aca="false">Test1_Hand!$B$6*E1984*D1984+Test1_Hand!$B$7*MAX(0,F1984-Test1_Hand!$B$5)</f>
        <v>0</v>
      </c>
      <c r="H1984" s="2" t="n">
        <f aca="false">IF(B1984&lt;Test1_Hand!$B$13,1,0)</f>
        <v>0</v>
      </c>
      <c r="I1984" s="23" t="n">
        <f aca="false">Test1_Hand!$B$4+H1984*D1984</f>
        <v>16</v>
      </c>
      <c r="J1984" s="24" t="n">
        <f aca="false">Test1_Hand!$B$6*H1984*D1984+Test1_Hand!$B$7*MAX(0,I1984-Test1_Hand!$B$5)+Test1_Hand!$B$14</f>
        <v>6000</v>
      </c>
    </row>
    <row r="1985" customFormat="false" ht="15" hidden="false" customHeight="false" outlineLevel="0" collapsed="false">
      <c r="A1985" s="2" t="n">
        <v>1973</v>
      </c>
      <c r="B1985" s="22" t="n">
        <v>0.0600441559460484</v>
      </c>
      <c r="C1985" s="22" t="n">
        <v>0.109118635170446</v>
      </c>
      <c r="D1985" s="23" t="n">
        <f aca="false">BETAINV(C1985,Test1_Hand!$B$21,Test1_Hand!$B$22,Test1_Hand!$B$9,Test1_Hand!$B$11)</f>
        <v>1.94764739439484</v>
      </c>
      <c r="E1985" s="2" t="n">
        <f aca="false">IF(B1985&lt;Test1_Hand!$B$12,1,0)</f>
        <v>1</v>
      </c>
      <c r="F1985" s="23" t="n">
        <f aca="false">Test1_Hand!$B$4+E1985*D1985</f>
        <v>17.9476473943948</v>
      </c>
      <c r="G1985" s="24" t="n">
        <f aca="false">Test1_Hand!$B$6*E1985*D1985+Test1_Hand!$B$7*MAX(0,F1985-Test1_Hand!$B$5)</f>
        <v>15581.1791551588</v>
      </c>
      <c r="H1985" s="2" t="n">
        <f aca="false">IF(B1985&lt;Test1_Hand!$B$13,1,0)</f>
        <v>1</v>
      </c>
      <c r="I1985" s="23" t="n">
        <f aca="false">Test1_Hand!$B$4+H1985*D1985</f>
        <v>17.9476473943948</v>
      </c>
      <c r="J1985" s="24" t="n">
        <f aca="false">Test1_Hand!$B$6*H1985*D1985+Test1_Hand!$B$7*MAX(0,I1985-Test1_Hand!$B$5)+Test1_Hand!$B$14</f>
        <v>21581.1791551588</v>
      </c>
    </row>
    <row r="1986" customFormat="false" ht="15" hidden="false" customHeight="false" outlineLevel="0" collapsed="false">
      <c r="A1986" s="2" t="n">
        <v>1974</v>
      </c>
      <c r="B1986" s="22" t="n">
        <v>0.563689901954722</v>
      </c>
      <c r="C1986" s="22" t="n">
        <v>0.778915427386903</v>
      </c>
      <c r="D1986" s="23" t="n">
        <f aca="false">BETAINV(C1986,Test1_Hand!$B$21,Test1_Hand!$B$22,Test1_Hand!$B$9,Test1_Hand!$B$11)</f>
        <v>4.5162337018267</v>
      </c>
      <c r="E1986" s="2" t="n">
        <f aca="false">IF(B1986&lt;Test1_Hand!$B$12,1,0)</f>
        <v>0</v>
      </c>
      <c r="F1986" s="23" t="n">
        <f aca="false">Test1_Hand!$B$4+E1986*D1986</f>
        <v>16</v>
      </c>
      <c r="G1986" s="24" t="n">
        <f aca="false">Test1_Hand!$B$6*E1986*D1986+Test1_Hand!$B$7*MAX(0,F1986-Test1_Hand!$B$5)</f>
        <v>0</v>
      </c>
      <c r="H1986" s="2" t="n">
        <f aca="false">IF(B1986&lt;Test1_Hand!$B$13,1,0)</f>
        <v>0</v>
      </c>
      <c r="I1986" s="23" t="n">
        <f aca="false">Test1_Hand!$B$4+H1986*D1986</f>
        <v>16</v>
      </c>
      <c r="J1986" s="24" t="n">
        <f aca="false">Test1_Hand!$B$6*H1986*D1986+Test1_Hand!$B$7*MAX(0,I1986-Test1_Hand!$B$5)+Test1_Hand!$B$14</f>
        <v>6000</v>
      </c>
    </row>
    <row r="1987" customFormat="false" ht="15" hidden="false" customHeight="false" outlineLevel="0" collapsed="false">
      <c r="A1987" s="2" t="n">
        <v>1975</v>
      </c>
      <c r="B1987" s="22" t="n">
        <v>0.889110268811732</v>
      </c>
      <c r="C1987" s="22" t="n">
        <v>0.835103191695059</v>
      </c>
      <c r="D1987" s="23" t="n">
        <f aca="false">BETAINV(C1987,Test1_Hand!$B$21,Test1_Hand!$B$22,Test1_Hand!$B$9,Test1_Hand!$B$11)</f>
        <v>4.82423456813216</v>
      </c>
      <c r="E1987" s="2" t="n">
        <f aca="false">IF(B1987&lt;Test1_Hand!$B$12,1,0)</f>
        <v>0</v>
      </c>
      <c r="F1987" s="23" t="n">
        <f aca="false">Test1_Hand!$B$4+E1987*D1987</f>
        <v>16</v>
      </c>
      <c r="G1987" s="24" t="n">
        <f aca="false">Test1_Hand!$B$6*E1987*D1987+Test1_Hand!$B$7*MAX(0,F1987-Test1_Hand!$B$5)</f>
        <v>0</v>
      </c>
      <c r="H1987" s="2" t="n">
        <f aca="false">IF(B1987&lt;Test1_Hand!$B$13,1,0)</f>
        <v>0</v>
      </c>
      <c r="I1987" s="23" t="n">
        <f aca="false">Test1_Hand!$B$4+H1987*D1987</f>
        <v>16</v>
      </c>
      <c r="J1987" s="24" t="n">
        <f aca="false">Test1_Hand!$B$6*H1987*D1987+Test1_Hand!$B$7*MAX(0,I1987-Test1_Hand!$B$5)+Test1_Hand!$B$14</f>
        <v>6000</v>
      </c>
    </row>
    <row r="1988" customFormat="false" ht="15" hidden="false" customHeight="false" outlineLevel="0" collapsed="false">
      <c r="A1988" s="2" t="n">
        <v>1976</v>
      </c>
      <c r="B1988" s="22" t="n">
        <v>0.857295749813003</v>
      </c>
      <c r="C1988" s="22" t="n">
        <v>0.260093273483183</v>
      </c>
      <c r="D1988" s="23" t="n">
        <f aca="false">BETAINV(C1988,Test1_Hand!$B$21,Test1_Hand!$B$22,Test1_Hand!$B$9,Test1_Hand!$B$11)</f>
        <v>2.548855872267</v>
      </c>
      <c r="E1988" s="2" t="n">
        <f aca="false">IF(B1988&lt;Test1_Hand!$B$12,1,0)</f>
        <v>0</v>
      </c>
      <c r="F1988" s="23" t="n">
        <f aca="false">Test1_Hand!$B$4+E1988*D1988</f>
        <v>16</v>
      </c>
      <c r="G1988" s="24" t="n">
        <f aca="false">Test1_Hand!$B$6*E1988*D1988+Test1_Hand!$B$7*MAX(0,F1988-Test1_Hand!$B$5)</f>
        <v>0</v>
      </c>
      <c r="H1988" s="2" t="n">
        <f aca="false">IF(B1988&lt;Test1_Hand!$B$13,1,0)</f>
        <v>0</v>
      </c>
      <c r="I1988" s="23" t="n">
        <f aca="false">Test1_Hand!$B$4+H1988*D1988</f>
        <v>16</v>
      </c>
      <c r="J1988" s="24" t="n">
        <f aca="false">Test1_Hand!$B$6*H1988*D1988+Test1_Hand!$B$7*MAX(0,I1988-Test1_Hand!$B$5)+Test1_Hand!$B$14</f>
        <v>6000</v>
      </c>
    </row>
    <row r="1989" customFormat="false" ht="15" hidden="false" customHeight="false" outlineLevel="0" collapsed="false">
      <c r="A1989" s="2" t="n">
        <v>1977</v>
      </c>
      <c r="B1989" s="22" t="n">
        <v>0.0826274547654948</v>
      </c>
      <c r="C1989" s="22" t="n">
        <v>0.365157345061136</v>
      </c>
      <c r="D1989" s="23" t="n">
        <f aca="false">BETAINV(C1989,Test1_Hand!$B$21,Test1_Hand!$B$22,Test1_Hand!$B$9,Test1_Hand!$B$11)</f>
        <v>2.91606830166282</v>
      </c>
      <c r="E1989" s="2" t="n">
        <f aca="false">IF(B1989&lt;Test1_Hand!$B$12,1,0)</f>
        <v>1</v>
      </c>
      <c r="F1989" s="23" t="n">
        <f aca="false">Test1_Hand!$B$4+E1989*D1989</f>
        <v>18.9160683016628</v>
      </c>
      <c r="G1989" s="24" t="n">
        <f aca="false">Test1_Hand!$B$6*E1989*D1989+Test1_Hand!$B$7*MAX(0,F1989-Test1_Hand!$B$5)</f>
        <v>23328.5464133026</v>
      </c>
      <c r="H1989" s="2" t="n">
        <f aca="false">IF(B1989&lt;Test1_Hand!$B$13,1,0)</f>
        <v>1</v>
      </c>
      <c r="I1989" s="23" t="n">
        <f aca="false">Test1_Hand!$B$4+H1989*D1989</f>
        <v>18.9160683016628</v>
      </c>
      <c r="J1989" s="24" t="n">
        <f aca="false">Test1_Hand!$B$6*H1989*D1989+Test1_Hand!$B$7*MAX(0,I1989-Test1_Hand!$B$5)+Test1_Hand!$B$14</f>
        <v>29328.5464133026</v>
      </c>
    </row>
    <row r="1990" customFormat="false" ht="15" hidden="false" customHeight="false" outlineLevel="0" collapsed="false">
      <c r="A1990" s="2" t="n">
        <v>1978</v>
      </c>
      <c r="B1990" s="22" t="n">
        <v>0.490301110672322</v>
      </c>
      <c r="C1990" s="22" t="n">
        <v>0.215159280365561</v>
      </c>
      <c r="D1990" s="23" t="n">
        <f aca="false">BETAINV(C1990,Test1_Hand!$B$21,Test1_Hand!$B$22,Test1_Hand!$B$9,Test1_Hand!$B$11)</f>
        <v>2.38412877670313</v>
      </c>
      <c r="E1990" s="2" t="n">
        <f aca="false">IF(B1990&lt;Test1_Hand!$B$12,1,0)</f>
        <v>1</v>
      </c>
      <c r="F1990" s="23" t="n">
        <f aca="false">Test1_Hand!$B$4+E1990*D1990</f>
        <v>18.3841287767031</v>
      </c>
      <c r="G1990" s="24" t="n">
        <f aca="false">Test1_Hand!$B$6*E1990*D1990+Test1_Hand!$B$7*MAX(0,F1990-Test1_Hand!$B$5)</f>
        <v>19073.030213625</v>
      </c>
      <c r="H1990" s="2" t="n">
        <f aca="false">IF(B1990&lt;Test1_Hand!$B$13,1,0)</f>
        <v>0</v>
      </c>
      <c r="I1990" s="23" t="n">
        <f aca="false">Test1_Hand!$B$4+H1990*D1990</f>
        <v>16</v>
      </c>
      <c r="J1990" s="24" t="n">
        <f aca="false">Test1_Hand!$B$6*H1990*D1990+Test1_Hand!$B$7*MAX(0,I1990-Test1_Hand!$B$5)+Test1_Hand!$B$14</f>
        <v>6000</v>
      </c>
    </row>
    <row r="1991" customFormat="false" ht="15" hidden="false" customHeight="false" outlineLevel="0" collapsed="false">
      <c r="A1991" s="2" t="n">
        <v>1979</v>
      </c>
      <c r="B1991" s="22" t="n">
        <v>0.240646701877639</v>
      </c>
      <c r="C1991" s="22" t="n">
        <v>0.367248446488417</v>
      </c>
      <c r="D1991" s="23" t="n">
        <f aca="false">BETAINV(C1991,Test1_Hand!$B$21,Test1_Hand!$B$22,Test1_Hand!$B$9,Test1_Hand!$B$11)</f>
        <v>2.92325722492639</v>
      </c>
      <c r="E1991" s="2" t="n">
        <f aca="false">IF(B1991&lt;Test1_Hand!$B$12,1,0)</f>
        <v>1</v>
      </c>
      <c r="F1991" s="23" t="n">
        <f aca="false">Test1_Hand!$B$4+E1991*D1991</f>
        <v>18.9232572249264</v>
      </c>
      <c r="G1991" s="24" t="n">
        <f aca="false">Test1_Hand!$B$6*E1991*D1991+Test1_Hand!$B$7*MAX(0,F1991-Test1_Hand!$B$5)</f>
        <v>23386.0577994112</v>
      </c>
      <c r="H1991" s="2" t="n">
        <f aca="false">IF(B1991&lt;Test1_Hand!$B$13,1,0)</f>
        <v>0</v>
      </c>
      <c r="I1991" s="23" t="n">
        <f aca="false">Test1_Hand!$B$4+H1991*D1991</f>
        <v>16</v>
      </c>
      <c r="J1991" s="24" t="n">
        <f aca="false">Test1_Hand!$B$6*H1991*D1991+Test1_Hand!$B$7*MAX(0,I1991-Test1_Hand!$B$5)+Test1_Hand!$B$14</f>
        <v>6000</v>
      </c>
    </row>
    <row r="1992" customFormat="false" ht="15" hidden="false" customHeight="false" outlineLevel="0" collapsed="false">
      <c r="A1992" s="2" t="n">
        <v>1980</v>
      </c>
      <c r="B1992" s="22" t="n">
        <v>0.908024176062236</v>
      </c>
      <c r="C1992" s="22" t="n">
        <v>0.577078715273667</v>
      </c>
      <c r="D1992" s="23" t="n">
        <f aca="false">BETAINV(C1992,Test1_Hand!$B$21,Test1_Hand!$B$22,Test1_Hand!$B$9,Test1_Hand!$B$11)</f>
        <v>3.66104449995581</v>
      </c>
      <c r="E1992" s="2" t="n">
        <f aca="false">IF(B1992&lt;Test1_Hand!$B$12,1,0)</f>
        <v>0</v>
      </c>
      <c r="F1992" s="23" t="n">
        <f aca="false">Test1_Hand!$B$4+E1992*D1992</f>
        <v>16</v>
      </c>
      <c r="G1992" s="24" t="n">
        <f aca="false">Test1_Hand!$B$6*E1992*D1992+Test1_Hand!$B$7*MAX(0,F1992-Test1_Hand!$B$5)</f>
        <v>0</v>
      </c>
      <c r="H1992" s="2" t="n">
        <f aca="false">IF(B1992&lt;Test1_Hand!$B$13,1,0)</f>
        <v>0</v>
      </c>
      <c r="I1992" s="23" t="n">
        <f aca="false">Test1_Hand!$B$4+H1992*D1992</f>
        <v>16</v>
      </c>
      <c r="J1992" s="24" t="n">
        <f aca="false">Test1_Hand!$B$6*H1992*D1992+Test1_Hand!$B$7*MAX(0,I1992-Test1_Hand!$B$5)+Test1_Hand!$B$14</f>
        <v>6000</v>
      </c>
    </row>
    <row r="1993" customFormat="false" ht="15" hidden="false" customHeight="false" outlineLevel="0" collapsed="false">
      <c r="A1993" s="2" t="n">
        <v>1981</v>
      </c>
      <c r="B1993" s="22" t="n">
        <v>0.235281896108571</v>
      </c>
      <c r="C1993" s="22" t="n">
        <v>0.892254076932156</v>
      </c>
      <c r="D1993" s="23" t="n">
        <f aca="false">BETAINV(C1993,Test1_Hand!$B$21,Test1_Hand!$B$22,Test1_Hand!$B$9,Test1_Hand!$B$11)</f>
        <v>5.21107566882069</v>
      </c>
      <c r="E1993" s="2" t="n">
        <f aca="false">IF(B1993&lt;Test1_Hand!$B$12,1,0)</f>
        <v>1</v>
      </c>
      <c r="F1993" s="23" t="n">
        <f aca="false">Test1_Hand!$B$4+E1993*D1993</f>
        <v>21.2110756688207</v>
      </c>
      <c r="G1993" s="24" t="n">
        <f aca="false">Test1_Hand!$B$6*E1993*D1993+Test1_Hand!$B$7*MAX(0,F1993-Test1_Hand!$B$5)</f>
        <v>47743.983694669</v>
      </c>
      <c r="H1993" s="2" t="n">
        <f aca="false">IF(B1993&lt;Test1_Hand!$B$13,1,0)</f>
        <v>0</v>
      </c>
      <c r="I1993" s="23" t="n">
        <f aca="false">Test1_Hand!$B$4+H1993*D1993</f>
        <v>16</v>
      </c>
      <c r="J1993" s="24" t="n">
        <f aca="false">Test1_Hand!$B$6*H1993*D1993+Test1_Hand!$B$7*MAX(0,I1993-Test1_Hand!$B$5)+Test1_Hand!$B$14</f>
        <v>6000</v>
      </c>
    </row>
    <row r="1994" customFormat="false" ht="15" hidden="false" customHeight="false" outlineLevel="0" collapsed="false">
      <c r="A1994" s="2" t="n">
        <v>1982</v>
      </c>
      <c r="B1994" s="22" t="n">
        <v>0.339822414963028</v>
      </c>
      <c r="C1994" s="22" t="n">
        <v>0.423616764935887</v>
      </c>
      <c r="D1994" s="23" t="n">
        <f aca="false">BETAINV(C1994,Test1_Hand!$B$21,Test1_Hand!$B$22,Test1_Hand!$B$9,Test1_Hand!$B$11)</f>
        <v>3.11692470829693</v>
      </c>
      <c r="E1994" s="2" t="n">
        <f aca="false">IF(B1994&lt;Test1_Hand!$B$12,1,0)</f>
        <v>1</v>
      </c>
      <c r="F1994" s="23" t="n">
        <f aca="false">Test1_Hand!$B$4+E1994*D1994</f>
        <v>19.1169247082969</v>
      </c>
      <c r="G1994" s="24" t="n">
        <f aca="false">Test1_Hand!$B$6*E1994*D1994+Test1_Hand!$B$7*MAX(0,F1994-Test1_Hand!$B$5)</f>
        <v>24935.3976663754</v>
      </c>
      <c r="H1994" s="2" t="n">
        <f aca="false">IF(B1994&lt;Test1_Hand!$B$13,1,0)</f>
        <v>0</v>
      </c>
      <c r="I1994" s="23" t="n">
        <f aca="false">Test1_Hand!$B$4+H1994*D1994</f>
        <v>16</v>
      </c>
      <c r="J1994" s="24" t="n">
        <f aca="false">Test1_Hand!$B$6*H1994*D1994+Test1_Hand!$B$7*MAX(0,I1994-Test1_Hand!$B$5)+Test1_Hand!$B$14</f>
        <v>6000</v>
      </c>
    </row>
    <row r="1995" customFormat="false" ht="15" hidden="false" customHeight="false" outlineLevel="0" collapsed="false">
      <c r="A1995" s="2" t="n">
        <v>1983</v>
      </c>
      <c r="B1995" s="22" t="n">
        <v>0.741923696736333</v>
      </c>
      <c r="C1995" s="22" t="n">
        <v>0.864873827977783</v>
      </c>
      <c r="D1995" s="23" t="n">
        <f aca="false">BETAINV(C1995,Test1_Hand!$B$21,Test1_Hand!$B$22,Test1_Hand!$B$9,Test1_Hand!$B$11)</f>
        <v>5.01317338197397</v>
      </c>
      <c r="E1995" s="2" t="n">
        <f aca="false">IF(B1995&lt;Test1_Hand!$B$12,1,0)</f>
        <v>0</v>
      </c>
      <c r="F1995" s="23" t="n">
        <f aca="false">Test1_Hand!$B$4+E1995*D1995</f>
        <v>16</v>
      </c>
      <c r="G1995" s="24" t="n">
        <f aca="false">Test1_Hand!$B$6*E1995*D1995+Test1_Hand!$B$7*MAX(0,F1995-Test1_Hand!$B$5)</f>
        <v>0</v>
      </c>
      <c r="H1995" s="2" t="n">
        <f aca="false">IF(B1995&lt;Test1_Hand!$B$13,1,0)</f>
        <v>0</v>
      </c>
      <c r="I1995" s="23" t="n">
        <f aca="false">Test1_Hand!$B$4+H1995*D1995</f>
        <v>16</v>
      </c>
      <c r="J1995" s="24" t="n">
        <f aca="false">Test1_Hand!$B$6*H1995*D1995+Test1_Hand!$B$7*MAX(0,I1995-Test1_Hand!$B$5)+Test1_Hand!$B$14</f>
        <v>6000</v>
      </c>
    </row>
    <row r="1996" customFormat="false" ht="15" hidden="false" customHeight="false" outlineLevel="0" collapsed="false">
      <c r="A1996" s="2" t="n">
        <v>1984</v>
      </c>
      <c r="B1996" s="22" t="n">
        <v>0.195433476239601</v>
      </c>
      <c r="C1996" s="22" t="n">
        <v>0.125957974875112</v>
      </c>
      <c r="D1996" s="23" t="n">
        <f aca="false">BETAINV(C1996,Test1_Hand!$B$21,Test1_Hand!$B$22,Test1_Hand!$B$9,Test1_Hand!$B$11)</f>
        <v>2.0242167762485</v>
      </c>
      <c r="E1996" s="2" t="n">
        <f aca="false">IF(B1996&lt;Test1_Hand!$B$12,1,0)</f>
        <v>1</v>
      </c>
      <c r="F1996" s="23" t="n">
        <f aca="false">Test1_Hand!$B$4+E1996*D1996</f>
        <v>18.0242167762485</v>
      </c>
      <c r="G1996" s="24" t="n">
        <f aca="false">Test1_Hand!$B$6*E1996*D1996+Test1_Hand!$B$7*MAX(0,F1996-Test1_Hand!$B$5)</f>
        <v>16193.734209988</v>
      </c>
      <c r="H1996" s="2" t="n">
        <f aca="false">IF(B1996&lt;Test1_Hand!$B$13,1,0)</f>
        <v>1</v>
      </c>
      <c r="I1996" s="23" t="n">
        <f aca="false">Test1_Hand!$B$4+H1996*D1996</f>
        <v>18.0242167762485</v>
      </c>
      <c r="J1996" s="24" t="n">
        <f aca="false">Test1_Hand!$B$6*H1996*D1996+Test1_Hand!$B$7*MAX(0,I1996-Test1_Hand!$B$5)+Test1_Hand!$B$14</f>
        <v>22193.734209988</v>
      </c>
    </row>
    <row r="1997" customFormat="false" ht="15" hidden="false" customHeight="false" outlineLevel="0" collapsed="false">
      <c r="A1997" s="2" t="n">
        <v>1985</v>
      </c>
      <c r="B1997" s="22" t="n">
        <v>0.733879562771142</v>
      </c>
      <c r="C1997" s="22" t="n">
        <v>0.0840803825703277</v>
      </c>
      <c r="D1997" s="23" t="n">
        <f aca="false">BETAINV(C1997,Test1_Hand!$B$21,Test1_Hand!$B$22,Test1_Hand!$B$9,Test1_Hand!$B$11)</f>
        <v>1.82490932168892</v>
      </c>
      <c r="E1997" s="2" t="n">
        <f aca="false">IF(B1997&lt;Test1_Hand!$B$12,1,0)</f>
        <v>0</v>
      </c>
      <c r="F1997" s="23" t="n">
        <f aca="false">Test1_Hand!$B$4+E1997*D1997</f>
        <v>16</v>
      </c>
      <c r="G1997" s="24" t="n">
        <f aca="false">Test1_Hand!$B$6*E1997*D1997+Test1_Hand!$B$7*MAX(0,F1997-Test1_Hand!$B$5)</f>
        <v>0</v>
      </c>
      <c r="H1997" s="2" t="n">
        <f aca="false">IF(B1997&lt;Test1_Hand!$B$13,1,0)</f>
        <v>0</v>
      </c>
      <c r="I1997" s="23" t="n">
        <f aca="false">Test1_Hand!$B$4+H1997*D1997</f>
        <v>16</v>
      </c>
      <c r="J1997" s="24" t="n">
        <f aca="false">Test1_Hand!$B$6*H1997*D1997+Test1_Hand!$B$7*MAX(0,I1997-Test1_Hand!$B$5)+Test1_Hand!$B$14</f>
        <v>6000</v>
      </c>
    </row>
    <row r="1998" customFormat="false" ht="15" hidden="false" customHeight="false" outlineLevel="0" collapsed="false">
      <c r="A1998" s="2" t="n">
        <v>1986</v>
      </c>
      <c r="B1998" s="22" t="n">
        <v>0.43186102954059</v>
      </c>
      <c r="C1998" s="22" t="n">
        <v>0.441578678692776</v>
      </c>
      <c r="D1998" s="23" t="n">
        <f aca="false">BETAINV(C1998,Test1_Hand!$B$21,Test1_Hand!$B$22,Test1_Hand!$B$9,Test1_Hand!$B$11)</f>
        <v>3.17886079472697</v>
      </c>
      <c r="E1998" s="2" t="n">
        <f aca="false">IF(B1998&lt;Test1_Hand!$B$12,1,0)</f>
        <v>1</v>
      </c>
      <c r="F1998" s="23" t="n">
        <f aca="false">Test1_Hand!$B$4+E1998*D1998</f>
        <v>19.178860794727</v>
      </c>
      <c r="G1998" s="24" t="n">
        <f aca="false">Test1_Hand!$B$6*E1998*D1998+Test1_Hand!$B$7*MAX(0,F1998-Test1_Hand!$B$5)</f>
        <v>25430.8863578158</v>
      </c>
      <c r="H1998" s="2" t="n">
        <f aca="false">IF(B1998&lt;Test1_Hand!$B$13,1,0)</f>
        <v>0</v>
      </c>
      <c r="I1998" s="23" t="n">
        <f aca="false">Test1_Hand!$B$4+H1998*D1998</f>
        <v>16</v>
      </c>
      <c r="J1998" s="24" t="n">
        <f aca="false">Test1_Hand!$B$6*H1998*D1998+Test1_Hand!$B$7*MAX(0,I1998-Test1_Hand!$B$5)+Test1_Hand!$B$14</f>
        <v>6000</v>
      </c>
    </row>
    <row r="1999" customFormat="false" ht="15" hidden="false" customHeight="false" outlineLevel="0" collapsed="false">
      <c r="A1999" s="2" t="n">
        <v>1987</v>
      </c>
      <c r="B1999" s="22" t="n">
        <v>0.480192894013575</v>
      </c>
      <c r="C1999" s="22" t="n">
        <v>0.831218947152227</v>
      </c>
      <c r="D1999" s="23" t="n">
        <f aca="false">BETAINV(C1999,Test1_Hand!$B$21,Test1_Hand!$B$22,Test1_Hand!$B$9,Test1_Hand!$B$11)</f>
        <v>4.80114073060494</v>
      </c>
      <c r="E1999" s="2" t="n">
        <f aca="false">IF(B1999&lt;Test1_Hand!$B$12,1,0)</f>
        <v>1</v>
      </c>
      <c r="F1999" s="23" t="n">
        <f aca="false">Test1_Hand!$B$4+E1999*D1999</f>
        <v>20.8011407306049</v>
      </c>
      <c r="G1999" s="24" t="n">
        <f aca="false">Test1_Hand!$B$6*E1999*D1999+Test1_Hand!$B$7*MAX(0,F1999-Test1_Hand!$B$5)</f>
        <v>42414.8294978643</v>
      </c>
      <c r="H1999" s="2" t="n">
        <f aca="false">IF(B1999&lt;Test1_Hand!$B$13,1,0)</f>
        <v>0</v>
      </c>
      <c r="I1999" s="23" t="n">
        <f aca="false">Test1_Hand!$B$4+H1999*D1999</f>
        <v>16</v>
      </c>
      <c r="J1999" s="24" t="n">
        <f aca="false">Test1_Hand!$B$6*H1999*D1999+Test1_Hand!$B$7*MAX(0,I1999-Test1_Hand!$B$5)+Test1_Hand!$B$14</f>
        <v>6000</v>
      </c>
    </row>
    <row r="2000" customFormat="false" ht="15" hidden="false" customHeight="false" outlineLevel="0" collapsed="false">
      <c r="A2000" s="2" t="n">
        <v>1988</v>
      </c>
      <c r="B2000" s="22" t="n">
        <v>0.653614592568541</v>
      </c>
      <c r="C2000" s="22" t="n">
        <v>0.157227976175155</v>
      </c>
      <c r="D2000" s="23" t="n">
        <f aca="false">BETAINV(C2000,Test1_Hand!$B$21,Test1_Hand!$B$22,Test1_Hand!$B$9,Test1_Hand!$B$11)</f>
        <v>2.15746320971094</v>
      </c>
      <c r="E2000" s="2" t="n">
        <f aca="false">IF(B2000&lt;Test1_Hand!$B$12,1,0)</f>
        <v>0</v>
      </c>
      <c r="F2000" s="23" t="n">
        <f aca="false">Test1_Hand!$B$4+E2000*D2000</f>
        <v>16</v>
      </c>
      <c r="G2000" s="24" t="n">
        <f aca="false">Test1_Hand!$B$6*E2000*D2000+Test1_Hand!$B$7*MAX(0,F2000-Test1_Hand!$B$5)</f>
        <v>0</v>
      </c>
      <c r="H2000" s="2" t="n">
        <f aca="false">IF(B2000&lt;Test1_Hand!$B$13,1,0)</f>
        <v>0</v>
      </c>
      <c r="I2000" s="23" t="n">
        <f aca="false">Test1_Hand!$B$4+H2000*D2000</f>
        <v>16</v>
      </c>
      <c r="J2000" s="24" t="n">
        <f aca="false">Test1_Hand!$B$6*H2000*D2000+Test1_Hand!$B$7*MAX(0,I2000-Test1_Hand!$B$5)+Test1_Hand!$B$14</f>
        <v>6000</v>
      </c>
    </row>
    <row r="2001" customFormat="false" ht="15" hidden="false" customHeight="false" outlineLevel="0" collapsed="false">
      <c r="A2001" s="2" t="n">
        <v>1989</v>
      </c>
      <c r="B2001" s="22" t="n">
        <v>0.905025126283716</v>
      </c>
      <c r="C2001" s="22" t="n">
        <v>0.68045389561963</v>
      </c>
      <c r="D2001" s="23" t="n">
        <f aca="false">BETAINV(C2001,Test1_Hand!$B$21,Test1_Hand!$B$22,Test1_Hand!$B$9,Test1_Hand!$B$11)</f>
        <v>4.06649957790193</v>
      </c>
      <c r="E2001" s="2" t="n">
        <f aca="false">IF(B2001&lt;Test1_Hand!$B$12,1,0)</f>
        <v>0</v>
      </c>
      <c r="F2001" s="23" t="n">
        <f aca="false">Test1_Hand!$B$4+E2001*D2001</f>
        <v>16</v>
      </c>
      <c r="G2001" s="24" t="n">
        <f aca="false">Test1_Hand!$B$6*E2001*D2001+Test1_Hand!$B$7*MAX(0,F2001-Test1_Hand!$B$5)</f>
        <v>0</v>
      </c>
      <c r="H2001" s="2" t="n">
        <f aca="false">IF(B2001&lt;Test1_Hand!$B$13,1,0)</f>
        <v>0</v>
      </c>
      <c r="I2001" s="23" t="n">
        <f aca="false">Test1_Hand!$B$4+H2001*D2001</f>
        <v>16</v>
      </c>
      <c r="J2001" s="24" t="n">
        <f aca="false">Test1_Hand!$B$6*H2001*D2001+Test1_Hand!$B$7*MAX(0,I2001-Test1_Hand!$B$5)+Test1_Hand!$B$14</f>
        <v>6000</v>
      </c>
    </row>
    <row r="2002" customFormat="false" ht="15" hidden="false" customHeight="false" outlineLevel="0" collapsed="false">
      <c r="A2002" s="2" t="n">
        <v>1990</v>
      </c>
      <c r="B2002" s="22" t="n">
        <v>0.619381012477086</v>
      </c>
      <c r="C2002" s="22" t="n">
        <v>0.942929003766403</v>
      </c>
      <c r="D2002" s="23" t="n">
        <f aca="false">BETAINV(C2002,Test1_Hand!$B$21,Test1_Hand!$B$22,Test1_Hand!$B$9,Test1_Hand!$B$11)</f>
        <v>5.68722554100844</v>
      </c>
      <c r="E2002" s="2" t="n">
        <f aca="false">IF(B2002&lt;Test1_Hand!$B$12,1,0)</f>
        <v>0</v>
      </c>
      <c r="F2002" s="23" t="n">
        <f aca="false">Test1_Hand!$B$4+E2002*D2002</f>
        <v>16</v>
      </c>
      <c r="G2002" s="24" t="n">
        <f aca="false">Test1_Hand!$B$6*E2002*D2002+Test1_Hand!$B$7*MAX(0,F2002-Test1_Hand!$B$5)</f>
        <v>0</v>
      </c>
      <c r="H2002" s="2" t="n">
        <f aca="false">IF(B2002&lt;Test1_Hand!$B$13,1,0)</f>
        <v>0</v>
      </c>
      <c r="I2002" s="23" t="n">
        <f aca="false">Test1_Hand!$B$4+H2002*D2002</f>
        <v>16</v>
      </c>
      <c r="J2002" s="24" t="n">
        <f aca="false">Test1_Hand!$B$6*H2002*D2002+Test1_Hand!$B$7*MAX(0,I2002-Test1_Hand!$B$5)+Test1_Hand!$B$14</f>
        <v>6000</v>
      </c>
    </row>
    <row r="2003" customFormat="false" ht="15" hidden="false" customHeight="false" outlineLevel="0" collapsed="false">
      <c r="A2003" s="2" t="n">
        <v>1991</v>
      </c>
      <c r="B2003" s="22" t="n">
        <v>0.42469347557414</v>
      </c>
      <c r="C2003" s="22" t="n">
        <v>0.234408308182459</v>
      </c>
      <c r="D2003" s="23" t="n">
        <f aca="false">BETAINV(C2003,Test1_Hand!$B$21,Test1_Hand!$B$22,Test1_Hand!$B$9,Test1_Hand!$B$11)</f>
        <v>2.45557935238273</v>
      </c>
      <c r="E2003" s="2" t="n">
        <f aca="false">IF(B2003&lt;Test1_Hand!$B$12,1,0)</f>
        <v>1</v>
      </c>
      <c r="F2003" s="23" t="n">
        <f aca="false">Test1_Hand!$B$4+E2003*D2003</f>
        <v>18.4555793523827</v>
      </c>
      <c r="G2003" s="24" t="n">
        <f aca="false">Test1_Hand!$B$6*E2003*D2003+Test1_Hand!$B$7*MAX(0,F2003-Test1_Hand!$B$5)</f>
        <v>19644.6348190618</v>
      </c>
      <c r="H2003" s="2" t="n">
        <f aca="false">IF(B2003&lt;Test1_Hand!$B$13,1,0)</f>
        <v>0</v>
      </c>
      <c r="I2003" s="23" t="n">
        <f aca="false">Test1_Hand!$B$4+H2003*D2003</f>
        <v>16</v>
      </c>
      <c r="J2003" s="24" t="n">
        <f aca="false">Test1_Hand!$B$6*H2003*D2003+Test1_Hand!$B$7*MAX(0,I2003-Test1_Hand!$B$5)+Test1_Hand!$B$14</f>
        <v>6000</v>
      </c>
    </row>
    <row r="2004" customFormat="false" ht="15" hidden="false" customHeight="false" outlineLevel="0" collapsed="false">
      <c r="A2004" s="2" t="n">
        <v>1992</v>
      </c>
      <c r="B2004" s="22" t="n">
        <v>0.682074486873662</v>
      </c>
      <c r="C2004" s="22" t="n">
        <v>0.284917589872789</v>
      </c>
      <c r="D2004" s="23" t="n">
        <f aca="false">BETAINV(C2004,Test1_Hand!$B$21,Test1_Hand!$B$22,Test1_Hand!$B$9,Test1_Hand!$B$11)</f>
        <v>2.6372635337708</v>
      </c>
      <c r="E2004" s="2" t="n">
        <f aca="false">IF(B2004&lt;Test1_Hand!$B$12,1,0)</f>
        <v>0</v>
      </c>
      <c r="F2004" s="23" t="n">
        <f aca="false">Test1_Hand!$B$4+E2004*D2004</f>
        <v>16</v>
      </c>
      <c r="G2004" s="24" t="n">
        <f aca="false">Test1_Hand!$B$6*E2004*D2004+Test1_Hand!$B$7*MAX(0,F2004-Test1_Hand!$B$5)</f>
        <v>0</v>
      </c>
      <c r="H2004" s="2" t="n">
        <f aca="false">IF(B2004&lt;Test1_Hand!$B$13,1,0)</f>
        <v>0</v>
      </c>
      <c r="I2004" s="23" t="n">
        <f aca="false">Test1_Hand!$B$4+H2004*D2004</f>
        <v>16</v>
      </c>
      <c r="J2004" s="24" t="n">
        <f aca="false">Test1_Hand!$B$6*H2004*D2004+Test1_Hand!$B$7*MAX(0,I2004-Test1_Hand!$B$5)+Test1_Hand!$B$14</f>
        <v>6000</v>
      </c>
    </row>
    <row r="2005" customFormat="false" ht="15" hidden="false" customHeight="false" outlineLevel="0" collapsed="false">
      <c r="A2005" s="2" t="n">
        <v>1993</v>
      </c>
      <c r="B2005" s="22" t="n">
        <v>0.425265939162742</v>
      </c>
      <c r="C2005" s="22" t="n">
        <v>0.958749911581045</v>
      </c>
      <c r="D2005" s="23" t="n">
        <f aca="false">BETAINV(C2005,Test1_Hand!$B$21,Test1_Hand!$B$22,Test1_Hand!$B$9,Test1_Hand!$B$11)</f>
        <v>5.89344192293137</v>
      </c>
      <c r="E2005" s="2" t="n">
        <f aca="false">IF(B2005&lt;Test1_Hand!$B$12,1,0)</f>
        <v>1</v>
      </c>
      <c r="F2005" s="23" t="n">
        <f aca="false">Test1_Hand!$B$4+E2005*D2005</f>
        <v>21.8934419229314</v>
      </c>
      <c r="G2005" s="24" t="n">
        <f aca="false">Test1_Hand!$B$6*E2005*D2005+Test1_Hand!$B$7*MAX(0,F2005-Test1_Hand!$B$5)</f>
        <v>56614.7449981078</v>
      </c>
      <c r="H2005" s="2" t="n">
        <f aca="false">IF(B2005&lt;Test1_Hand!$B$13,1,0)</f>
        <v>0</v>
      </c>
      <c r="I2005" s="23" t="n">
        <f aca="false">Test1_Hand!$B$4+H2005*D2005</f>
        <v>16</v>
      </c>
      <c r="J2005" s="24" t="n">
        <f aca="false">Test1_Hand!$B$6*H2005*D2005+Test1_Hand!$B$7*MAX(0,I2005-Test1_Hand!$B$5)+Test1_Hand!$B$14</f>
        <v>6000</v>
      </c>
    </row>
    <row r="2006" customFormat="false" ht="15" hidden="false" customHeight="false" outlineLevel="0" collapsed="false">
      <c r="A2006" s="2" t="n">
        <v>1994</v>
      </c>
      <c r="B2006" s="22" t="n">
        <v>0.134698374328899</v>
      </c>
      <c r="C2006" s="22" t="n">
        <v>0.944797616324893</v>
      </c>
      <c r="D2006" s="23" t="n">
        <f aca="false">BETAINV(C2006,Test1_Hand!$B$21,Test1_Hand!$B$22,Test1_Hand!$B$9,Test1_Hand!$B$11)</f>
        <v>5.70940623832986</v>
      </c>
      <c r="E2006" s="2" t="n">
        <f aca="false">IF(B2006&lt;Test1_Hand!$B$12,1,0)</f>
        <v>1</v>
      </c>
      <c r="F2006" s="23" t="n">
        <f aca="false">Test1_Hand!$B$4+E2006*D2006</f>
        <v>21.7094062383299</v>
      </c>
      <c r="G2006" s="24" t="n">
        <f aca="false">Test1_Hand!$B$6*E2006*D2006+Test1_Hand!$B$7*MAX(0,F2006-Test1_Hand!$B$5)</f>
        <v>54222.2810982881</v>
      </c>
      <c r="H2006" s="2" t="n">
        <f aca="false">IF(B2006&lt;Test1_Hand!$B$13,1,0)</f>
        <v>1</v>
      </c>
      <c r="I2006" s="23" t="n">
        <f aca="false">Test1_Hand!$B$4+H2006*D2006</f>
        <v>21.7094062383299</v>
      </c>
      <c r="J2006" s="24" t="n">
        <f aca="false">Test1_Hand!$B$6*H2006*D2006+Test1_Hand!$B$7*MAX(0,I2006-Test1_Hand!$B$5)+Test1_Hand!$B$14</f>
        <v>60222.2810982881</v>
      </c>
    </row>
    <row r="2007" customFormat="false" ht="15" hidden="false" customHeight="false" outlineLevel="0" collapsed="false">
      <c r="A2007" s="2" t="n">
        <v>1995</v>
      </c>
      <c r="B2007" s="22" t="n">
        <v>0.248225408323223</v>
      </c>
      <c r="C2007" s="22" t="n">
        <v>0.487890617614558</v>
      </c>
      <c r="D2007" s="23" t="n">
        <f aca="false">BETAINV(C2007,Test1_Hand!$B$21,Test1_Hand!$B$22,Test1_Hand!$B$9,Test1_Hand!$B$11)</f>
        <v>3.33998036093058</v>
      </c>
      <c r="E2007" s="2" t="n">
        <f aca="false">IF(B2007&lt;Test1_Hand!$B$12,1,0)</f>
        <v>1</v>
      </c>
      <c r="F2007" s="23" t="n">
        <f aca="false">Test1_Hand!$B$4+E2007*D2007</f>
        <v>19.3399803609306</v>
      </c>
      <c r="G2007" s="24" t="n">
        <f aca="false">Test1_Hand!$B$6*E2007*D2007+Test1_Hand!$B$7*MAX(0,F2007-Test1_Hand!$B$5)</f>
        <v>26719.8428874446</v>
      </c>
      <c r="H2007" s="2" t="n">
        <f aca="false">IF(B2007&lt;Test1_Hand!$B$13,1,0)</f>
        <v>0</v>
      </c>
      <c r="I2007" s="23" t="n">
        <f aca="false">Test1_Hand!$B$4+H2007*D2007</f>
        <v>16</v>
      </c>
      <c r="J2007" s="24" t="n">
        <f aca="false">Test1_Hand!$B$6*H2007*D2007+Test1_Hand!$B$7*MAX(0,I2007-Test1_Hand!$B$5)+Test1_Hand!$B$14</f>
        <v>6000</v>
      </c>
    </row>
    <row r="2008" customFormat="false" ht="15" hidden="false" customHeight="false" outlineLevel="0" collapsed="false">
      <c r="A2008" s="2" t="n">
        <v>1996</v>
      </c>
      <c r="B2008" s="22" t="n">
        <v>0.0890224598425795</v>
      </c>
      <c r="C2008" s="22" t="n">
        <v>0.694279873518001</v>
      </c>
      <c r="D2008" s="23" t="n">
        <f aca="false">BETAINV(C2008,Test1_Hand!$B$21,Test1_Hand!$B$22,Test1_Hand!$B$9,Test1_Hand!$B$11)</f>
        <v>4.12491493104581</v>
      </c>
      <c r="E2008" s="2" t="n">
        <f aca="false">IF(B2008&lt;Test1_Hand!$B$12,1,0)</f>
        <v>1</v>
      </c>
      <c r="F2008" s="23" t="n">
        <f aca="false">Test1_Hand!$B$4+E2008*D2008</f>
        <v>20.1249149310458</v>
      </c>
      <c r="G2008" s="24" t="n">
        <f aca="false">Test1_Hand!$B$6*E2008*D2008+Test1_Hand!$B$7*MAX(0,F2008-Test1_Hand!$B$5)</f>
        <v>33623.8941035955</v>
      </c>
      <c r="H2008" s="2" t="n">
        <f aca="false">IF(B2008&lt;Test1_Hand!$B$13,1,0)</f>
        <v>1</v>
      </c>
      <c r="I2008" s="23" t="n">
        <f aca="false">Test1_Hand!$B$4+H2008*D2008</f>
        <v>20.1249149310458</v>
      </c>
      <c r="J2008" s="24" t="n">
        <f aca="false">Test1_Hand!$B$6*H2008*D2008+Test1_Hand!$B$7*MAX(0,I2008-Test1_Hand!$B$5)+Test1_Hand!$B$14</f>
        <v>39623.8941035955</v>
      </c>
    </row>
    <row r="2009" customFormat="false" ht="15" hidden="false" customHeight="false" outlineLevel="0" collapsed="false">
      <c r="A2009" s="2" t="n">
        <v>1997</v>
      </c>
      <c r="B2009" s="22" t="n">
        <v>0.440779762430414</v>
      </c>
      <c r="C2009" s="22" t="n">
        <v>0.54394375836508</v>
      </c>
      <c r="D2009" s="23" t="n">
        <f aca="false">BETAINV(C2009,Test1_Hand!$B$21,Test1_Hand!$B$22,Test1_Hand!$B$9,Test1_Hand!$B$11)</f>
        <v>3.53956435169233</v>
      </c>
      <c r="E2009" s="2" t="n">
        <f aca="false">IF(B2009&lt;Test1_Hand!$B$12,1,0)</f>
        <v>1</v>
      </c>
      <c r="F2009" s="23" t="n">
        <f aca="false">Test1_Hand!$B$4+E2009*D2009</f>
        <v>19.5395643516923</v>
      </c>
      <c r="G2009" s="24" t="n">
        <f aca="false">Test1_Hand!$B$6*E2009*D2009+Test1_Hand!$B$7*MAX(0,F2009-Test1_Hand!$B$5)</f>
        <v>28316.5148135386</v>
      </c>
      <c r="H2009" s="2" t="n">
        <f aca="false">IF(B2009&lt;Test1_Hand!$B$13,1,0)</f>
        <v>0</v>
      </c>
      <c r="I2009" s="23" t="n">
        <f aca="false">Test1_Hand!$B$4+H2009*D2009</f>
        <v>16</v>
      </c>
      <c r="J2009" s="24" t="n">
        <f aca="false">Test1_Hand!$B$6*H2009*D2009+Test1_Hand!$B$7*MAX(0,I2009-Test1_Hand!$B$5)+Test1_Hand!$B$14</f>
        <v>6000</v>
      </c>
    </row>
    <row r="2010" customFormat="false" ht="15" hidden="false" customHeight="false" outlineLevel="0" collapsed="false">
      <c r="A2010" s="2" t="n">
        <v>1998</v>
      </c>
      <c r="B2010" s="22" t="n">
        <v>0.360579918593916</v>
      </c>
      <c r="C2010" s="22" t="n">
        <v>0.190079029135333</v>
      </c>
      <c r="D2010" s="23" t="n">
        <f aca="false">BETAINV(C2010,Test1_Hand!$B$21,Test1_Hand!$B$22,Test1_Hand!$B$9,Test1_Hand!$B$11)</f>
        <v>2.28848969327996</v>
      </c>
      <c r="E2010" s="2" t="n">
        <f aca="false">IF(B2010&lt;Test1_Hand!$B$12,1,0)</f>
        <v>1</v>
      </c>
      <c r="F2010" s="23" t="n">
        <f aca="false">Test1_Hand!$B$4+E2010*D2010</f>
        <v>18.28848969328</v>
      </c>
      <c r="G2010" s="24" t="n">
        <f aca="false">Test1_Hand!$B$6*E2010*D2010+Test1_Hand!$B$7*MAX(0,F2010-Test1_Hand!$B$5)</f>
        <v>18307.9175462397</v>
      </c>
      <c r="H2010" s="2" t="n">
        <f aca="false">IF(B2010&lt;Test1_Hand!$B$13,1,0)</f>
        <v>0</v>
      </c>
      <c r="I2010" s="23" t="n">
        <f aca="false">Test1_Hand!$B$4+H2010*D2010</f>
        <v>16</v>
      </c>
      <c r="J2010" s="24" t="n">
        <f aca="false">Test1_Hand!$B$6*H2010*D2010+Test1_Hand!$B$7*MAX(0,I2010-Test1_Hand!$B$5)+Test1_Hand!$B$14</f>
        <v>6000</v>
      </c>
    </row>
    <row r="2011" customFormat="false" ht="15" hidden="false" customHeight="false" outlineLevel="0" collapsed="false">
      <c r="A2011" s="2" t="n">
        <v>1999</v>
      </c>
      <c r="B2011" s="22" t="n">
        <v>0.443649424530795</v>
      </c>
      <c r="C2011" s="22" t="n">
        <v>0.813746415891293</v>
      </c>
      <c r="D2011" s="23" t="n">
        <f aca="false">BETAINV(C2011,Test1_Hand!$B$21,Test1_Hand!$B$22,Test1_Hand!$B$9,Test1_Hand!$B$11)</f>
        <v>4.7009402982507</v>
      </c>
      <c r="E2011" s="2" t="n">
        <f aca="false">IF(B2011&lt;Test1_Hand!$B$12,1,0)</f>
        <v>1</v>
      </c>
      <c r="F2011" s="23" t="n">
        <f aca="false">Test1_Hand!$B$4+E2011*D2011</f>
        <v>20.7009402982507</v>
      </c>
      <c r="G2011" s="24" t="n">
        <f aca="false">Test1_Hand!$B$6*E2011*D2011+Test1_Hand!$B$7*MAX(0,F2011-Test1_Hand!$B$5)</f>
        <v>41112.2238772592</v>
      </c>
      <c r="H2011" s="2" t="n">
        <f aca="false">IF(B2011&lt;Test1_Hand!$B$13,1,0)</f>
        <v>0</v>
      </c>
      <c r="I2011" s="23" t="n">
        <f aca="false">Test1_Hand!$B$4+H2011*D2011</f>
        <v>16</v>
      </c>
      <c r="J2011" s="24" t="n">
        <f aca="false">Test1_Hand!$B$6*H2011*D2011+Test1_Hand!$B$7*MAX(0,I2011-Test1_Hand!$B$5)+Test1_Hand!$B$14</f>
        <v>6000</v>
      </c>
    </row>
    <row r="2012" customFormat="false" ht="15" hidden="false" customHeight="false" outlineLevel="0" collapsed="false">
      <c r="A2012" s="2" t="n">
        <v>2000</v>
      </c>
      <c r="B2012" s="22" t="n">
        <v>0.746568666424261</v>
      </c>
      <c r="C2012" s="22" t="n">
        <v>0.798198766704454</v>
      </c>
      <c r="D2012" s="23" t="n">
        <f aca="false">BETAINV(C2012,Test1_Hand!$B$21,Test1_Hand!$B$22,Test1_Hand!$B$9,Test1_Hand!$B$11)</f>
        <v>4.61626546580038</v>
      </c>
      <c r="E2012" s="2" t="n">
        <f aca="false">IF(B2012&lt;Test1_Hand!$B$12,1,0)</f>
        <v>0</v>
      </c>
      <c r="F2012" s="23" t="n">
        <f aca="false">Test1_Hand!$B$4+E2012*D2012</f>
        <v>16</v>
      </c>
      <c r="G2012" s="24" t="n">
        <f aca="false">Test1_Hand!$B$6*E2012*D2012+Test1_Hand!$B$7*MAX(0,F2012-Test1_Hand!$B$5)</f>
        <v>0</v>
      </c>
      <c r="H2012" s="2" t="n">
        <f aca="false">IF(B2012&lt;Test1_Hand!$B$13,1,0)</f>
        <v>0</v>
      </c>
      <c r="I2012" s="23" t="n">
        <f aca="false">Test1_Hand!$B$4+H2012*D2012</f>
        <v>16</v>
      </c>
      <c r="J2012" s="24" t="n">
        <f aca="false">Test1_Hand!$B$6*H2012*D2012+Test1_Hand!$B$7*MAX(0,I2012-Test1_Hand!$B$5)+Test1_Hand!$B$14</f>
        <v>6000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8" min="7" style="0" width="16"/>
    <col collapsed="false" customWidth="true" hidden="false" outlineLevel="0" max="9" min="9" style="0" width="14"/>
    <col collapsed="false" customWidth="true" hidden="false" outlineLevel="0" max="10" min="10" style="0" width="9"/>
    <col collapsed="false" customWidth="true" hidden="false" outlineLevel="0" max="12" min="11" style="0" width="10"/>
  </cols>
  <sheetData>
    <row r="1" customFormat="false" ht="17.35" hidden="false" customHeight="false" outlineLevel="0" collapsed="false">
      <c r="A1" s="1" t="s">
        <v>97</v>
      </c>
    </row>
    <row r="2" customFormat="false" ht="15" hidden="false" customHeight="false" outlineLevel="0" collapsed="false">
      <c r="A2" s="2" t="s">
        <v>98</v>
      </c>
    </row>
    <row r="4" customFormat="false" ht="48" hidden="false" customHeight="true" outlineLevel="0" collapsed="false">
      <c r="A4" s="3" t="s">
        <v>99</v>
      </c>
      <c r="B4" s="3" t="s">
        <v>100</v>
      </c>
      <c r="C4" s="3" t="s">
        <v>101</v>
      </c>
      <c r="D4" s="3" t="s">
        <v>102</v>
      </c>
      <c r="E4" s="3" t="s">
        <v>103</v>
      </c>
      <c r="F4" s="3" t="s">
        <v>104</v>
      </c>
      <c r="G4" s="3" t="s">
        <v>105</v>
      </c>
      <c r="H4" s="3" t="s">
        <v>106</v>
      </c>
      <c r="I4" s="3" t="s">
        <v>107</v>
      </c>
      <c r="J4" s="3" t="s">
        <v>108</v>
      </c>
      <c r="K4" s="3" t="s">
        <v>109</v>
      </c>
      <c r="L4" s="3" t="s">
        <v>110</v>
      </c>
    </row>
    <row r="5" customFormat="false" ht="15" hidden="false" customHeight="false" outlineLevel="0" collapsed="false">
      <c r="A5" s="25" t="s">
        <v>111</v>
      </c>
    </row>
    <row r="6" customFormat="false" ht="15" hidden="false" customHeight="false" outlineLevel="0" collapsed="false">
      <c r="A6" s="4" t="s">
        <v>83</v>
      </c>
      <c r="B6" s="18" t="n">
        <f aca="false">Test1_Hand!B29</f>
        <v>0.5</v>
      </c>
      <c r="C6" s="18" t="n">
        <f aca="false">Excel_Simulation!B5</f>
        <v>0.512</v>
      </c>
      <c r="D6" s="26" t="n">
        <v>0.4998</v>
      </c>
      <c r="E6" s="26" t="n">
        <v>0.50014</v>
      </c>
      <c r="F6" s="11" t="n">
        <f aca="false">ABS(C6-B6)</f>
        <v>0.012</v>
      </c>
      <c r="G6" s="11" t="n">
        <f aca="false">ABS(D6-B6)</f>
        <v>0.000199999999999978</v>
      </c>
      <c r="H6" s="11" t="n">
        <f aca="false">ABS(E6-B6)</f>
        <v>0.000140000000000029</v>
      </c>
      <c r="I6" s="11" t="n">
        <f aca="false">3*SQRT(Test1_Hand!B29*(1-Test1_Hand!B29)/Excel_Simulation!$B$4)</f>
        <v>0.0335410196624969</v>
      </c>
      <c r="J6" s="27" t="str">
        <f aca="false">IF(F6&lt;=I6,"PASS","FAIL")</f>
        <v>PASS</v>
      </c>
      <c r="K6" s="27" t="str">
        <f aca="false">IF(G6&lt;=I6,"PASS","FAIL")</f>
        <v>PASS</v>
      </c>
      <c r="L6" s="27" t="str">
        <f aca="false">IF(H6&lt;=I6,"PASS","FAIL")</f>
        <v>PASS</v>
      </c>
    </row>
    <row r="7" customFormat="false" ht="15" hidden="false" customHeight="false" outlineLevel="0" collapsed="false">
      <c r="A7" s="4" t="s">
        <v>46</v>
      </c>
      <c r="B7" s="18" t="n">
        <f aca="false">Test1_Hand!B30</f>
        <v>1.75</v>
      </c>
      <c r="C7" s="18" t="n">
        <f aca="false">Excel_Simulation!B6</f>
        <v>1.7860842234026</v>
      </c>
      <c r="D7" s="26" t="n">
        <v>1.74579229735275</v>
      </c>
      <c r="E7" s="26" t="n">
        <v>1.75391602650077</v>
      </c>
      <c r="F7" s="11" t="n">
        <f aca="false">ABS(C7-B7)</f>
        <v>0.0360842234026002</v>
      </c>
      <c r="G7" s="11" t="n">
        <f aca="false">ABS(D7-B7)</f>
        <v>0.0042077026472529</v>
      </c>
      <c r="H7" s="11" t="n">
        <f aca="false">ABS(E7-B7)</f>
        <v>0.00391602650077405</v>
      </c>
      <c r="I7" s="11" t="n">
        <f aca="false">3*SQRT(Test1_Hand!B29*(Test1_Hand!$B$20+Test1_Hand!$B$19^2)-Test1_Hand!B30^2)/SQRT(Excel_Simulation!$B$4)</f>
        <v>0.131898906093157</v>
      </c>
      <c r="J7" s="27" t="str">
        <f aca="false">IF(F7&lt;=I7,"PASS","FAIL")</f>
        <v>PASS</v>
      </c>
      <c r="K7" s="27" t="str">
        <f aca="false">IF(G7&lt;=I7,"PASS","FAIL")</f>
        <v>PASS</v>
      </c>
      <c r="L7" s="27" t="str">
        <f aca="false">IF(H7&lt;=I7,"PASS","FAIL")</f>
        <v>PASS</v>
      </c>
    </row>
    <row r="8" customFormat="false" ht="15" hidden="false" customHeight="false" outlineLevel="0" collapsed="false">
      <c r="A8" s="4" t="s">
        <v>50</v>
      </c>
      <c r="B8" s="18" t="n">
        <f aca="false">Test1_Hand!B32</f>
        <v>0.167818127143211</v>
      </c>
      <c r="C8" s="18" t="n">
        <f aca="false">Excel_Simulation!B7</f>
        <v>0.1655</v>
      </c>
      <c r="D8" s="26" t="n">
        <v>0.1683</v>
      </c>
      <c r="E8" s="26" t="n">
        <v>0.16879</v>
      </c>
      <c r="F8" s="11" t="n">
        <f aca="false">ABS(C8-B8)</f>
        <v>0.00231812714321142</v>
      </c>
      <c r="G8" s="11" t="n">
        <f aca="false">ABS(D8-B8)</f>
        <v>0.000481872856788579</v>
      </c>
      <c r="H8" s="11" t="n">
        <f aca="false">ABS(E8-B8)</f>
        <v>0.000971872856788569</v>
      </c>
      <c r="I8" s="11" t="n">
        <f aca="false">3*SQRT(Test1_Hand!B32*(1-Test1_Hand!B32)/Excel_Simulation!$B$4)</f>
        <v>0.0250688734300946</v>
      </c>
      <c r="J8" s="27" t="str">
        <f aca="false">IF(F8&lt;=I8,"PASS","FAIL")</f>
        <v>PASS</v>
      </c>
      <c r="K8" s="27" t="str">
        <f aca="false">IF(G8&lt;=I8,"PASS","FAIL")</f>
        <v>PASS</v>
      </c>
      <c r="L8" s="27" t="str">
        <f aca="false">IF(H8&lt;=I8,"PASS","FAIL")</f>
        <v>PASS</v>
      </c>
    </row>
    <row r="9" customFormat="false" ht="15" hidden="false" customHeight="false" outlineLevel="0" collapsed="false">
      <c r="A9" s="4" t="s">
        <v>84</v>
      </c>
      <c r="B9" s="18" t="n">
        <f aca="false">Test1_Hand!B40</f>
        <v>20.6258796407529</v>
      </c>
      <c r="C9" s="18" t="n">
        <f aca="false">Excel_Simulation!B8</f>
        <v>20.6200579677156</v>
      </c>
      <c r="D9" s="26" t="n">
        <v>20.6231114413055</v>
      </c>
      <c r="E9" s="26" t="n">
        <v>20.6358924056728</v>
      </c>
      <c r="F9" s="11" t="n">
        <f aca="false">ABS(C9-B9)</f>
        <v>0.00582167303729975</v>
      </c>
      <c r="G9" s="11" t="n">
        <f aca="false">ABS(D9-B9)</f>
        <v>0.0027681994473987</v>
      </c>
      <c r="H9" s="11" t="n">
        <f aca="false">ABS(E9-B9)</f>
        <v>0.0100127649198498</v>
      </c>
      <c r="I9" s="11" t="n">
        <f aca="false">3*B33</f>
        <v>0.215386050819828</v>
      </c>
      <c r="J9" s="27" t="str">
        <f aca="false">IF(F9&lt;=I9,"PASS","FAIL")</f>
        <v>PASS</v>
      </c>
      <c r="K9" s="27" t="str">
        <f aca="false">IF(G9&lt;=I9,"PASS","FAIL")</f>
        <v>PASS</v>
      </c>
      <c r="L9" s="27" t="str">
        <f aca="false">IF(H9&lt;=I9,"PASS","FAIL")</f>
        <v>PASS</v>
      </c>
    </row>
    <row r="10" customFormat="false" ht="15" hidden="false" customHeight="false" outlineLevel="0" collapsed="false">
      <c r="A10" s="4" t="s">
        <v>85</v>
      </c>
      <c r="B10" s="28" t="n">
        <f aca="false">Test1_Hand!B37</f>
        <v>14803.9800561894</v>
      </c>
      <c r="C10" s="28" t="n">
        <f aca="false">Excel_Simulation!B9</f>
        <v>15078.4257912864</v>
      </c>
      <c r="D10" s="15" t="n">
        <v>14755.4163071005</v>
      </c>
      <c r="E10" s="15" t="n">
        <v>14839.5764160042</v>
      </c>
      <c r="F10" s="14" t="n">
        <f aca="false">ABS(C10-B10)</f>
        <v>274.445735096972</v>
      </c>
      <c r="G10" s="14" t="n">
        <f aca="false">ABS(D10-B10)</f>
        <v>48.563749088933</v>
      </c>
      <c r="H10" s="14" t="n">
        <f aca="false">ABS(E10-B10)</f>
        <v>35.5963598148264</v>
      </c>
      <c r="I10" s="14" t="n">
        <f aca="false">3*Excel_Simulation!B10</f>
        <v>1155.14562663539</v>
      </c>
      <c r="J10" s="27" t="str">
        <f aca="false">IF(F10&lt;=I10,"PASS","FAIL")</f>
        <v>PASS</v>
      </c>
      <c r="K10" s="27" t="str">
        <f aca="false">IF(G10&lt;=I10,"PASS","FAIL")</f>
        <v>PASS</v>
      </c>
      <c r="L10" s="27" t="str">
        <f aca="false">IF(H10&lt;=I10,"PASS","FAIL")</f>
        <v>PASS</v>
      </c>
    </row>
    <row r="11" customFormat="false" ht="15" hidden="false" customHeight="false" outlineLevel="0" collapsed="false">
      <c r="A11" s="25" t="s">
        <v>112</v>
      </c>
    </row>
    <row r="12" customFormat="false" ht="15" hidden="false" customHeight="false" outlineLevel="0" collapsed="false">
      <c r="A12" s="4" t="s">
        <v>83</v>
      </c>
      <c r="B12" s="18" t="n">
        <f aca="false">Test1_Hand!C29</f>
        <v>0.2</v>
      </c>
      <c r="C12" s="18" t="n">
        <f aca="false">Excel_Simulation!C5</f>
        <v>0.189</v>
      </c>
      <c r="D12" s="29" t="s">
        <v>113</v>
      </c>
      <c r="E12" s="29" t="s">
        <v>113</v>
      </c>
      <c r="F12" s="11" t="n">
        <f aca="false">ABS(C12-B12)</f>
        <v>0.011</v>
      </c>
      <c r="G12" s="11"/>
      <c r="H12" s="11"/>
      <c r="I12" s="11" t="n">
        <f aca="false">3*SQRT(Test1_Hand!C29*(1-Test1_Hand!C29)/Excel_Simulation!$B$4)</f>
        <v>0.0268328157299975</v>
      </c>
      <c r="J12" s="27" t="str">
        <f aca="false">IF(F12&lt;=I12,"PASS","FAIL")</f>
        <v>PASS</v>
      </c>
      <c r="K12" s="27"/>
      <c r="L12" s="27"/>
    </row>
    <row r="13" customFormat="false" ht="15" hidden="false" customHeight="false" outlineLevel="0" collapsed="false">
      <c r="A13" s="4" t="s">
        <v>46</v>
      </c>
      <c r="B13" s="18" t="n">
        <f aca="false">Test1_Hand!C30</f>
        <v>0.7</v>
      </c>
      <c r="C13" s="18" t="n">
        <f aca="false">Excel_Simulation!C6</f>
        <v>0.657573964791748</v>
      </c>
      <c r="D13" s="26" t="n">
        <v>0.6872020990478</v>
      </c>
      <c r="E13" s="26" t="n">
        <v>0.70582515625957</v>
      </c>
      <c r="F13" s="11" t="n">
        <f aca="false">ABS(C13-B13)</f>
        <v>0.0424260352082521</v>
      </c>
      <c r="G13" s="11" t="n">
        <f aca="false">ABS(D13-B13)</f>
        <v>0.0127979009522006</v>
      </c>
      <c r="H13" s="11" t="n">
        <f aca="false">ABS(E13-B13)</f>
        <v>0.00582515625957014</v>
      </c>
      <c r="I13" s="11" t="n">
        <f aca="false">3*SQRT(Test1_Hand!C29*(Test1_Hand!$B$20+Test1_Hand!$B$19^2)-Test1_Hand!C30^2)/SQRT(Excel_Simulation!$B$4)</f>
        <v>0.101323386103251</v>
      </c>
      <c r="J13" s="27" t="str">
        <f aca="false">IF(F13&lt;=I13,"PASS","FAIL")</f>
        <v>PASS</v>
      </c>
      <c r="K13" s="27" t="str">
        <f aca="false">IF(G13&lt;=I13,"PASS","FAIL")</f>
        <v>PASS</v>
      </c>
      <c r="L13" s="27" t="str">
        <f aca="false">IF(H13&lt;=I13,"PASS","FAIL")</f>
        <v>PASS</v>
      </c>
    </row>
    <row r="14" customFormat="false" ht="15" hidden="false" customHeight="false" outlineLevel="0" collapsed="false">
      <c r="A14" s="4" t="s">
        <v>50</v>
      </c>
      <c r="B14" s="18" t="n">
        <f aca="false">Test1_Hand!C32</f>
        <v>0.0671272508572846</v>
      </c>
      <c r="C14" s="18" t="n">
        <f aca="false">Excel_Simulation!C7</f>
        <v>0.0625</v>
      </c>
      <c r="D14" s="26" t="n">
        <v>0.0637</v>
      </c>
      <c r="E14" s="26" t="n">
        <v>0.0676</v>
      </c>
      <c r="F14" s="11" t="n">
        <f aca="false">ABS(C14-B14)</f>
        <v>0.00462725085728458</v>
      </c>
      <c r="G14" s="11" t="n">
        <f aca="false">ABS(D14-B14)</f>
        <v>0.00342725085728457</v>
      </c>
      <c r="H14" s="11" t="n">
        <f aca="false">ABS(E14-B14)</f>
        <v>0.000472749142715417</v>
      </c>
      <c r="I14" s="11" t="n">
        <f aca="false">3*SQRT(Test1_Hand!C32*(1-Test1_Hand!C32)/Excel_Simulation!$B$4)</f>
        <v>0.0167867603701049</v>
      </c>
      <c r="J14" s="27" t="str">
        <f aca="false">IF(F14&lt;=I14,"PASS","FAIL")</f>
        <v>PASS</v>
      </c>
      <c r="K14" s="27" t="str">
        <f aca="false">IF(G14&lt;=I14,"PASS","FAIL")</f>
        <v>PASS</v>
      </c>
      <c r="L14" s="27" t="str">
        <f aca="false">IF(H14&lt;=I14,"PASS","FAIL")</f>
        <v>PASS</v>
      </c>
    </row>
    <row r="15" customFormat="false" ht="15" hidden="false" customHeight="false" outlineLevel="0" collapsed="false">
      <c r="A15" s="4" t="s">
        <v>84</v>
      </c>
      <c r="B15" s="18" t="n">
        <f aca="false">Test1_Hand!C40</f>
        <v>19.3825886014202</v>
      </c>
      <c r="C15" s="18" t="n">
        <f aca="false">Excel_Simulation!C8</f>
        <v>19.211217666069</v>
      </c>
      <c r="D15" s="26" t="n">
        <v>19.3445060777604</v>
      </c>
      <c r="E15" s="26" t="n">
        <v>19.4021615083534</v>
      </c>
      <c r="F15" s="11" t="n">
        <f aca="false">ABS(C15-B15)</f>
        <v>0.171370935351277</v>
      </c>
      <c r="G15" s="11" t="n">
        <f aca="false">ABS(D15-B15)</f>
        <v>0.0380825236598348</v>
      </c>
      <c r="H15" s="11" t="n">
        <f aca="false">ABS(E15-B15)</f>
        <v>0.0195729069331847</v>
      </c>
      <c r="I15" s="11" t="n">
        <f aca="false">3*C33</f>
        <v>0.355115554197968</v>
      </c>
      <c r="J15" s="27" t="str">
        <f aca="false">IF(F15&lt;=I15,"PASS","FAIL")</f>
        <v>PASS</v>
      </c>
      <c r="K15" s="27" t="str">
        <f aca="false">IF(G15&lt;=I15,"PASS","FAIL")</f>
        <v>PASS</v>
      </c>
      <c r="L15" s="27" t="str">
        <f aca="false">IF(H15&lt;=I15,"PASS","FAIL")</f>
        <v>PASS</v>
      </c>
    </row>
    <row r="16" customFormat="false" ht="15" hidden="false" customHeight="false" outlineLevel="0" collapsed="false">
      <c r="A16" s="4" t="s">
        <v>114</v>
      </c>
      <c r="B16" s="28" t="n">
        <f aca="false">Test1_Hand!C37</f>
        <v>11921.5920224758</v>
      </c>
      <c r="C16" s="28" t="n">
        <f aca="false">Excel_Simulation!C9</f>
        <v>11559.3577276764</v>
      </c>
      <c r="D16" s="15" t="n">
        <v>11803.1556780315</v>
      </c>
      <c r="E16" s="15" t="n">
        <v>11972.7094170322</v>
      </c>
      <c r="F16" s="14" t="n">
        <f aca="false">ABS(C16-B16)</f>
        <v>362.234294799386</v>
      </c>
      <c r="G16" s="14" t="n">
        <f aca="false">ABS(D16-B16)</f>
        <v>118.436344444257</v>
      </c>
      <c r="H16" s="14" t="n">
        <f aca="false">ABS(E16-B16)</f>
        <v>51.1173945563933</v>
      </c>
      <c r="I16" s="14" t="n">
        <f aca="false">3*Excel_Simulation!C10</f>
        <v>855.816521045484</v>
      </c>
      <c r="J16" s="27" t="str">
        <f aca="false">IF(F16&lt;=I16,"PASS","FAIL")</f>
        <v>PASS</v>
      </c>
      <c r="K16" s="27" t="str">
        <f aca="false">IF(G16&lt;=I16,"PASS","FAIL")</f>
        <v>PASS</v>
      </c>
      <c r="L16" s="27" t="str">
        <f aca="false">IF(H16&lt;=I16,"PASS","FAIL")</f>
        <v>PASS</v>
      </c>
    </row>
    <row r="18" customFormat="false" ht="15" hidden="false" customHeight="false" outlineLevel="0" collapsed="false">
      <c r="A18" s="25" t="s">
        <v>115</v>
      </c>
    </row>
    <row r="19" customFormat="false" ht="33.75" hidden="false" customHeight="true" outlineLevel="0" collapsed="false">
      <c r="A19" s="3" t="s">
        <v>116</v>
      </c>
      <c r="B19" s="3" t="s">
        <v>115</v>
      </c>
      <c r="C19" s="3" t="s">
        <v>117</v>
      </c>
      <c r="D19" s="3" t="s">
        <v>118</v>
      </c>
      <c r="E19" s="3" t="s">
        <v>119</v>
      </c>
      <c r="F19" s="3" t="s">
        <v>120</v>
      </c>
    </row>
    <row r="20" customFormat="false" ht="15" hidden="false" customHeight="false" outlineLevel="0" collapsed="false">
      <c r="A20" s="4" t="s">
        <v>100</v>
      </c>
      <c r="B20" s="30" t="str">
        <f aca="false">Test1_Hand!B43</f>
        <v>AUTHORIZE MITIGATION</v>
      </c>
      <c r="C20" s="28" t="n">
        <f aca="false">Test1_Hand!B37</f>
        <v>14803.9800561894</v>
      </c>
      <c r="D20" s="28" t="n">
        <f aca="false">Test1_Hand!C37</f>
        <v>11921.5920224758</v>
      </c>
      <c r="E20" s="14" t="n">
        <f aca="false">C20-D20</f>
        <v>2882.38803371365</v>
      </c>
      <c r="F20" s="31" t="s">
        <v>121</v>
      </c>
    </row>
    <row r="21" customFormat="false" ht="15" hidden="false" customHeight="false" outlineLevel="0" collapsed="false">
      <c r="A21" s="4" t="s">
        <v>122</v>
      </c>
      <c r="B21" s="6" t="str">
        <f aca="false">IF(D21&lt;C21,"AUTHORIZE MITIGATION","ACCEPT RISK")</f>
        <v>AUTHORIZE MITIGATION</v>
      </c>
      <c r="C21" s="28" t="n">
        <f aca="false">Excel_Simulation!B9</f>
        <v>15078.4257912864</v>
      </c>
      <c r="D21" s="28" t="n">
        <f aca="false">Excel_Simulation!C9</f>
        <v>11559.3577276764</v>
      </c>
      <c r="E21" s="14" t="n">
        <f aca="false">C21-D21</f>
        <v>3519.06806361</v>
      </c>
      <c r="F21" s="27" t="str">
        <f aca="false">IF(B21=$B$20,"PASS","FAIL")</f>
        <v>PASS</v>
      </c>
    </row>
    <row r="22" customFormat="false" ht="15" hidden="false" customHeight="false" outlineLevel="0" collapsed="false">
      <c r="A22" s="4" t="s">
        <v>123</v>
      </c>
      <c r="B22" s="32" t="s">
        <v>124</v>
      </c>
      <c r="C22" s="15" t="n">
        <v>14755.4163071005</v>
      </c>
      <c r="D22" s="15" t="n">
        <v>11803.1556780315</v>
      </c>
      <c r="E22" s="14" t="n">
        <f aca="false">C22-D22</f>
        <v>2952.26062906897</v>
      </c>
      <c r="F22" s="27" t="str">
        <f aca="false">IF(B22=$B$20,"PASS","FAIL")</f>
        <v>PASS</v>
      </c>
    </row>
    <row r="23" customFormat="false" ht="15" hidden="false" customHeight="false" outlineLevel="0" collapsed="false">
      <c r="A23" s="4" t="s">
        <v>125</v>
      </c>
      <c r="B23" s="32" t="s">
        <v>124</v>
      </c>
      <c r="C23" s="15" t="n">
        <v>14839.5764160042</v>
      </c>
      <c r="D23" s="15" t="n">
        <v>11972.7094170322</v>
      </c>
      <c r="E23" s="14" t="n">
        <f aca="false">C23-D23</f>
        <v>2866.86699897208</v>
      </c>
      <c r="F23" s="27" t="str">
        <f aca="false">IF(B23=$B$20,"PASS","FAIL")</f>
        <v>PASS</v>
      </c>
    </row>
    <row r="25" customFormat="false" ht="15" hidden="false" customHeight="false" outlineLevel="0" collapsed="false">
      <c r="A25" s="4" t="s">
        <v>126</v>
      </c>
      <c r="B25" s="4" t="str">
        <f aca="false">IF(COUNTIF(J6:L16,"FAIL")+COUNTIF(F21:F23,"FAIL")=0,"ALL CHECKS PASS","SOME CHECKS FAIL")</f>
        <v>ALL CHECKS PASS</v>
      </c>
    </row>
    <row r="26" customFormat="false" ht="15" hidden="false" customHeight="false" outlineLevel="0" collapsed="false">
      <c r="A26" s="4" t="s">
        <v>127</v>
      </c>
      <c r="B26" s="17" t="n">
        <f aca="false">COUNTIF(J6:L16,"PASS")+COUNTIF(J6:L16,"FAIL")+COUNTIF(F21:F23,"PASS")+COUNTIF(F21:F23,"FAIL")</f>
        <v>31</v>
      </c>
    </row>
    <row r="28" customFormat="false" ht="48" hidden="false" customHeight="true" outlineLevel="0" collapsed="false">
      <c r="A28" s="33" t="s">
        <v>128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</row>
    <row r="31" customFormat="false" ht="15" hidden="false" customHeight="false" outlineLevel="0" collapsed="false">
      <c r="A31" s="25" t="s">
        <v>129</v>
      </c>
    </row>
    <row r="32" customFormat="false" ht="24" hidden="false" customHeight="true" outlineLevel="0" collapsed="false">
      <c r="A32" s="3" t="s">
        <v>99</v>
      </c>
      <c r="B32" s="3" t="s">
        <v>81</v>
      </c>
      <c r="C32" s="3" t="s">
        <v>42</v>
      </c>
    </row>
    <row r="33" customFormat="false" ht="15" hidden="false" customHeight="false" outlineLevel="0" collapsed="false">
      <c r="A33" s="4" t="s">
        <v>130</v>
      </c>
      <c r="B33" s="11" t="n">
        <f aca="false">SQRT(0.9*0.1/Excel_Simulation!$B$4)/(Test1_Hand!B29*(BETADIST((Test1_Hand!B40-Test1_Hand!$B$4)+0.05,Test1_Hand!$B$21,Test1_Hand!$B$22,Test1_Hand!$B$9,Test1_Hand!$B$11)-BETADIST((Test1_Hand!B40-Test1_Hand!$B$4)-0.05,Test1_Hand!$B$21,Test1_Hand!$B$22,Test1_Hand!$B$9,Test1_Hand!$B$11))/0.1)</f>
        <v>0.071795350273276</v>
      </c>
      <c r="C33" s="11" t="n">
        <f aca="false">SQRT(0.9*0.1/Excel_Simulation!$B$4)/(Test1_Hand!C29*(BETADIST((Test1_Hand!C40-Test1_Hand!$B$4)+0.05,Test1_Hand!$B$21,Test1_Hand!$B$22,Test1_Hand!$B$9,Test1_Hand!$B$11)-BETADIST((Test1_Hand!C40-Test1_Hand!$B$4)-0.05,Test1_Hand!$B$21,Test1_Hand!$B$22,Test1_Hand!$B$9,Test1_Hand!$B$11))/0.1)</f>
        <v>0.118371851399323</v>
      </c>
    </row>
    <row r="34" customFormat="false" ht="15" hidden="false" customHeight="false" outlineLevel="0" collapsed="false">
      <c r="A34" s="4" t="s">
        <v>131</v>
      </c>
      <c r="B34" s="11" t="n">
        <f aca="false">Test1_Hand!B29*(BETADIST((Test1_Hand!B40-Test1_Hand!$B$4)+0.05,Test1_Hand!$B$21,Test1_Hand!$B$22,Test1_Hand!$B$9,Test1_Hand!$B$11)-BETADIST((Test1_Hand!B40-Test1_Hand!$B$4)-0.05,Test1_Hand!$B$21,Test1_Hand!$B$22,Test1_Hand!$B$9,Test1_Hand!$B$11))/0.1</f>
        <v>0.0934350749312568</v>
      </c>
      <c r="C34" s="11" t="n">
        <f aca="false">Test1_Hand!C29*(BETADIST((Test1_Hand!C40-Test1_Hand!$B$4)+0.05,Test1_Hand!$B$21,Test1_Hand!$B$22,Test1_Hand!$B$9,Test1_Hand!$B$11)-BETADIST((Test1_Hand!C40-Test1_Hand!$B$4)-0.05,Test1_Hand!$B$21,Test1_Hand!$B$22,Test1_Hand!$B$9,Test1_Hand!$B$11))/0.1</f>
        <v>0.0566706007652911</v>
      </c>
    </row>
  </sheetData>
  <mergeCells count="1">
    <mergeCell ref="A28:L28"/>
  </mergeCells>
  <conditionalFormatting sqref="J6:L16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conditionalFormatting sqref="F21:F23">
    <cfRule type="cellIs" priority="4" operator="equal" aboveAverage="0" equalAverage="0" bottom="0" percent="0" rank="0" text="" dxfId="0">
      <formula>"PASS"</formula>
    </cfRule>
    <cfRule type="cellIs" priority="5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2026-10-10T13:31:54Z</dcterms:created>
  <dc:creator>openpyxl</dc:creator>
  <dc:description/>
  <dc:language>en-US</dc:language>
  <cp:lastModifiedBy/>
  <dcterms:modified xsi:type="dcterms:W3CDTF">2026-10-10T13:31:54Z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