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mkar\Desktop\FYP\"/>
    </mc:Choice>
  </mc:AlternateContent>
  <xr:revisionPtr revIDLastSave="0" documentId="13_ncr:1_{EBD95F6D-EF93-4D08-9D28-374B87C3FA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w it works" sheetId="1" r:id="rId1"/>
    <sheet name="Studies" sheetId="2" r:id="rId2"/>
    <sheet name="RII_Data" sheetId="3" r:id="rId3"/>
    <sheet name="Seed_Calculation" sheetId="4" r:id="rId4"/>
    <sheet name="Validation" sheetId="5" r:id="rId5"/>
    <sheet name="Other_indices" sheetId="6" r:id="rId6"/>
    <sheet name="Standardised" sheetId="7" r:id="rId7"/>
  </sheets>
  <definedNames>
    <definedName name="_xlnm._FilterDatabase" localSheetId="2" hidden="1">RII_Data!$A$4:$K$186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7" l="1"/>
  <c r="F57" i="7"/>
  <c r="E57" i="7"/>
  <c r="D57" i="7"/>
  <c r="C57" i="7"/>
  <c r="G56" i="7"/>
  <c r="F56" i="7"/>
  <c r="E56" i="7"/>
  <c r="D56" i="7"/>
  <c r="G55" i="7"/>
  <c r="F55" i="7"/>
  <c r="E55" i="7"/>
  <c r="C55" i="7"/>
  <c r="G54" i="7"/>
  <c r="F54" i="7"/>
  <c r="E54" i="7"/>
  <c r="C53" i="7"/>
  <c r="G52" i="7"/>
  <c r="F52" i="7"/>
  <c r="E52" i="7"/>
  <c r="D52" i="7"/>
  <c r="C52" i="7"/>
  <c r="K52" i="7" s="1"/>
  <c r="L52" i="7" s="1"/>
  <c r="M52" i="7" s="1"/>
  <c r="K51" i="7"/>
  <c r="L51" i="7" s="1"/>
  <c r="M51" i="7" s="1"/>
  <c r="H51" i="7"/>
  <c r="I51" i="7" s="1"/>
  <c r="J51" i="7" s="1"/>
  <c r="G51" i="7"/>
  <c r="F51" i="7"/>
  <c r="E51" i="7"/>
  <c r="D51" i="7"/>
  <c r="C51" i="7"/>
  <c r="G50" i="7"/>
  <c r="F50" i="7"/>
  <c r="E50" i="7"/>
  <c r="C50" i="7"/>
  <c r="G49" i="7"/>
  <c r="F49" i="7"/>
  <c r="E49" i="7"/>
  <c r="D49" i="7"/>
  <c r="G48" i="7"/>
  <c r="E48" i="7"/>
  <c r="D48" i="7"/>
  <c r="C48" i="7"/>
  <c r="G47" i="7"/>
  <c r="F47" i="7"/>
  <c r="E47" i="7"/>
  <c r="C47" i="7"/>
  <c r="G46" i="7"/>
  <c r="F46" i="7"/>
  <c r="E46" i="7"/>
  <c r="D46" i="7"/>
  <c r="G45" i="7"/>
  <c r="F45" i="7"/>
  <c r="D45" i="7"/>
  <c r="C45" i="7"/>
  <c r="G44" i="7"/>
  <c r="F44" i="7"/>
  <c r="E44" i="7"/>
  <c r="D44" i="7"/>
  <c r="G43" i="7"/>
  <c r="E43" i="7"/>
  <c r="D43" i="7"/>
  <c r="G42" i="7"/>
  <c r="F42" i="7"/>
  <c r="C42" i="7"/>
  <c r="E41" i="7"/>
  <c r="D41" i="7"/>
  <c r="E40" i="7"/>
  <c r="C40" i="7"/>
  <c r="G39" i="7"/>
  <c r="F39" i="7"/>
  <c r="E39" i="7"/>
  <c r="D39" i="7"/>
  <c r="G38" i="7"/>
  <c r="E38" i="7"/>
  <c r="D38" i="7"/>
  <c r="C38" i="7"/>
  <c r="G37" i="7"/>
  <c r="F37" i="7"/>
  <c r="E37" i="7"/>
  <c r="C37" i="7"/>
  <c r="F36" i="7"/>
  <c r="E36" i="7"/>
  <c r="D36" i="7"/>
  <c r="C36" i="7"/>
  <c r="H36" i="7" s="1"/>
  <c r="I36" i="7" s="1"/>
  <c r="J36" i="7" s="1"/>
  <c r="G35" i="7"/>
  <c r="F35" i="7"/>
  <c r="G34" i="7"/>
  <c r="F34" i="7"/>
  <c r="C34" i="7"/>
  <c r="F33" i="7"/>
  <c r="E33" i="7"/>
  <c r="F32" i="7"/>
  <c r="C32" i="7"/>
  <c r="F31" i="7"/>
  <c r="C31" i="7"/>
  <c r="F30" i="7"/>
  <c r="C30" i="7"/>
  <c r="E29" i="7"/>
  <c r="F28" i="7"/>
  <c r="E27" i="7"/>
  <c r="F25" i="7"/>
  <c r="D25" i="7"/>
  <c r="C25" i="7"/>
  <c r="C23" i="7"/>
  <c r="F22" i="7"/>
  <c r="E22" i="7"/>
  <c r="C22" i="7"/>
  <c r="C21" i="7"/>
  <c r="C20" i="7"/>
  <c r="D15" i="7"/>
  <c r="C15" i="7"/>
  <c r="E15" i="7" s="1"/>
  <c r="D14" i="7"/>
  <c r="C14" i="7"/>
  <c r="E14" i="7" s="1"/>
  <c r="D13" i="7"/>
  <c r="C13" i="7"/>
  <c r="E13" i="7" s="1"/>
  <c r="D12" i="7"/>
  <c r="C12" i="7"/>
  <c r="D11" i="7"/>
  <c r="K151" i="3" s="1"/>
  <c r="F53" i="7" s="1"/>
  <c r="C11" i="7"/>
  <c r="E11" i="7" s="1"/>
  <c r="K139" i="3" s="1"/>
  <c r="D10" i="7"/>
  <c r="C10" i="7"/>
  <c r="E10" i="7" s="1"/>
  <c r="D9" i="7"/>
  <c r="C9" i="7"/>
  <c r="E9" i="7" s="1"/>
  <c r="D8" i="7"/>
  <c r="E8" i="7" s="1"/>
  <c r="C8" i="7"/>
  <c r="D7" i="7"/>
  <c r="C7" i="7"/>
  <c r="E7" i="7" s="1"/>
  <c r="K85" i="3" s="1"/>
  <c r="D6" i="7"/>
  <c r="C6" i="7"/>
  <c r="E6" i="7" s="1"/>
  <c r="D5" i="7"/>
  <c r="C5" i="7"/>
  <c r="E5" i="7" s="1"/>
  <c r="K31" i="3" s="1"/>
  <c r="G41" i="7" s="1"/>
  <c r="D71" i="5"/>
  <c r="D70" i="5"/>
  <c r="D69" i="5"/>
  <c r="D68" i="5"/>
  <c r="D67" i="5"/>
  <c r="D66" i="5"/>
  <c r="D65" i="5"/>
  <c r="D64" i="5"/>
  <c r="D63" i="5"/>
  <c r="D62" i="5"/>
  <c r="D61" i="5"/>
  <c r="F59" i="5" s="1"/>
  <c r="D60" i="5"/>
  <c r="D59" i="5"/>
  <c r="D50" i="5"/>
  <c r="D49" i="5"/>
  <c r="D48" i="5"/>
  <c r="F48" i="5" s="1"/>
  <c r="D47" i="5"/>
  <c r="F47" i="5" s="1"/>
  <c r="D46" i="5"/>
  <c r="D45" i="5"/>
  <c r="D44" i="5"/>
  <c r="D43" i="5"/>
  <c r="F43" i="5" s="1"/>
  <c r="D42" i="5"/>
  <c r="F42" i="5" s="1"/>
  <c r="D41" i="5"/>
  <c r="D40" i="5"/>
  <c r="D31" i="5"/>
  <c r="D30" i="5"/>
  <c r="D29" i="5"/>
  <c r="D28" i="5"/>
  <c r="D27" i="5"/>
  <c r="D26" i="5"/>
  <c r="F26" i="5" s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G42" i="4"/>
  <c r="F42" i="4"/>
  <c r="E42" i="4"/>
  <c r="D42" i="4"/>
  <c r="C42" i="4"/>
  <c r="H42" i="4" s="1"/>
  <c r="I42" i="4" s="1"/>
  <c r="J42" i="4" s="1"/>
  <c r="K42" i="4" s="1"/>
  <c r="G41" i="4"/>
  <c r="F41" i="4"/>
  <c r="D41" i="4"/>
  <c r="C41" i="4"/>
  <c r="G40" i="4"/>
  <c r="F40" i="4"/>
  <c r="E40" i="4"/>
  <c r="D40" i="4"/>
  <c r="C40" i="4"/>
  <c r="G39" i="4"/>
  <c r="F39" i="4"/>
  <c r="D39" i="4"/>
  <c r="C39" i="4"/>
  <c r="G38" i="4"/>
  <c r="F38" i="4"/>
  <c r="E38" i="4"/>
  <c r="D38" i="4"/>
  <c r="G37" i="4"/>
  <c r="F37" i="4"/>
  <c r="E37" i="4"/>
  <c r="C37" i="4"/>
  <c r="G36" i="4"/>
  <c r="E36" i="4"/>
  <c r="D36" i="4"/>
  <c r="C36" i="4"/>
  <c r="G35" i="4"/>
  <c r="F35" i="4"/>
  <c r="E35" i="4"/>
  <c r="C35" i="4"/>
  <c r="G34" i="4"/>
  <c r="F34" i="4"/>
  <c r="C34" i="4"/>
  <c r="G33" i="4"/>
  <c r="F33" i="4"/>
  <c r="E33" i="4"/>
  <c r="D33" i="4"/>
  <c r="C33" i="4"/>
  <c r="G32" i="4"/>
  <c r="F32" i="4"/>
  <c r="E32" i="4"/>
  <c r="D32" i="4"/>
  <c r="C32" i="4"/>
  <c r="H32" i="4" s="1"/>
  <c r="I32" i="4" s="1"/>
  <c r="J32" i="4" s="1"/>
  <c r="K32" i="4" s="1"/>
  <c r="G31" i="4"/>
  <c r="F31" i="4"/>
  <c r="D31" i="4"/>
  <c r="C31" i="4"/>
  <c r="G30" i="4"/>
  <c r="F30" i="4"/>
  <c r="E30" i="4"/>
  <c r="D30" i="4"/>
  <c r="C30" i="4"/>
  <c r="G29" i="4"/>
  <c r="F29" i="4"/>
  <c r="D29" i="4"/>
  <c r="C29" i="4"/>
  <c r="G28" i="4"/>
  <c r="F28" i="4"/>
  <c r="D28" i="4"/>
  <c r="C28" i="4"/>
  <c r="G27" i="4"/>
  <c r="F27" i="4"/>
  <c r="E27" i="4"/>
  <c r="D27" i="4"/>
  <c r="C27" i="4"/>
  <c r="G26" i="4"/>
  <c r="F26" i="4"/>
  <c r="D26" i="4"/>
  <c r="C26" i="4"/>
  <c r="G25" i="4"/>
  <c r="F25" i="4"/>
  <c r="E25" i="4"/>
  <c r="C25" i="4"/>
  <c r="G24" i="4"/>
  <c r="F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G20" i="4"/>
  <c r="F20" i="4"/>
  <c r="E20" i="4"/>
  <c r="D20" i="4"/>
  <c r="C20" i="4"/>
  <c r="H20" i="4" s="1"/>
  <c r="I20" i="4" s="1"/>
  <c r="G19" i="4"/>
  <c r="F19" i="4"/>
  <c r="E19" i="4"/>
  <c r="C19" i="4"/>
  <c r="G18" i="4"/>
  <c r="F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D14" i="4"/>
  <c r="C14" i="4"/>
  <c r="H14" i="4" s="1"/>
  <c r="I14" i="4" s="1"/>
  <c r="G13" i="4"/>
  <c r="F13" i="4"/>
  <c r="G12" i="4"/>
  <c r="F12" i="4"/>
  <c r="D12" i="4"/>
  <c r="G11" i="4"/>
  <c r="G10" i="4"/>
  <c r="F10" i="4"/>
  <c r="E10" i="4"/>
  <c r="D10" i="4"/>
  <c r="G9" i="4"/>
  <c r="F9" i="4"/>
  <c r="E9" i="4"/>
  <c r="D9" i="4"/>
  <c r="F8" i="4"/>
  <c r="E8" i="4"/>
  <c r="G7" i="4"/>
  <c r="E7" i="4"/>
  <c r="D7" i="4"/>
  <c r="C7" i="4"/>
  <c r="H7" i="4" s="1"/>
  <c r="I7" i="4" s="1"/>
  <c r="G6" i="4"/>
  <c r="F6" i="4"/>
  <c r="E6" i="4"/>
  <c r="G5" i="4"/>
  <c r="E5" i="4"/>
  <c r="K186" i="3"/>
  <c r="C186" i="3"/>
  <c r="I186" i="3" s="1"/>
  <c r="B186" i="3"/>
  <c r="K185" i="3"/>
  <c r="C185" i="3"/>
  <c r="I185" i="3" s="1"/>
  <c r="B185" i="3"/>
  <c r="K184" i="3"/>
  <c r="C184" i="3"/>
  <c r="I184" i="3" s="1"/>
  <c r="B184" i="3"/>
  <c r="K183" i="3"/>
  <c r="C183" i="3"/>
  <c r="I183" i="3" s="1"/>
  <c r="B183" i="3"/>
  <c r="K182" i="3"/>
  <c r="C182" i="3"/>
  <c r="I182" i="3" s="1"/>
  <c r="B182" i="3"/>
  <c r="K181" i="3"/>
  <c r="I181" i="3"/>
  <c r="C181" i="3"/>
  <c r="B181" i="3"/>
  <c r="K180" i="3"/>
  <c r="C180" i="3"/>
  <c r="I180" i="3" s="1"/>
  <c r="B180" i="3"/>
  <c r="K179" i="3"/>
  <c r="C179" i="3"/>
  <c r="I179" i="3" s="1"/>
  <c r="B179" i="3"/>
  <c r="K178" i="3"/>
  <c r="C178" i="3"/>
  <c r="I178" i="3" s="1"/>
  <c r="B178" i="3"/>
  <c r="K177" i="3"/>
  <c r="C177" i="3"/>
  <c r="I177" i="3" s="1"/>
  <c r="B177" i="3"/>
  <c r="C176" i="3"/>
  <c r="I176" i="3" s="1"/>
  <c r="B176" i="3"/>
  <c r="C175" i="3"/>
  <c r="I175" i="3" s="1"/>
  <c r="B175" i="3"/>
  <c r="C174" i="3"/>
  <c r="I174" i="3" s="1"/>
  <c r="B174" i="3"/>
  <c r="C173" i="3"/>
  <c r="I173" i="3" s="1"/>
  <c r="B173" i="3"/>
  <c r="C172" i="3"/>
  <c r="I172" i="3" s="1"/>
  <c r="B172" i="3"/>
  <c r="C171" i="3"/>
  <c r="I171" i="3" s="1"/>
  <c r="B171" i="3"/>
  <c r="C170" i="3"/>
  <c r="I170" i="3" s="1"/>
  <c r="B170" i="3"/>
  <c r="C169" i="3"/>
  <c r="I169" i="3" s="1"/>
  <c r="B169" i="3"/>
  <c r="C168" i="3"/>
  <c r="I168" i="3" s="1"/>
  <c r="B168" i="3"/>
  <c r="C167" i="3"/>
  <c r="I167" i="3" s="1"/>
  <c r="B167" i="3"/>
  <c r="C166" i="3"/>
  <c r="I166" i="3" s="1"/>
  <c r="B166" i="3"/>
  <c r="C165" i="3"/>
  <c r="I165" i="3" s="1"/>
  <c r="B165" i="3"/>
  <c r="C164" i="3"/>
  <c r="I164" i="3" s="1"/>
  <c r="B164" i="3"/>
  <c r="C163" i="3"/>
  <c r="I163" i="3" s="1"/>
  <c r="B163" i="3"/>
  <c r="C162" i="3"/>
  <c r="I162" i="3" s="1"/>
  <c r="B162" i="3"/>
  <c r="C161" i="3"/>
  <c r="I161" i="3" s="1"/>
  <c r="B161" i="3"/>
  <c r="C160" i="3"/>
  <c r="I160" i="3" s="1"/>
  <c r="B160" i="3"/>
  <c r="C159" i="3"/>
  <c r="I159" i="3" s="1"/>
  <c r="B159" i="3"/>
  <c r="C158" i="3"/>
  <c r="I158" i="3" s="1"/>
  <c r="B158" i="3"/>
  <c r="C157" i="3"/>
  <c r="I157" i="3" s="1"/>
  <c r="B157" i="3"/>
  <c r="C156" i="3"/>
  <c r="I156" i="3" s="1"/>
  <c r="B156" i="3"/>
  <c r="C155" i="3"/>
  <c r="I155" i="3" s="1"/>
  <c r="B155" i="3"/>
  <c r="C154" i="3"/>
  <c r="I154" i="3" s="1"/>
  <c r="B154" i="3"/>
  <c r="C153" i="3"/>
  <c r="I153" i="3" s="1"/>
  <c r="B153" i="3"/>
  <c r="C152" i="3"/>
  <c r="I152" i="3" s="1"/>
  <c r="B152" i="3"/>
  <c r="C151" i="3"/>
  <c r="I151" i="3" s="1"/>
  <c r="B151" i="3"/>
  <c r="C150" i="3"/>
  <c r="I150" i="3" s="1"/>
  <c r="B150" i="3"/>
  <c r="C149" i="3"/>
  <c r="I149" i="3" s="1"/>
  <c r="B149" i="3"/>
  <c r="C148" i="3"/>
  <c r="I148" i="3" s="1"/>
  <c r="B148" i="3"/>
  <c r="C147" i="3"/>
  <c r="I147" i="3" s="1"/>
  <c r="B147" i="3"/>
  <c r="C146" i="3"/>
  <c r="I146" i="3" s="1"/>
  <c r="B146" i="3"/>
  <c r="C145" i="3"/>
  <c r="I145" i="3" s="1"/>
  <c r="B145" i="3"/>
  <c r="C144" i="3"/>
  <c r="I144" i="3" s="1"/>
  <c r="B144" i="3"/>
  <c r="C143" i="3"/>
  <c r="I143" i="3" s="1"/>
  <c r="B143" i="3"/>
  <c r="C142" i="3"/>
  <c r="I142" i="3" s="1"/>
  <c r="B142" i="3"/>
  <c r="C141" i="3"/>
  <c r="I141" i="3" s="1"/>
  <c r="B141" i="3"/>
  <c r="C140" i="3"/>
  <c r="I140" i="3" s="1"/>
  <c r="B140" i="3"/>
  <c r="I139" i="3"/>
  <c r="C139" i="3"/>
  <c r="B139" i="3"/>
  <c r="C138" i="3"/>
  <c r="I138" i="3" s="1"/>
  <c r="B138" i="3"/>
  <c r="C137" i="3"/>
  <c r="I137" i="3" s="1"/>
  <c r="B137" i="3"/>
  <c r="C136" i="3"/>
  <c r="I136" i="3" s="1"/>
  <c r="B136" i="3"/>
  <c r="C135" i="3"/>
  <c r="I135" i="3" s="1"/>
  <c r="B135" i="3"/>
  <c r="C134" i="3"/>
  <c r="I134" i="3" s="1"/>
  <c r="B134" i="3"/>
  <c r="C133" i="3"/>
  <c r="I133" i="3" s="1"/>
  <c r="B133" i="3"/>
  <c r="C132" i="3"/>
  <c r="I132" i="3" s="1"/>
  <c r="B132" i="3"/>
  <c r="C131" i="3"/>
  <c r="I131" i="3" s="1"/>
  <c r="B131" i="3"/>
  <c r="C130" i="3"/>
  <c r="I130" i="3" s="1"/>
  <c r="B130" i="3"/>
  <c r="C129" i="3"/>
  <c r="I129" i="3" s="1"/>
  <c r="B129" i="3"/>
  <c r="C128" i="3"/>
  <c r="I128" i="3" s="1"/>
  <c r="B128" i="3"/>
  <c r="K127" i="3"/>
  <c r="C127" i="3"/>
  <c r="I127" i="3" s="1"/>
  <c r="B127" i="3"/>
  <c r="K126" i="3"/>
  <c r="D40" i="7" s="1"/>
  <c r="C126" i="3"/>
  <c r="I126" i="3" s="1"/>
  <c r="B126" i="3"/>
  <c r="C125" i="3"/>
  <c r="I125" i="3" s="1"/>
  <c r="B125" i="3"/>
  <c r="C124" i="3"/>
  <c r="I124" i="3" s="1"/>
  <c r="B124" i="3"/>
  <c r="C123" i="3"/>
  <c r="I123" i="3" s="1"/>
  <c r="B123" i="3"/>
  <c r="C122" i="3"/>
  <c r="I122" i="3" s="1"/>
  <c r="B122" i="3"/>
  <c r="K121" i="3"/>
  <c r="C121" i="3"/>
  <c r="I121" i="3" s="1"/>
  <c r="B121" i="3"/>
  <c r="K120" i="3"/>
  <c r="D50" i="7" s="1"/>
  <c r="C120" i="3"/>
  <c r="I120" i="3" s="1"/>
  <c r="B120" i="3"/>
  <c r="C119" i="3"/>
  <c r="I119" i="3" s="1"/>
  <c r="B119" i="3"/>
  <c r="C118" i="3"/>
  <c r="I118" i="3" s="1"/>
  <c r="B118" i="3"/>
  <c r="C117" i="3"/>
  <c r="I117" i="3" s="1"/>
  <c r="B117" i="3"/>
  <c r="C116" i="3"/>
  <c r="I116" i="3" s="1"/>
  <c r="B116" i="3"/>
  <c r="K115" i="3"/>
  <c r="D55" i="7" s="1"/>
  <c r="C115" i="3"/>
  <c r="I115" i="3" s="1"/>
  <c r="B115" i="3"/>
  <c r="K114" i="3"/>
  <c r="D24" i="7" s="1"/>
  <c r="I114" i="3"/>
  <c r="C114" i="3"/>
  <c r="B114" i="3"/>
  <c r="I113" i="3"/>
  <c r="C113" i="3"/>
  <c r="B113" i="3"/>
  <c r="C112" i="3"/>
  <c r="I112" i="3" s="1"/>
  <c r="B112" i="3"/>
  <c r="C111" i="3"/>
  <c r="I111" i="3" s="1"/>
  <c r="B111" i="3"/>
  <c r="C110" i="3"/>
  <c r="I110" i="3" s="1"/>
  <c r="B110" i="3"/>
  <c r="K109" i="3"/>
  <c r="C109" i="3"/>
  <c r="I109" i="3" s="1"/>
  <c r="B109" i="3"/>
  <c r="C108" i="3"/>
  <c r="I108" i="3" s="1"/>
  <c r="B108" i="3"/>
  <c r="C107" i="3"/>
  <c r="I107" i="3" s="1"/>
  <c r="B107" i="3"/>
  <c r="C106" i="3"/>
  <c r="I106" i="3" s="1"/>
  <c r="B106" i="3"/>
  <c r="C105" i="3"/>
  <c r="I105" i="3" s="1"/>
  <c r="B105" i="3"/>
  <c r="C104" i="3"/>
  <c r="I104" i="3" s="1"/>
  <c r="B104" i="3"/>
  <c r="K103" i="3"/>
  <c r="D54" i="7" s="1"/>
  <c r="C103" i="3"/>
  <c r="I103" i="3" s="1"/>
  <c r="B103" i="3"/>
  <c r="K102" i="3"/>
  <c r="C102" i="3"/>
  <c r="I102" i="3" s="1"/>
  <c r="B102" i="3"/>
  <c r="C101" i="3"/>
  <c r="I101" i="3" s="1"/>
  <c r="B101" i="3"/>
  <c r="C100" i="3"/>
  <c r="I100" i="3" s="1"/>
  <c r="B100" i="3"/>
  <c r="C99" i="3"/>
  <c r="I99" i="3" s="1"/>
  <c r="B99" i="3"/>
  <c r="C98" i="3"/>
  <c r="I98" i="3" s="1"/>
  <c r="B98" i="3"/>
  <c r="K97" i="3"/>
  <c r="D30" i="7" s="1"/>
  <c r="C97" i="3"/>
  <c r="I97" i="3" s="1"/>
  <c r="B97" i="3"/>
  <c r="K96" i="3"/>
  <c r="C96" i="3"/>
  <c r="I96" i="3" s="1"/>
  <c r="B96" i="3"/>
  <c r="K95" i="3"/>
  <c r="C95" i="3"/>
  <c r="I95" i="3" s="1"/>
  <c r="B95" i="3"/>
  <c r="K94" i="3"/>
  <c r="C94" i="3"/>
  <c r="B94" i="3"/>
  <c r="K93" i="3"/>
  <c r="C93" i="3"/>
  <c r="I93" i="3" s="1"/>
  <c r="B93" i="3"/>
  <c r="K92" i="3"/>
  <c r="C92" i="3"/>
  <c r="I92" i="3" s="1"/>
  <c r="B92" i="3"/>
  <c r="K91" i="3"/>
  <c r="C91" i="3"/>
  <c r="I91" i="3" s="1"/>
  <c r="B91" i="3"/>
  <c r="K90" i="3"/>
  <c r="C90" i="3"/>
  <c r="F36" i="4" s="1"/>
  <c r="B90" i="3"/>
  <c r="K89" i="3"/>
  <c r="C89" i="3"/>
  <c r="F5" i="4" s="1"/>
  <c r="B89" i="3"/>
  <c r="K88" i="3"/>
  <c r="C88" i="3"/>
  <c r="F7" i="4" s="1"/>
  <c r="B88" i="3"/>
  <c r="K87" i="3"/>
  <c r="C87" i="3"/>
  <c r="I87" i="3" s="1"/>
  <c r="B87" i="3"/>
  <c r="C86" i="3"/>
  <c r="I86" i="3" s="1"/>
  <c r="B86" i="3"/>
  <c r="C85" i="3"/>
  <c r="I85" i="3" s="1"/>
  <c r="B85" i="3"/>
  <c r="C84" i="3"/>
  <c r="I84" i="3" s="1"/>
  <c r="B84" i="3"/>
  <c r="C83" i="3"/>
  <c r="E11" i="4" s="1"/>
  <c r="B83" i="3"/>
  <c r="C82" i="3"/>
  <c r="I82" i="3" s="1"/>
  <c r="B82" i="3"/>
  <c r="C81" i="3"/>
  <c r="I81" i="3" s="1"/>
  <c r="B81" i="3"/>
  <c r="C80" i="3"/>
  <c r="I80" i="3" s="1"/>
  <c r="B80" i="3"/>
  <c r="C79" i="3"/>
  <c r="I79" i="3" s="1"/>
  <c r="B79" i="3"/>
  <c r="C78" i="3"/>
  <c r="I78" i="3" s="1"/>
  <c r="B78" i="3"/>
  <c r="C77" i="3"/>
  <c r="I77" i="3" s="1"/>
  <c r="B77" i="3"/>
  <c r="C76" i="3"/>
  <c r="E18" i="4" s="1"/>
  <c r="B76" i="3"/>
  <c r="C75" i="3"/>
  <c r="I75" i="3" s="1"/>
  <c r="B75" i="3"/>
  <c r="C74" i="3"/>
  <c r="I74" i="3" s="1"/>
  <c r="B74" i="3"/>
  <c r="C73" i="3"/>
  <c r="I73" i="3" s="1"/>
  <c r="B73" i="3"/>
  <c r="C72" i="3"/>
  <c r="I72" i="3" s="1"/>
  <c r="B72" i="3"/>
  <c r="C71" i="3"/>
  <c r="I71" i="3" s="1"/>
  <c r="B71" i="3"/>
  <c r="C70" i="3"/>
  <c r="I70" i="3" s="1"/>
  <c r="B70" i="3"/>
  <c r="C69" i="3"/>
  <c r="I69" i="3" s="1"/>
  <c r="B69" i="3"/>
  <c r="C68" i="3"/>
  <c r="I68" i="3" s="1"/>
  <c r="B68" i="3"/>
  <c r="C67" i="3"/>
  <c r="I67" i="3" s="1"/>
  <c r="B67" i="3"/>
  <c r="C66" i="3"/>
  <c r="I66" i="3" s="1"/>
  <c r="B66" i="3"/>
  <c r="C65" i="3"/>
  <c r="I65" i="3" s="1"/>
  <c r="B65" i="3"/>
  <c r="C64" i="3"/>
  <c r="I64" i="3" s="1"/>
  <c r="B64" i="3"/>
  <c r="C63" i="3"/>
  <c r="I63" i="3" s="1"/>
  <c r="B63" i="3"/>
  <c r="C62" i="3"/>
  <c r="I62" i="3" s="1"/>
  <c r="B62" i="3"/>
  <c r="C61" i="3"/>
  <c r="I61" i="3" s="1"/>
  <c r="B61" i="3"/>
  <c r="C60" i="3"/>
  <c r="I60" i="3" s="1"/>
  <c r="B60" i="3"/>
  <c r="C59" i="3"/>
  <c r="I59" i="3" s="1"/>
  <c r="B59" i="3"/>
  <c r="C58" i="3"/>
  <c r="I58" i="3" s="1"/>
  <c r="B58" i="3"/>
  <c r="C57" i="3"/>
  <c r="I57" i="3" s="1"/>
  <c r="B57" i="3"/>
  <c r="C56" i="3"/>
  <c r="I56" i="3" s="1"/>
  <c r="B56" i="3"/>
  <c r="C55" i="3"/>
  <c r="E34" i="4" s="1"/>
  <c r="B55" i="3"/>
  <c r="C54" i="3"/>
  <c r="I54" i="3" s="1"/>
  <c r="B54" i="3"/>
  <c r="C53" i="3"/>
  <c r="I53" i="3" s="1"/>
  <c r="B53" i="3"/>
  <c r="C52" i="3"/>
  <c r="B52" i="3"/>
  <c r="C51" i="3"/>
  <c r="I51" i="3" s="1"/>
  <c r="B51" i="3"/>
  <c r="C50" i="3"/>
  <c r="E14" i="4" s="1"/>
  <c r="B50" i="3"/>
  <c r="C49" i="3"/>
  <c r="B49" i="3"/>
  <c r="C48" i="3"/>
  <c r="I48" i="3" s="1"/>
  <c r="B48" i="3"/>
  <c r="C47" i="3"/>
  <c r="I47" i="3" s="1"/>
  <c r="B47" i="3"/>
  <c r="K46" i="3"/>
  <c r="C46" i="3"/>
  <c r="D37" i="4" s="1"/>
  <c r="B46" i="3"/>
  <c r="K45" i="3"/>
  <c r="C45" i="3"/>
  <c r="I45" i="3" s="1"/>
  <c r="B45" i="3"/>
  <c r="K44" i="3"/>
  <c r="C44" i="3"/>
  <c r="I44" i="3" s="1"/>
  <c r="B44" i="3"/>
  <c r="K43" i="3"/>
  <c r="C43" i="3"/>
  <c r="I43" i="3" s="1"/>
  <c r="B43" i="3"/>
  <c r="K42" i="3"/>
  <c r="I42" i="3"/>
  <c r="C42" i="3"/>
  <c r="D35" i="4" s="1"/>
  <c r="B42" i="3"/>
  <c r="K41" i="3"/>
  <c r="C41" i="3"/>
  <c r="D34" i="4" s="1"/>
  <c r="B41" i="3"/>
  <c r="K40" i="3"/>
  <c r="C40" i="3"/>
  <c r="I40" i="3" s="1"/>
  <c r="B40" i="3"/>
  <c r="K39" i="3"/>
  <c r="C39" i="3"/>
  <c r="I39" i="3" s="1"/>
  <c r="B39" i="3"/>
  <c r="K38" i="3"/>
  <c r="C38" i="3"/>
  <c r="D19" i="4" s="1"/>
  <c r="H19" i="4" s="1"/>
  <c r="I19" i="4" s="1"/>
  <c r="C69" i="5" s="1"/>
  <c r="B38" i="3"/>
  <c r="K37" i="3"/>
  <c r="C37" i="3"/>
  <c r="I37" i="3" s="1"/>
  <c r="B37" i="3"/>
  <c r="K36" i="3"/>
  <c r="C36" i="3"/>
  <c r="I36" i="3" s="1"/>
  <c r="B36" i="3"/>
  <c r="K35" i="3"/>
  <c r="I35" i="3"/>
  <c r="C35" i="3"/>
  <c r="B35" i="3"/>
  <c r="K34" i="3"/>
  <c r="C34" i="3"/>
  <c r="I34" i="3" s="1"/>
  <c r="B34" i="3"/>
  <c r="K33" i="3"/>
  <c r="C33" i="3"/>
  <c r="D8" i="4" s="1"/>
  <c r="B33" i="3"/>
  <c r="C32" i="3"/>
  <c r="I32" i="3" s="1"/>
  <c r="B32" i="3"/>
  <c r="C31" i="3"/>
  <c r="I31" i="3" s="1"/>
  <c r="B31" i="3"/>
  <c r="C30" i="3"/>
  <c r="I30" i="3" s="1"/>
  <c r="B30" i="3"/>
  <c r="C29" i="3"/>
  <c r="I29" i="3" s="1"/>
  <c r="B29" i="3"/>
  <c r="C28" i="3"/>
  <c r="I28" i="3" s="1"/>
  <c r="B28" i="3"/>
  <c r="C27" i="3"/>
  <c r="I27" i="3" s="1"/>
  <c r="B27" i="3"/>
  <c r="C26" i="3"/>
  <c r="I26" i="3" s="1"/>
  <c r="B26" i="3"/>
  <c r="C25" i="3"/>
  <c r="I25" i="3" s="1"/>
  <c r="B25" i="3"/>
  <c r="C24" i="3"/>
  <c r="I24" i="3" s="1"/>
  <c r="B24" i="3"/>
  <c r="C23" i="3"/>
  <c r="C12" i="4" s="1"/>
  <c r="B23" i="3"/>
  <c r="C22" i="3"/>
  <c r="C16" i="4" s="1"/>
  <c r="B22" i="3"/>
  <c r="C21" i="3"/>
  <c r="B21" i="3"/>
  <c r="C20" i="3"/>
  <c r="I20" i="3" s="1"/>
  <c r="B20" i="3"/>
  <c r="C19" i="3"/>
  <c r="C21" i="4" s="1"/>
  <c r="H21" i="4" s="1"/>
  <c r="I21" i="4" s="1"/>
  <c r="B19" i="3"/>
  <c r="C18" i="3"/>
  <c r="I18" i="3" s="1"/>
  <c r="B18" i="3"/>
  <c r="C17" i="3"/>
  <c r="I17" i="3" s="1"/>
  <c r="B17" i="3"/>
  <c r="C16" i="3"/>
  <c r="I16" i="3" s="1"/>
  <c r="B16" i="3"/>
  <c r="C15" i="3"/>
  <c r="I15" i="3" s="1"/>
  <c r="B15" i="3"/>
  <c r="C14" i="3"/>
  <c r="I14" i="3" s="1"/>
  <c r="B14" i="3"/>
  <c r="C13" i="3"/>
  <c r="C8" i="4" s="1"/>
  <c r="B13" i="3"/>
  <c r="C12" i="3"/>
  <c r="I12" i="3" s="1"/>
  <c r="B12" i="3"/>
  <c r="C11" i="3"/>
  <c r="I11" i="3" s="1"/>
  <c r="B11" i="3"/>
  <c r="C10" i="3"/>
  <c r="C13" i="4" s="1"/>
  <c r="B10" i="3"/>
  <c r="C9" i="3"/>
  <c r="I9" i="3" s="1"/>
  <c r="B9" i="3"/>
  <c r="C8" i="3"/>
  <c r="I8" i="3" s="1"/>
  <c r="B8" i="3"/>
  <c r="C7" i="3"/>
  <c r="I7" i="3" s="1"/>
  <c r="B7" i="3"/>
  <c r="I6" i="3"/>
  <c r="C6" i="3"/>
  <c r="B6" i="3"/>
  <c r="I5" i="3"/>
  <c r="C5" i="3"/>
  <c r="B5" i="3"/>
  <c r="E28" i="4" l="1"/>
  <c r="H37" i="4"/>
  <c r="I37" i="4" s="1"/>
  <c r="F44" i="5"/>
  <c r="I23" i="3"/>
  <c r="F45" i="5"/>
  <c r="H23" i="4"/>
  <c r="I23" i="4" s="1"/>
  <c r="J23" i="4" s="1"/>
  <c r="K23" i="4" s="1"/>
  <c r="F46" i="5"/>
  <c r="I41" i="3"/>
  <c r="C18" i="4"/>
  <c r="H18" i="4" s="1"/>
  <c r="I18" i="4" s="1"/>
  <c r="C25" i="5" s="1"/>
  <c r="I89" i="3"/>
  <c r="K50" i="7"/>
  <c r="L50" i="7" s="1"/>
  <c r="C10" i="4"/>
  <c r="H10" i="4" s="1"/>
  <c r="I10" i="4" s="1"/>
  <c r="K133" i="3"/>
  <c r="F22" i="5"/>
  <c r="F49" i="5"/>
  <c r="K57" i="7"/>
  <c r="L57" i="7" s="1"/>
  <c r="M57" i="7" s="1"/>
  <c r="H30" i="4"/>
  <c r="I30" i="4" s="1"/>
  <c r="J30" i="4" s="1"/>
  <c r="K30" i="4" s="1"/>
  <c r="C52" i="5"/>
  <c r="C6" i="5" s="1"/>
  <c r="H16" i="4"/>
  <c r="I16" i="4" s="1"/>
  <c r="C67" i="5" s="1"/>
  <c r="C11" i="4"/>
  <c r="K60" i="3"/>
  <c r="F50" i="5"/>
  <c r="F63" i="5"/>
  <c r="F29" i="5"/>
  <c r="C9" i="4"/>
  <c r="F14" i="5"/>
  <c r="F15" i="5"/>
  <c r="H34" i="4"/>
  <c r="I34" i="4" s="1"/>
  <c r="E29" i="4"/>
  <c r="H29" i="4" s="1"/>
  <c r="I29" i="4" s="1"/>
  <c r="I90" i="3"/>
  <c r="E13" i="4"/>
  <c r="E24" i="4"/>
  <c r="H24" i="4" s="1"/>
  <c r="I24" i="4" s="1"/>
  <c r="C73" i="5"/>
  <c r="C7" i="5" s="1"/>
  <c r="F27" i="5"/>
  <c r="H35" i="4"/>
  <c r="I35" i="4" s="1"/>
  <c r="C29" i="5" s="1"/>
  <c r="K150" i="3"/>
  <c r="F40" i="7" s="1"/>
  <c r="G8" i="4"/>
  <c r="H8" i="4" s="1"/>
  <c r="I8" i="4" s="1"/>
  <c r="F13" i="5"/>
  <c r="C38" i="4"/>
  <c r="H38" i="4" s="1"/>
  <c r="I38" i="4" s="1"/>
  <c r="H22" i="4"/>
  <c r="I22" i="4" s="1"/>
  <c r="J22" i="4" s="1"/>
  <c r="K22" i="4" s="1"/>
  <c r="L22" i="4" s="1"/>
  <c r="F30" i="5"/>
  <c r="H40" i="4"/>
  <c r="I40" i="4" s="1"/>
  <c r="J40" i="4" s="1"/>
  <c r="K40" i="4" s="1"/>
  <c r="L40" i="4" s="1"/>
  <c r="F25" i="5"/>
  <c r="I83" i="3"/>
  <c r="F62" i="5"/>
  <c r="D25" i="4"/>
  <c r="H25" i="4" s="1"/>
  <c r="I25" i="4" s="1"/>
  <c r="C6" i="4"/>
  <c r="H27" i="4"/>
  <c r="I27" i="4" s="1"/>
  <c r="J27" i="4" s="1"/>
  <c r="K27" i="4" s="1"/>
  <c r="K78" i="3"/>
  <c r="H28" i="4"/>
  <c r="I28" i="4" s="1"/>
  <c r="E26" i="4"/>
  <c r="C26" i="5"/>
  <c r="C15" i="5"/>
  <c r="H40" i="7"/>
  <c r="I40" i="7" s="1"/>
  <c r="K61" i="3"/>
  <c r="C39" i="7" s="1"/>
  <c r="K30" i="3"/>
  <c r="K54" i="3"/>
  <c r="C28" i="7" s="1"/>
  <c r="K72" i="3"/>
  <c r="H33" i="4"/>
  <c r="I33" i="4" s="1"/>
  <c r="J33" i="4" s="1"/>
  <c r="K33" i="4" s="1"/>
  <c r="C50" i="5"/>
  <c r="C71" i="5"/>
  <c r="C30" i="5"/>
  <c r="C63" i="5"/>
  <c r="K13" i="3"/>
  <c r="G23" i="7" s="1"/>
  <c r="C46" i="5"/>
  <c r="H9" i="4"/>
  <c r="I9" i="4" s="1"/>
  <c r="F61" i="5"/>
  <c r="K129" i="3"/>
  <c r="D37" i="7" s="1"/>
  <c r="K37" i="7" s="1"/>
  <c r="L37" i="7" s="1"/>
  <c r="K123" i="3"/>
  <c r="D22" i="7" s="1"/>
  <c r="K117" i="3"/>
  <c r="D33" i="7" s="1"/>
  <c r="K111" i="3"/>
  <c r="D34" i="7" s="1"/>
  <c r="K105" i="3"/>
  <c r="D42" i="7" s="1"/>
  <c r="K99" i="3"/>
  <c r="K128" i="3"/>
  <c r="K110" i="3"/>
  <c r="K98" i="3"/>
  <c r="D23" i="7" s="1"/>
  <c r="K122" i="3"/>
  <c r="D53" i="7" s="1"/>
  <c r="K116" i="3"/>
  <c r="K104" i="3"/>
  <c r="D20" i="7" s="1"/>
  <c r="K118" i="3"/>
  <c r="D21" i="7" s="1"/>
  <c r="K106" i="3"/>
  <c r="D27" i="7" s="1"/>
  <c r="K125" i="3"/>
  <c r="K119" i="3"/>
  <c r="D35" i="7" s="1"/>
  <c r="K113" i="3"/>
  <c r="D31" i="7" s="1"/>
  <c r="K107" i="3"/>
  <c r="K101" i="3"/>
  <c r="K124" i="3"/>
  <c r="K100" i="3"/>
  <c r="K112" i="3"/>
  <c r="D26" i="7" s="1"/>
  <c r="K55" i="7"/>
  <c r="L55" i="7" s="1"/>
  <c r="L27" i="4"/>
  <c r="M27" i="4"/>
  <c r="K79" i="3"/>
  <c r="L23" i="4"/>
  <c r="M23" i="4"/>
  <c r="M42" i="4"/>
  <c r="L42" i="4"/>
  <c r="K144" i="3"/>
  <c r="C49" i="5"/>
  <c r="K73" i="3"/>
  <c r="F71" i="5"/>
  <c r="F60" i="5"/>
  <c r="F64" i="5"/>
  <c r="F67" i="5"/>
  <c r="H50" i="7"/>
  <c r="I50" i="7" s="1"/>
  <c r="F17" i="5"/>
  <c r="K27" i="3"/>
  <c r="G22" i="7" s="1"/>
  <c r="K15" i="3"/>
  <c r="K26" i="3"/>
  <c r="K14" i="3"/>
  <c r="K32" i="3"/>
  <c r="G53" i="7" s="1"/>
  <c r="K20" i="3"/>
  <c r="K8" i="3"/>
  <c r="G32" i="7" s="1"/>
  <c r="K22" i="3"/>
  <c r="G31" i="7" s="1"/>
  <c r="K29" i="3"/>
  <c r="K23" i="3"/>
  <c r="G27" i="7" s="1"/>
  <c r="K17" i="3"/>
  <c r="K11" i="3"/>
  <c r="K5" i="3"/>
  <c r="K10" i="3"/>
  <c r="G28" i="7" s="1"/>
  <c r="K16" i="3"/>
  <c r="G40" i="7" s="1"/>
  <c r="K28" i="3"/>
  <c r="K21" i="3"/>
  <c r="K9" i="3"/>
  <c r="G20" i="7" s="1"/>
  <c r="K19" i="3"/>
  <c r="G36" i="7" s="1"/>
  <c r="K36" i="7" s="1"/>
  <c r="L36" i="7" s="1"/>
  <c r="M32" i="4"/>
  <c r="L32" i="4"/>
  <c r="K55" i="3"/>
  <c r="C49" i="7" s="1"/>
  <c r="F23" i="5"/>
  <c r="C33" i="5"/>
  <c r="C5" i="5" s="1"/>
  <c r="F16" i="5"/>
  <c r="F19" i="5"/>
  <c r="F24" i="5"/>
  <c r="F31" i="5"/>
  <c r="F65" i="5"/>
  <c r="K48" i="3"/>
  <c r="F18" i="5"/>
  <c r="F68" i="5"/>
  <c r="K153" i="3"/>
  <c r="K147" i="3"/>
  <c r="F48" i="7" s="1"/>
  <c r="K48" i="7" s="1"/>
  <c r="L48" i="7" s="1"/>
  <c r="K141" i="3"/>
  <c r="K135" i="3"/>
  <c r="K152" i="3"/>
  <c r="K140" i="3"/>
  <c r="F24" i="7" s="1"/>
  <c r="K146" i="3"/>
  <c r="K134" i="3"/>
  <c r="K143" i="3"/>
  <c r="F43" i="7" s="1"/>
  <c r="K142" i="3"/>
  <c r="F20" i="7" s="1"/>
  <c r="K149" i="3"/>
  <c r="F21" i="7" s="1"/>
  <c r="K137" i="3"/>
  <c r="K131" i="3"/>
  <c r="F38" i="7" s="1"/>
  <c r="K136" i="3"/>
  <c r="K148" i="3"/>
  <c r="F26" i="7" s="1"/>
  <c r="K130" i="3"/>
  <c r="F27" i="7" s="1"/>
  <c r="K24" i="3"/>
  <c r="K66" i="3"/>
  <c r="K84" i="3"/>
  <c r="F66" i="5"/>
  <c r="K7" i="3"/>
  <c r="K25" i="3"/>
  <c r="G29" i="7" s="1"/>
  <c r="K49" i="3"/>
  <c r="K67" i="3"/>
  <c r="K108" i="3"/>
  <c r="D28" i="7" s="1"/>
  <c r="K132" i="3"/>
  <c r="F23" i="7" s="1"/>
  <c r="D32" i="7"/>
  <c r="K145" i="3"/>
  <c r="F41" i="7" s="1"/>
  <c r="C27" i="5"/>
  <c r="C70" i="5"/>
  <c r="H37" i="7"/>
  <c r="I37" i="7" s="1"/>
  <c r="K138" i="3"/>
  <c r="K6" i="3"/>
  <c r="G24" i="7" s="1"/>
  <c r="H26" i="4"/>
  <c r="I26" i="4" s="1"/>
  <c r="M30" i="4"/>
  <c r="L30" i="4"/>
  <c r="F20" i="5"/>
  <c r="F69" i="5"/>
  <c r="M40" i="4"/>
  <c r="C21" i="5"/>
  <c r="F70" i="5"/>
  <c r="K81" i="3"/>
  <c r="K69" i="3"/>
  <c r="K63" i="3"/>
  <c r="K51" i="3"/>
  <c r="C27" i="7" s="1"/>
  <c r="K86" i="3"/>
  <c r="C56" i="7" s="1"/>
  <c r="K74" i="3"/>
  <c r="K62" i="3"/>
  <c r="C46" i="7" s="1"/>
  <c r="K50" i="3"/>
  <c r="C29" i="7" s="1"/>
  <c r="K80" i="3"/>
  <c r="C54" i="7" s="1"/>
  <c r="K68" i="3"/>
  <c r="K56" i="3"/>
  <c r="K76" i="3"/>
  <c r="C33" i="7" s="1"/>
  <c r="K83" i="3"/>
  <c r="C26" i="7" s="1"/>
  <c r="K77" i="3"/>
  <c r="C35" i="7" s="1"/>
  <c r="K71" i="3"/>
  <c r="K65" i="3"/>
  <c r="K59" i="3"/>
  <c r="K53" i="3"/>
  <c r="K47" i="3"/>
  <c r="K52" i="3"/>
  <c r="K70" i="3"/>
  <c r="K64" i="3"/>
  <c r="K82" i="3"/>
  <c r="K58" i="3"/>
  <c r="K75" i="3"/>
  <c r="K57" i="3"/>
  <c r="C24" i="7" s="1"/>
  <c r="K12" i="3"/>
  <c r="G26" i="7" s="1"/>
  <c r="K18" i="3"/>
  <c r="H36" i="4"/>
  <c r="I36" i="4" s="1"/>
  <c r="F21" i="5"/>
  <c r="I21" i="3"/>
  <c r="D6" i="4"/>
  <c r="C17" i="4"/>
  <c r="H17" i="4" s="1"/>
  <c r="I17" i="4" s="1"/>
  <c r="F28" i="5"/>
  <c r="F40" i="5"/>
  <c r="I10" i="3"/>
  <c r="I22" i="3"/>
  <c r="I46" i="3"/>
  <c r="I52" i="3"/>
  <c r="I76" i="3"/>
  <c r="I88" i="3"/>
  <c r="I94" i="3"/>
  <c r="C15" i="4"/>
  <c r="H15" i="4" s="1"/>
  <c r="I15" i="4" s="1"/>
  <c r="E41" i="4"/>
  <c r="H41" i="4" s="1"/>
  <c r="I41" i="4" s="1"/>
  <c r="K40" i="7"/>
  <c r="L40" i="7" s="1"/>
  <c r="D13" i="4"/>
  <c r="F41" i="5"/>
  <c r="E12" i="7"/>
  <c r="K173" i="3" s="1"/>
  <c r="D11" i="4"/>
  <c r="E39" i="4"/>
  <c r="H39" i="4" s="1"/>
  <c r="I39" i="4" s="1"/>
  <c r="F11" i="4"/>
  <c r="H52" i="7"/>
  <c r="I52" i="7" s="1"/>
  <c r="J52" i="7" s="1"/>
  <c r="D5" i="4"/>
  <c r="C5" i="4"/>
  <c r="E31" i="4"/>
  <c r="H31" i="4" s="1"/>
  <c r="I31" i="4" s="1"/>
  <c r="I13" i="3"/>
  <c r="I19" i="3"/>
  <c r="I49" i="3"/>
  <c r="I55" i="3"/>
  <c r="I38" i="3"/>
  <c r="I50" i="3"/>
  <c r="H57" i="7"/>
  <c r="I57" i="7" s="1"/>
  <c r="J57" i="7" s="1"/>
  <c r="E12" i="4"/>
  <c r="H12" i="4" s="1"/>
  <c r="I12" i="4" s="1"/>
  <c r="H55" i="7"/>
  <c r="I55" i="7" s="1"/>
  <c r="I33" i="3"/>
  <c r="K159" i="3"/>
  <c r="K165" i="3"/>
  <c r="C47" i="5" l="1"/>
  <c r="C28" i="5"/>
  <c r="C16" i="5"/>
  <c r="C61" i="5"/>
  <c r="C42" i="5"/>
  <c r="C23" i="5"/>
  <c r="H48" i="7"/>
  <c r="I48" i="7" s="1"/>
  <c r="G21" i="7"/>
  <c r="H6" i="4"/>
  <c r="I6" i="4" s="1"/>
  <c r="M22" i="4"/>
  <c r="G33" i="7"/>
  <c r="C43" i="7"/>
  <c r="H43" i="7" s="1"/>
  <c r="I43" i="7" s="1"/>
  <c r="G30" i="7"/>
  <c r="D47" i="7"/>
  <c r="H47" i="7" s="1"/>
  <c r="I47" i="7" s="1"/>
  <c r="D29" i="7"/>
  <c r="H13" i="4"/>
  <c r="I13" i="4" s="1"/>
  <c r="C31" i="5"/>
  <c r="C65" i="5"/>
  <c r="C20" i="5"/>
  <c r="C14" i="5"/>
  <c r="C60" i="5"/>
  <c r="C41" i="5"/>
  <c r="C45" i="5"/>
  <c r="C19" i="5"/>
  <c r="K49" i="7"/>
  <c r="L49" i="7" s="1"/>
  <c r="H49" i="7"/>
  <c r="I49" i="7" s="1"/>
  <c r="H11" i="4"/>
  <c r="I11" i="4" s="1"/>
  <c r="K172" i="3"/>
  <c r="E24" i="7" s="1"/>
  <c r="K24" i="7" s="1"/>
  <c r="L24" i="7" s="1"/>
  <c r="K154" i="3"/>
  <c r="K166" i="3"/>
  <c r="E23" i="7" s="1"/>
  <c r="H23" i="7" s="1"/>
  <c r="I23" i="7" s="1"/>
  <c r="K160" i="3"/>
  <c r="E21" i="7" s="1"/>
  <c r="K21" i="7" s="1"/>
  <c r="L21" i="7" s="1"/>
  <c r="K168" i="3"/>
  <c r="E20" i="7" s="1"/>
  <c r="H20" i="7" s="1"/>
  <c r="I20" i="7" s="1"/>
  <c r="K157" i="3"/>
  <c r="E28" i="7" s="1"/>
  <c r="K28" i="7" s="1"/>
  <c r="L28" i="7" s="1"/>
  <c r="K156" i="3"/>
  <c r="K175" i="3"/>
  <c r="E31" i="7" s="1"/>
  <c r="K174" i="3"/>
  <c r="E25" i="7" s="1"/>
  <c r="K163" i="3"/>
  <c r="E26" i="7" s="1"/>
  <c r="K26" i="7" s="1"/>
  <c r="L26" i="7" s="1"/>
  <c r="K162" i="3"/>
  <c r="E42" i="7" s="1"/>
  <c r="H42" i="7" s="1"/>
  <c r="I42" i="7" s="1"/>
  <c r="K169" i="3"/>
  <c r="K164" i="3"/>
  <c r="K22" i="7"/>
  <c r="L22" i="7" s="1"/>
  <c r="H22" i="7"/>
  <c r="I22" i="7" s="1"/>
  <c r="B23" i="1"/>
  <c r="H39" i="7"/>
  <c r="I39" i="7" s="1"/>
  <c r="K39" i="7"/>
  <c r="L39" i="7" s="1"/>
  <c r="K33" i="7"/>
  <c r="L33" i="7" s="1"/>
  <c r="H33" i="7"/>
  <c r="I33" i="7" s="1"/>
  <c r="K46" i="7"/>
  <c r="L46" i="7" s="1"/>
  <c r="H46" i="7"/>
  <c r="I46" i="7" s="1"/>
  <c r="K161" i="3"/>
  <c r="K27" i="7"/>
  <c r="L27" i="7" s="1"/>
  <c r="H27" i="7"/>
  <c r="I27" i="7" s="1"/>
  <c r="K158" i="3"/>
  <c r="K54" i="7"/>
  <c r="L54" i="7" s="1"/>
  <c r="H54" i="7"/>
  <c r="I54" i="7" s="1"/>
  <c r="K167" i="3"/>
  <c r="E35" i="7" s="1"/>
  <c r="H35" i="7" s="1"/>
  <c r="I35" i="7" s="1"/>
  <c r="K170" i="3"/>
  <c r="C62" i="5"/>
  <c r="C17" i="5"/>
  <c r="C43" i="5"/>
  <c r="K171" i="3"/>
  <c r="E53" i="7" s="1"/>
  <c r="K53" i="7" s="1"/>
  <c r="L53" i="7" s="1"/>
  <c r="C66" i="5"/>
  <c r="C22" i="5"/>
  <c r="L33" i="4"/>
  <c r="M33" i="4"/>
  <c r="K155" i="3"/>
  <c r="E30" i="7" s="1"/>
  <c r="K23" i="7"/>
  <c r="L23" i="7" s="1"/>
  <c r="C41" i="7"/>
  <c r="K47" i="7"/>
  <c r="L47" i="7" s="1"/>
  <c r="H5" i="4"/>
  <c r="I5" i="4" s="1"/>
  <c r="J9" i="4" s="1"/>
  <c r="C44" i="7"/>
  <c r="C48" i="5"/>
  <c r="C68" i="5"/>
  <c r="C24" i="5"/>
  <c r="K38" i="7"/>
  <c r="L38" i="7" s="1"/>
  <c r="H38" i="7"/>
  <c r="I38" i="7" s="1"/>
  <c r="K56" i="7"/>
  <c r="L56" i="7" s="1"/>
  <c r="H56" i="7"/>
  <c r="I56" i="7" s="1"/>
  <c r="K176" i="3"/>
  <c r="E45" i="7" s="1"/>
  <c r="F29" i="7"/>
  <c r="H29" i="7" s="1"/>
  <c r="I29" i="7" s="1"/>
  <c r="G25" i="7"/>
  <c r="H21" i="7"/>
  <c r="I21" i="7" s="1"/>
  <c r="K43" i="7" l="1"/>
  <c r="L43" i="7" s="1"/>
  <c r="K20" i="7"/>
  <c r="L20" i="7" s="1"/>
  <c r="H28" i="7"/>
  <c r="I28" i="7" s="1"/>
  <c r="H31" i="7"/>
  <c r="I31" i="7" s="1"/>
  <c r="K31" i="7"/>
  <c r="L31" i="7" s="1"/>
  <c r="C45" i="4"/>
  <c r="C44" i="4"/>
  <c r="C40" i="5"/>
  <c r="E43" i="5" s="1"/>
  <c r="G43" i="5" s="1"/>
  <c r="J5" i="4"/>
  <c r="C13" i="5"/>
  <c r="E17" i="5" s="1"/>
  <c r="G17" i="5" s="1"/>
  <c r="C59" i="5"/>
  <c r="C46" i="4"/>
  <c r="J7" i="4"/>
  <c r="J34" i="4"/>
  <c r="J14" i="4"/>
  <c r="J38" i="4"/>
  <c r="J37" i="4"/>
  <c r="J18" i="4"/>
  <c r="J21" i="4"/>
  <c r="J35" i="4"/>
  <c r="J10" i="4"/>
  <c r="J29" i="4"/>
  <c r="J20" i="4"/>
  <c r="J24" i="4"/>
  <c r="J25" i="4"/>
  <c r="J16" i="4"/>
  <c r="J28" i="4"/>
  <c r="J8" i="4"/>
  <c r="J19" i="4"/>
  <c r="J31" i="4"/>
  <c r="K31" i="4" s="1"/>
  <c r="K30" i="7"/>
  <c r="L30" i="7" s="1"/>
  <c r="H30" i="7"/>
  <c r="I30" i="7" s="1"/>
  <c r="J6" i="4"/>
  <c r="K41" i="7"/>
  <c r="L41" i="7" s="1"/>
  <c r="H41" i="7"/>
  <c r="I41" i="7" s="1"/>
  <c r="K29" i="7"/>
  <c r="L29" i="7" s="1"/>
  <c r="E65" i="5"/>
  <c r="G65" i="5" s="1"/>
  <c r="K25" i="7"/>
  <c r="L25" i="7" s="1"/>
  <c r="H25" i="7"/>
  <c r="I25" i="7" s="1"/>
  <c r="H53" i="7"/>
  <c r="I53" i="7" s="1"/>
  <c r="J12" i="4"/>
  <c r="K12" i="4" s="1"/>
  <c r="E34" i="7"/>
  <c r="E32" i="7"/>
  <c r="H45" i="7"/>
  <c r="I45" i="7" s="1"/>
  <c r="K45" i="7"/>
  <c r="L45" i="7" s="1"/>
  <c r="E19" i="5"/>
  <c r="G19" i="5" s="1"/>
  <c r="K42" i="7"/>
  <c r="L42" i="7" s="1"/>
  <c r="H26" i="7"/>
  <c r="I26" i="7" s="1"/>
  <c r="J17" i="4"/>
  <c r="K44" i="7"/>
  <c r="L44" i="7" s="1"/>
  <c r="H44" i="7"/>
  <c r="I44" i="7" s="1"/>
  <c r="K35" i="7"/>
  <c r="L35" i="7" s="1"/>
  <c r="H24" i="7"/>
  <c r="I24" i="7" s="1"/>
  <c r="C18" i="5"/>
  <c r="C44" i="5"/>
  <c r="J11" i="4"/>
  <c r="C64" i="5"/>
  <c r="J39" i="4"/>
  <c r="J41" i="4"/>
  <c r="E24" i="5"/>
  <c r="G24" i="5" s="1"/>
  <c r="J36" i="4"/>
  <c r="E14" i="5"/>
  <c r="G14" i="5" s="1"/>
  <c r="J13" i="4"/>
  <c r="J26" i="4"/>
  <c r="J15" i="4"/>
  <c r="K15" i="4" s="1"/>
  <c r="K28" i="4" l="1"/>
  <c r="E64" i="5"/>
  <c r="G64" i="5" s="1"/>
  <c r="E18" i="5"/>
  <c r="G18" i="5" s="1"/>
  <c r="K17" i="4"/>
  <c r="M31" i="4"/>
  <c r="L31" i="4"/>
  <c r="K10" i="4"/>
  <c r="L28" i="4"/>
  <c r="M28" i="4"/>
  <c r="E62" i="5"/>
  <c r="G62" i="5" s="1"/>
  <c r="M44" i="7"/>
  <c r="M43" i="7"/>
  <c r="K26" i="4"/>
  <c r="K16" i="4"/>
  <c r="J31" i="7"/>
  <c r="J26" i="7"/>
  <c r="M49" i="7"/>
  <c r="K35" i="4"/>
  <c r="M54" i="7"/>
  <c r="J29" i="7"/>
  <c r="K34" i="4"/>
  <c r="E40" i="5"/>
  <c r="E47" i="5"/>
  <c r="G47" i="5" s="1"/>
  <c r="E42" i="5"/>
  <c r="G42" i="5" s="1"/>
  <c r="E46" i="5"/>
  <c r="G46" i="5" s="1"/>
  <c r="E50" i="5"/>
  <c r="G50" i="5" s="1"/>
  <c r="E49" i="5"/>
  <c r="G49" i="5" s="1"/>
  <c r="K8" i="4"/>
  <c r="K29" i="4"/>
  <c r="K9" i="4"/>
  <c r="E68" i="5"/>
  <c r="G68" i="5" s="1"/>
  <c r="K37" i="4"/>
  <c r="M41" i="7"/>
  <c r="K7" i="4"/>
  <c r="J55" i="7"/>
  <c r="L17" i="4"/>
  <c r="M17" i="4"/>
  <c r="C48" i="4"/>
  <c r="C47" i="4"/>
  <c r="K39" i="4"/>
  <c r="K14" i="4"/>
  <c r="M28" i="7"/>
  <c r="M46" i="7"/>
  <c r="M45" i="7"/>
  <c r="J39" i="7"/>
  <c r="J46" i="7"/>
  <c r="J45" i="7"/>
  <c r="K19" i="4"/>
  <c r="K24" i="4"/>
  <c r="E41" i="5"/>
  <c r="G41" i="5" s="1"/>
  <c r="K21" i="4"/>
  <c r="K38" i="4"/>
  <c r="E31" i="5"/>
  <c r="G31" i="5" s="1"/>
  <c r="H32" i="7"/>
  <c r="I32" i="7" s="1"/>
  <c r="J48" i="7" s="1"/>
  <c r="K32" i="7"/>
  <c r="L32" i="7" s="1"/>
  <c r="M38" i="7" s="1"/>
  <c r="E20" i="5"/>
  <c r="G20" i="5" s="1"/>
  <c r="E59" i="5"/>
  <c r="E69" i="5"/>
  <c r="G69" i="5" s="1"/>
  <c r="E63" i="5"/>
  <c r="G63" i="5" s="1"/>
  <c r="E70" i="5"/>
  <c r="G70" i="5" s="1"/>
  <c r="E61" i="5"/>
  <c r="G61" i="5" s="1"/>
  <c r="E67" i="5"/>
  <c r="G67" i="5" s="1"/>
  <c r="E71" i="5"/>
  <c r="G71" i="5" s="1"/>
  <c r="J37" i="7"/>
  <c r="M12" i="4"/>
  <c r="L12" i="4"/>
  <c r="J25" i="7"/>
  <c r="M39" i="7"/>
  <c r="K25" i="4"/>
  <c r="K20" i="4"/>
  <c r="K18" i="4"/>
  <c r="E22" i="5"/>
  <c r="G22" i="5" s="1"/>
  <c r="K6" i="4"/>
  <c r="E13" i="5"/>
  <c r="E26" i="5"/>
  <c r="G26" i="5" s="1"/>
  <c r="E28" i="5"/>
  <c r="G28" i="5" s="1"/>
  <c r="E21" i="5"/>
  <c r="G21" i="5" s="1"/>
  <c r="E30" i="5"/>
  <c r="G30" i="5" s="1"/>
  <c r="E29" i="5"/>
  <c r="G29" i="5" s="1"/>
  <c r="E23" i="5"/>
  <c r="G23" i="5" s="1"/>
  <c r="E16" i="5"/>
  <c r="G16" i="5" s="1"/>
  <c r="E27" i="5"/>
  <c r="G27" i="5" s="1"/>
  <c r="E25" i="5"/>
  <c r="G25" i="5" s="1"/>
  <c r="E15" i="5"/>
  <c r="G15" i="5" s="1"/>
  <c r="J47" i="7"/>
  <c r="M15" i="4"/>
  <c r="L15" i="4"/>
  <c r="M27" i="7"/>
  <c r="E48" i="5"/>
  <c r="G48" i="5" s="1"/>
  <c r="K13" i="4"/>
  <c r="K36" i="4"/>
  <c r="K41" i="4"/>
  <c r="E60" i="5"/>
  <c r="G60" i="5" s="1"/>
  <c r="K11" i="4"/>
  <c r="E44" i="5"/>
  <c r="G44" i="5" s="1"/>
  <c r="K34" i="7"/>
  <c r="L34" i="7" s="1"/>
  <c r="H34" i="7"/>
  <c r="I34" i="7" s="1"/>
  <c r="E66" i="5"/>
  <c r="G66" i="5" s="1"/>
  <c r="E45" i="5"/>
  <c r="G45" i="5" s="1"/>
  <c r="J30" i="7"/>
  <c r="K5" i="4"/>
  <c r="J20" i="7"/>
  <c r="J44" i="7" l="1"/>
  <c r="M34" i="7"/>
  <c r="M42" i="7"/>
  <c r="M29" i="7"/>
  <c r="J34" i="7"/>
  <c r="J49" i="7"/>
  <c r="L20" i="4"/>
  <c r="M20" i="4"/>
  <c r="L35" i="4"/>
  <c r="M35" i="4"/>
  <c r="M5" i="4"/>
  <c r="L5" i="4"/>
  <c r="J35" i="7"/>
  <c r="M19" i="4"/>
  <c r="L19" i="4"/>
  <c r="M7" i="4"/>
  <c r="L7" i="4"/>
  <c r="M8" i="4"/>
  <c r="L8" i="4"/>
  <c r="M30" i="7"/>
  <c r="M22" i="7"/>
  <c r="M24" i="7"/>
  <c r="J27" i="7"/>
  <c r="M6" i="4"/>
  <c r="L6" i="4"/>
  <c r="M24" i="4"/>
  <c r="L24" i="4"/>
  <c r="M16" i="4"/>
  <c r="L16" i="4"/>
  <c r="G13" i="5"/>
  <c r="C32" i="5"/>
  <c r="M32" i="7"/>
  <c r="M20" i="7"/>
  <c r="J54" i="7"/>
  <c r="C51" i="5"/>
  <c r="G40" i="5"/>
  <c r="M37" i="4"/>
  <c r="L37" i="4"/>
  <c r="M48" i="7"/>
  <c r="J53" i="7"/>
  <c r="M39" i="4"/>
  <c r="L39" i="4"/>
  <c r="M23" i="7"/>
  <c r="M10" i="4"/>
  <c r="L10" i="4"/>
  <c r="J21" i="7"/>
  <c r="M35" i="7"/>
  <c r="M37" i="7"/>
  <c r="M25" i="7"/>
  <c r="J40" i="7"/>
  <c r="L26" i="4"/>
  <c r="M26" i="4"/>
  <c r="L9" i="4"/>
  <c r="M9" i="4"/>
  <c r="M14" i="4"/>
  <c r="L14" i="4"/>
  <c r="L29" i="4"/>
  <c r="M29" i="4"/>
  <c r="M11" i="4"/>
  <c r="L11" i="4"/>
  <c r="M55" i="7"/>
  <c r="M33" i="7"/>
  <c r="M50" i="7"/>
  <c r="L41" i="4"/>
  <c r="M41" i="4"/>
  <c r="M21" i="4"/>
  <c r="L21" i="4"/>
  <c r="M56" i="7"/>
  <c r="L34" i="4"/>
  <c r="M34" i="4"/>
  <c r="M53" i="7"/>
  <c r="L25" i="4"/>
  <c r="M25" i="4"/>
  <c r="J50" i="7"/>
  <c r="M26" i="7"/>
  <c r="J32" i="7"/>
  <c r="J42" i="7"/>
  <c r="J22" i="7"/>
  <c r="J33" i="7"/>
  <c r="J24" i="7"/>
  <c r="M21" i="7"/>
  <c r="M38" i="4"/>
  <c r="L38" i="4"/>
  <c r="M36" i="4"/>
  <c r="L36" i="4"/>
  <c r="J41" i="7"/>
  <c r="J38" i="7"/>
  <c r="J23" i="7"/>
  <c r="B24" i="1"/>
  <c r="M31" i="7"/>
  <c r="G59" i="5"/>
  <c r="C72" i="5"/>
  <c r="M47" i="7"/>
  <c r="J28" i="7"/>
  <c r="J56" i="7"/>
  <c r="M13" i="4"/>
  <c r="L13" i="4"/>
  <c r="M18" i="4"/>
  <c r="L18" i="4"/>
  <c r="M36" i="7"/>
  <c r="M40" i="7"/>
  <c r="J43" i="7"/>
  <c r="D7" i="5" l="1"/>
  <c r="C74" i="5"/>
  <c r="D6" i="5"/>
  <c r="C53" i="5"/>
  <c r="C34" i="5"/>
  <c r="D5" i="5"/>
  <c r="C35" i="5" l="1"/>
  <c r="F5" i="5" s="1"/>
  <c r="G5" i="5" s="1"/>
  <c r="E5" i="5"/>
  <c r="C54" i="5"/>
  <c r="F6" i="5" s="1"/>
  <c r="G6" i="5" s="1"/>
  <c r="E6" i="5"/>
  <c r="E7" i="5"/>
  <c r="C75" i="5"/>
  <c r="F7" i="5" s="1"/>
  <c r="G7" i="5" s="1"/>
</calcChain>
</file>

<file path=xl/sharedStrings.xml><?xml version="1.0" encoding="utf-8"?>
<sst xmlns="http://schemas.openxmlformats.org/spreadsheetml/2006/main" count="1371" uniqueCount="551">
  <si>
    <t>How Bricks-ly uses RII values from published research</t>
  </si>
  <si>
    <t>What an RII is</t>
  </si>
  <si>
    <t>Relative Importance Index = sum of all ratings / (highest possible rating x number of respondents). Survey respondents rate each delay factor (e.g. 1-5); the RII runs from about 0.2 to 1. A higher RII means respondents judged the factor more important.</t>
  </si>
  <si>
    <t>An RII is NOT a probability and NOT a number of days of delay. It can only say which risks people consider more important than others.</t>
  </si>
  <si>
    <t>Where the values come from</t>
  </si>
  <si>
    <t>Sheet 'Studies' lists 11 published surveys; sheet 'RII_Data' holds every value recorded from them, as printed, with the table and page. Every factor is mapped to a library risk (only 4 unclear or group-level factors are left unmapped).</t>
  </si>
  <si>
    <t>Seed studies (used by the model): RII surveys from India and Sri Lanka, closest to Indian masonry sites: M01 (India, masonry), A02 (India, masonry), M06 (India), A14 (Sri Lanka), A15 (Sri Lanka).</t>
  </si>
  <si>
    <t>Validation studies (held out, never used by the model): M10 (Middle East meta-analysis of 10 surveys), M15 (Brazil), M14 (Indonesia, workers), plus A10, A21 and HAS25 with too few overlapping risks to test.</t>
  </si>
  <si>
    <t>Step by step (sheet 'Seed_Calculation' does this with live formulas)</t>
  </si>
  <si>
    <t>1. Map each factor to one of the tool's library risks (38 risks in 11 categories, built from every factor in the studies). Direct = names the same cause (e.g. 'Material shortages' -&gt; R-MAT). Related = overlaps but is broader, narrower or an outcome (e.g. 'Accidents' -&gt; R-SAFE); Related values are shown but not used.</t>
  </si>
  <si>
    <t>2. For each risk and seed study, average that study's Direct values, so one study counts once even if it lists two matching factors.</t>
  </si>
  <si>
    <t>3. Seed mean RII for the risk = average across the seed studies that have a value.</t>
  </si>
  <si>
    <t>4. Rank the seeded risks by seed mean RII and split them into five equal-count bands (with 30 seeded risks, six per band): top band -&gt; class 5, ... bottom band -&gt; class 1. Risks with no seed-study value (for example R-TRN, R-PRD, R-GOV) are not seeded.</t>
  </si>
  <si>
    <t>5. In the app, a library risk with no probability or delay entered yet is placed on the 5x5 matrix at (class, class), drawn with a dashed outline and labelled 'literature seed'.</t>
  </si>
  <si>
    <t>6. If a site-fact rule flags the risk (e.g. monsoon overlaps the work), its probability class goes up by one, to a maximum of 5.</t>
  </si>
  <si>
    <t>7. As soon as the user enters a probability and a delay range (with a Source), the seed is replaced by those numbers.</t>
  </si>
  <si>
    <t>Worked example: R-WX (rain / monsoon stoppage)</t>
  </si>
  <si>
    <t>What the validation shows (sheet 'Validation')</t>
  </si>
  <si>
    <t>Spearman rank correlation between the seed order and each held-out study, over the risks both cover. Read the 'Reading' column; with only 7-9 shared risks, a result must be strong to be statistically significant.</t>
  </si>
  <si>
    <t>Limits to state in the report</t>
  </si>
  <si>
    <t>RII is a perception of importance, not a measured frequency or delay. Studies differ in country, project type, respondents (managers vs workers) and rating scale (1-4 vs 1-5). Several values come from research notes rather than a re-read of the PDF (column 'How the values were obtained').</t>
  </si>
  <si>
    <t>Most seed mean RIIs lie within a few hundredths of each other, so the order of the middle risks is fragile. The seed is a starting point until expert-survey or site data replace it.</t>
  </si>
  <si>
    <t>Colour key</t>
  </si>
  <si>
    <t>Blue text = value copied from a paper. Black = formula. Green = formula that pulls from another sheet. Yellow fill = a judgement you may change (study role, factor mapping); the sheets recalculate.</t>
  </si>
  <si>
    <t>Built by scripts/build_rii_workbook.py from data/literature_seed.json, the same file the app reads. Edit the JSON and rebuild to keep the app and this workbook in step.</t>
  </si>
  <si>
    <t>Studies the RII values come from</t>
  </si>
  <si>
    <t>Role and the mapping column on RII_Data (yellow) are judgements you may change; everything else is copied from the papers.</t>
  </si>
  <si>
    <t>ID</t>
  </si>
  <si>
    <t>Authors</t>
  </si>
  <si>
    <t>Year</t>
  </si>
  <si>
    <t>Title</t>
  </si>
  <si>
    <t>Venue</t>
  </si>
  <si>
    <t>DOI</t>
  </si>
  <si>
    <t>Country</t>
  </si>
  <si>
    <t>Context</t>
  </si>
  <si>
    <t>Masonry-specific?</t>
  </si>
  <si>
    <t>Respondents (N)</t>
  </si>
  <si>
    <t>Rating scale</t>
  </si>
  <si>
    <t>Where in the paper</t>
  </si>
  <si>
    <t>How the values were obtained</t>
  </si>
  <si>
    <t>Role</t>
  </si>
  <si>
    <t>Note</t>
  </si>
  <si>
    <t>M01</t>
  </si>
  <si>
    <t>Karthik, D. &amp; Rao, C.B.K.</t>
  </si>
  <si>
    <t>The analysis of essential factors responsible for loss of labour productivity in building construction projects in India</t>
  </si>
  <si>
    <t>Engineering Journal 23(2)</t>
  </si>
  <si>
    <t>10.4186/ej.2019.23.2.55</t>
  </si>
  <si>
    <t>India (Telangana)</t>
  </si>
  <si>
    <t>Multi-storey residential building, masonry wall construction</t>
  </si>
  <si>
    <t>Yes</t>
  </si>
  <si>
    <t>44</t>
  </si>
  <si>
    <t>1-5</t>
  </si>
  <si>
    <t>Table 3, p.61</t>
  </si>
  <si>
    <t>Read from the PDF (Research_Papers/5_Masonry_Productivity_Delay)</t>
  </si>
  <si>
    <t>Seed</t>
  </si>
  <si>
    <t>N = 44 from the response counts in Table 3 (each row sums to 44).</t>
  </si>
  <si>
    <t>A02</t>
  </si>
  <si>
    <t>Ponmalar, Aravindraj &amp; Nandhini</t>
  </si>
  <si>
    <t>Study on factors influencing labour productivity in residential buildings in Indian scenario</t>
  </si>
  <si>
    <t>IJETMR 5(2): 239-248</t>
  </si>
  <si>
    <t>10.29121/ijetmr.v5.i2.2018.168</t>
  </si>
  <si>
    <t>India (Chennai)</t>
  </si>
  <si>
    <t>Two 3-storey residential buildings, brick masonry activity</t>
  </si>
  <si>
    <t>Not reported</t>
  </si>
  <si>
    <t>1-4</t>
  </si>
  <si>
    <t>Tables 1-2 and Fig. 1</t>
  </si>
  <si>
    <t>From the research notes (full text read in an earlier session); PDF not in the project folder</t>
  </si>
  <si>
    <t>Low-tier journal; respondent count not reported. Payment delays printed as 775.8 on a 1000 scale.</t>
  </si>
  <si>
    <t>M06</t>
  </si>
  <si>
    <t>Dixit, Mandal, Thanikal &amp; Saurabh</t>
  </si>
  <si>
    <t>Study of significant factors affecting construction productivity using relative importance index in Indian construction industry</t>
  </si>
  <si>
    <t>E3S Web of Conferences 140, 09010</t>
  </si>
  <si>
    <t>10.1051/e3sconf/201914009010</t>
  </si>
  <si>
    <t>India</t>
  </si>
  <si>
    <t>Construction industry (general), consultants, contractors, developers, academia</t>
  </si>
  <si>
    <t>No</t>
  </si>
  <si>
    <t>201</t>
  </si>
  <si>
    <t>Table 3, p.5</t>
  </si>
  <si>
    <t>RII = total score / (5 x 201). 'Conflict of interest among team members' is printed twice with different values.</t>
  </si>
  <si>
    <t>A14</t>
  </si>
  <si>
    <t>Abeysinghe &amp; Jayathilaka</t>
  </si>
  <si>
    <t>Factors influencing the timely completion of construction projects in Sri Lanka</t>
  </si>
  <si>
    <t>PLoS ONE 17(12): e0278318</t>
  </si>
  <si>
    <t>10.1371/journal.pone.0278318</t>
  </si>
  <si>
    <t>Sri Lanka</t>
  </si>
  <si>
    <t>Construction projects incl. buildings; clients, contractors, consultants</t>
  </si>
  <si>
    <t>163</t>
  </si>
  <si>
    <t>Not recorded</t>
  </si>
  <si>
    <t>Table 2</t>
  </si>
  <si>
    <t>From the research notes (rows quoted verbatim from the PMC full text)</t>
  </si>
  <si>
    <t>Only the rows quoted in the notes are listed (39 factors in the paper).</t>
  </si>
  <si>
    <t>A15</t>
  </si>
  <si>
    <t>Manoharan et al.</t>
  </si>
  <si>
    <t>Labour-related factors affecting construction productivity in Sri Lankan building projects: perspectives of engineers and managers</t>
  </si>
  <si>
    <t>Frontiers in Engineering and Built Environment</t>
  </si>
  <si>
    <t>10.1108/FEBE-03-2022-0009</t>
  </si>
  <si>
    <t>Building projects, 90 upper-grade contractor firms</t>
  </si>
  <si>
    <t>90 firms</t>
  </si>
  <si>
    <t>Top-ranked factors</t>
  </si>
  <si>
    <t>From the research notes (summary of the full text, two decimals; lower confidence)</t>
  </si>
  <si>
    <t>Only the top five factors (of 32) are recorded.</t>
  </si>
  <si>
    <t>M10</t>
  </si>
  <si>
    <t>Adebowale &amp; Agumba</t>
  </si>
  <si>
    <t>A meta-analysis of factors affecting construction labour productivity in the Middle East</t>
  </si>
  <si>
    <t>Journal of Construction in Developing Countries 28(1): 193-220</t>
  </si>
  <si>
    <t>10.21315/jcdc-12-21-0192</t>
  </si>
  <si>
    <t>Middle East (10 studies: Malaysia, Palestine, Kuwait, Qatar, Saudi Arabia, Egypt, Bahrain, Oman, Yemen, Vietnam)</t>
  </si>
  <si>
    <t>Meta-analysis: pooled RII ('effect summary', random model) of 35 factors</t>
  </si>
  <si>
    <t>10 studies</t>
  </si>
  <si>
    <t>Pooled RII</t>
  </si>
  <si>
    <t>Table 7, pp.210-211</t>
  </si>
  <si>
    <t>Validation</t>
  </si>
  <si>
    <t>Rows Man. 20 (delays responding to requests for information, overall rank 1) and Tec. 5 (type of project) were not captured by text extraction; neither maps to a tool risk.</t>
  </si>
  <si>
    <t>M15</t>
  </si>
  <si>
    <t>de Almeida, Feitoza, Carvalho, Pina, Araujo et al.</t>
  </si>
  <si>
    <t>Study of delays in constructions: a managerial point of view of private companies in Brasilia, Brazil</t>
  </si>
  <si>
    <t>Gestao &amp; Producao 28(3): e5194</t>
  </si>
  <si>
    <t>10.1590/1806-9649-2021v28e5194</t>
  </si>
  <si>
    <t>Brazil (Brasilia)</t>
  </si>
  <si>
    <t>Private building companies; directors, managers, engineers</t>
  </si>
  <si>
    <t>47</t>
  </si>
  <si>
    <t>Table 3, p.8</t>
  </si>
  <si>
    <t>RII printed as a percentage; converted to 0-1.</t>
  </si>
  <si>
    <t>M14</t>
  </si>
  <si>
    <t>Loekito, Dani, Zulfikar, Triarso &amp; Prasetyono</t>
  </si>
  <si>
    <t>Factors influencing construction worker productivity in Indonesia and strategies for improvement</t>
  </si>
  <si>
    <t>Multidisciplinary Science Journal 8: e2026243</t>
  </si>
  <si>
    <t>10.31893/multiscience.2026243</t>
  </si>
  <si>
    <t>Indonesia (East Java)</t>
  </si>
  <si>
    <t>Construction WORKERS' perspective</t>
  </si>
  <si>
    <t>83</t>
  </si>
  <si>
    <t>Table 2, p.5</t>
  </si>
  <si>
    <t>Published online 2025. Decimal commas in the PDF converted to points.</t>
  </si>
  <si>
    <t>A10</t>
  </si>
  <si>
    <t>Pinky Devi &amp; Sindhu</t>
  </si>
  <si>
    <t>Delay analysis of infrastructure construction projects in India</t>
  </si>
  <si>
    <t>Journal of The Institution of Engineers (India): Series A</t>
  </si>
  <si>
    <t>10.1007/s40030-025-00899-5</t>
  </si>
  <si>
    <t>Infrastructure (roads, bridges), NOT buildings</t>
  </si>
  <si>
    <t>72</t>
  </si>
  <si>
    <t>RII table</t>
  </si>
  <si>
    <t>From the research notes (summary of the full text; lower confidence)</t>
  </si>
  <si>
    <t>Only 2 tool risks overlap, too few for a rank correlation. Notes list the group 'material-related issues' as rank 1 although item values are higher; recheck the paper.</t>
  </si>
  <si>
    <t>A21</t>
  </si>
  <si>
    <t>Ouansrimeang &amp; Wisaeang</t>
  </si>
  <si>
    <t>Analyzing the critical delay factors for construction projects in the public sector using relative importance index and machine learning techniques</t>
  </si>
  <si>
    <t>Journal of Infrastructure, Policy and Development 8(8): 6208</t>
  </si>
  <si>
    <t>10.24294/jipd.v8i8.6208</t>
  </si>
  <si>
    <t>Thailand</t>
  </si>
  <si>
    <t>30 delayed public projects</t>
  </si>
  <si>
    <t>30 projects</t>
  </si>
  <si>
    <t>Results section</t>
  </si>
  <si>
    <t>From the research notes (full text read)</t>
  </si>
  <si>
    <t>Labour issues: 0.773 in the abstract but 0.733 in the results text; 0.733 is used here.</t>
  </si>
  <si>
    <t>HAS25</t>
  </si>
  <si>
    <t>Hassoon et al.</t>
  </si>
  <si>
    <t>(brickwork / housing skeleton tasks, Iraq)</t>
  </si>
  <si>
    <t>Journal of Infrastructure Preservation and Resilience 6, art. 3</t>
  </si>
  <si>
    <t>10.1186/s43065-025-00116-4</t>
  </si>
  <si>
    <t>Iraq</t>
  </si>
  <si>
    <t>Brickwork and housing skeleton tasks</t>
  </si>
  <si>
    <t>Abstract</t>
  </si>
  <si>
    <t>From the research notes (abstract only)</t>
  </si>
  <si>
    <t>Abstract gives only two values. Not in the tool's evidence store.</t>
  </si>
  <si>
    <t>Every RII value recorded, one row per factor as printed in the paper</t>
  </si>
  <si>
    <t>Blue = copied from the paper. Green = looked up from Studies. Black = formula. Yellow = mapping judgement (Direct / Related / blank).</t>
  </si>
  <si>
    <t>Study ID</t>
  </si>
  <si>
    <t>Factor (as printed)</t>
  </si>
  <si>
    <t>RII (0-1)</t>
  </si>
  <si>
    <t>Rank in study</t>
  </si>
  <si>
    <t>Tool risk</t>
  </si>
  <si>
    <t>Mapping</t>
  </si>
  <si>
    <t>Used by the model?</t>
  </si>
  <si>
    <t>z-score within study</t>
  </si>
  <si>
    <t>Unsafe working conditions</t>
  </si>
  <si>
    <t>R-SAFE</t>
  </si>
  <si>
    <t>Direct</t>
  </si>
  <si>
    <t>Poor work planning</t>
  </si>
  <si>
    <t>R-PLAN</t>
  </si>
  <si>
    <t>Unrealistic scheduling</t>
  </si>
  <si>
    <t>Little or no financial rewards</t>
  </si>
  <si>
    <t>R-INC</t>
  </si>
  <si>
    <t>Material shortages</t>
  </si>
  <si>
    <t>R-MAT</t>
  </si>
  <si>
    <t>Payment delay</t>
  </si>
  <si>
    <t>R-PAY</t>
  </si>
  <si>
    <t>Working at heights</t>
  </si>
  <si>
    <t>Weather conditions</t>
  </si>
  <si>
    <t>R-WX</t>
  </si>
  <si>
    <t>Lack of skill and experience of worker</t>
  </si>
  <si>
    <t>R-SKILL</t>
  </si>
  <si>
    <t>Poor or no supervision method</t>
  </si>
  <si>
    <t>R-SUP</t>
  </si>
  <si>
    <t>Incompetent supervisors</t>
  </si>
  <si>
    <t>Accidents</t>
  </si>
  <si>
    <t>R-ACC</t>
  </si>
  <si>
    <t>an outcome of unsafe conditions, not the condition itself</t>
  </si>
  <si>
    <t>Poor relation between labour and superintendents</t>
  </si>
  <si>
    <t>R-COM</t>
  </si>
  <si>
    <t>Related</t>
  </si>
  <si>
    <t>Poor condition of equipment and tools</t>
  </si>
  <si>
    <t>R-TOOL</t>
  </si>
  <si>
    <t>Bad leadership skill</t>
  </si>
  <si>
    <t>R-DIS</t>
  </si>
  <si>
    <t>Working 7 days per week</t>
  </si>
  <si>
    <t>R-OVT</t>
  </si>
  <si>
    <t>Equipment and tools shortages</t>
  </si>
  <si>
    <t>Low labour morale/commitment</t>
  </si>
  <si>
    <t>R-MOT</t>
  </si>
  <si>
    <t>Rework</t>
  </si>
  <si>
    <t>R-RWK</t>
  </si>
  <si>
    <t>Lack of empowerment</t>
  </si>
  <si>
    <t>Change order during execution</t>
  </si>
  <si>
    <t>R-DES</t>
  </si>
  <si>
    <t>Low amount of pay</t>
  </si>
  <si>
    <t>High workforce absenteeism</t>
  </si>
  <si>
    <t>R-LAB</t>
  </si>
  <si>
    <t>Lack of labour surveillance</t>
  </si>
  <si>
    <t>Inadequate safety plan</t>
  </si>
  <si>
    <t>a management cause, broader than the site condition</t>
  </si>
  <si>
    <t>Frequency of working overtime</t>
  </si>
  <si>
    <t>Effectiveness of management system</t>
  </si>
  <si>
    <t>R-MGT</t>
  </si>
  <si>
    <t>Method of construction</t>
  </si>
  <si>
    <t>R-MTH</t>
  </si>
  <si>
    <t>Lack of experience (manpower)</t>
  </si>
  <si>
    <t>rank within Table 1 (manpower)</t>
  </si>
  <si>
    <t>Absenteeism</t>
  </si>
  <si>
    <t>Age</t>
  </si>
  <si>
    <t>R-FAT</t>
  </si>
  <si>
    <t>Table 1 (manpower)</t>
  </si>
  <si>
    <t>Misunderstanding among labourers</t>
  </si>
  <si>
    <t>Table 1; an outcome, not the condition</t>
  </si>
  <si>
    <t>Personal problems</t>
  </si>
  <si>
    <t>Lack of required construction material</t>
  </si>
  <si>
    <t>rank within Table 2 (resources)</t>
  </si>
  <si>
    <t>Lack of tools/equipment</t>
  </si>
  <si>
    <t>Table 2 (resources)</t>
  </si>
  <si>
    <t>Poor site condition</t>
  </si>
  <si>
    <t>R-SITE</t>
  </si>
  <si>
    <t>Material storage location</t>
  </si>
  <si>
    <t>R-STO</t>
  </si>
  <si>
    <t>Increase in price of material</t>
  </si>
  <si>
    <t>R-PRC</t>
  </si>
  <si>
    <t>Payment delays</t>
  </si>
  <si>
    <t>Fig. 1, printed as 775.8 on a 1000 scale</t>
  </si>
  <si>
    <t>Weather condition</t>
  </si>
  <si>
    <t>Fig. 1, printed as 700 on a 1000 scale; rank within Fig. 1</t>
  </si>
  <si>
    <t>Shortage of water</t>
  </si>
  <si>
    <t>R-WAT</t>
  </si>
  <si>
    <t>Fig. 1; water is a mortar input but not brick/block supply</t>
  </si>
  <si>
    <t>Availability of resources</t>
  </si>
  <si>
    <t>covers material, labour and equipment together</t>
  </si>
  <si>
    <t>Contractual disputes</t>
  </si>
  <si>
    <t>R-CTR</t>
  </si>
  <si>
    <t>Scope clarity of the project</t>
  </si>
  <si>
    <t>R-SCP</t>
  </si>
  <si>
    <t>Design capability and frequent design changes</t>
  </si>
  <si>
    <t>Coordination between all stakeholders</t>
  </si>
  <si>
    <t>Project manager's authority to take financial decisions and select key team members</t>
  </si>
  <si>
    <t>Timely payment of completed works</t>
  </si>
  <si>
    <t>Site clearance/availability</t>
  </si>
  <si>
    <t>Ability to handle the crisis by the PM</t>
  </si>
  <si>
    <t>Use of inappropriate planning tools and techniques</t>
  </si>
  <si>
    <t>Quality</t>
  </si>
  <si>
    <t>R-QLT</t>
  </si>
  <si>
    <t>Leadership qualities</t>
  </si>
  <si>
    <t>Top management support to PM</t>
  </si>
  <si>
    <t>Human resource and labour strike</t>
  </si>
  <si>
    <t>R-STR</t>
  </si>
  <si>
    <t>strikes are narrower than absenteeism/shortage</t>
  </si>
  <si>
    <t>Cost</t>
  </si>
  <si>
    <t>R-CST</t>
  </si>
  <si>
    <t>Project coordination meetings</t>
  </si>
  <si>
    <t>Inadequate project formulation in the beginning</t>
  </si>
  <si>
    <t>Obsolete construction equipment, methods and technology</t>
  </si>
  <si>
    <t>includes methods and technology</t>
  </si>
  <si>
    <t>Conflict of interest among team members</t>
  </si>
  <si>
    <t>printed twice in the paper</t>
  </si>
  <si>
    <t>Customer/client satisfaction</t>
  </si>
  <si>
    <t>R-CLI</t>
  </si>
  <si>
    <t>Conflict of interest among team members (second entry)</t>
  </si>
  <si>
    <t>Availability of training and development for enhancing skills</t>
  </si>
  <si>
    <t>training availability, not labour skill itself</t>
  </si>
  <si>
    <t>Selection of PM with proven track record</t>
  </si>
  <si>
    <t>Supply chain</t>
  </si>
  <si>
    <t>broader than material shortage</t>
  </si>
  <si>
    <t>Willingness to adopt change</t>
  </si>
  <si>
    <t>Claim genuineness</t>
  </si>
  <si>
    <t>Regular budget update</t>
  </si>
  <si>
    <t>Social skills of key team managers</t>
  </si>
  <si>
    <t>Working hours</t>
  </si>
  <si>
    <t>Developing and maintaining a short and informal line of communication</t>
  </si>
  <si>
    <t>Urgency emphasized by the owner while issuing tender</t>
  </si>
  <si>
    <t>Ability to delegate authority</t>
  </si>
  <si>
    <t>Political and economic environment</t>
  </si>
  <si>
    <t>R-ECO</t>
  </si>
  <si>
    <t>Exceptional difference between client and architect</t>
  </si>
  <si>
    <t>Interpersonal skills</t>
  </si>
  <si>
    <t>Climate conditions</t>
  </si>
  <si>
    <t>Interest and inflation rates</t>
  </si>
  <si>
    <t>Availability of accurate historical information</t>
  </si>
  <si>
    <t>Social environment</t>
  </si>
  <si>
    <t>R-SOC</t>
  </si>
  <si>
    <t>Shortage of skilled subcontractors/suppliers</t>
  </si>
  <si>
    <t>suppliers and subcontractors together</t>
  </si>
  <si>
    <t>Shortage of labourers (skilled, semi-skilled, unskilled)</t>
  </si>
  <si>
    <t>Delay of delivering materials to the site</t>
  </si>
  <si>
    <t>Fluctuation of material prices in the market</t>
  </si>
  <si>
    <t>Bad weather conditions</t>
  </si>
  <si>
    <t>Skills shortage</t>
  </si>
  <si>
    <t>Lack of thinking abilities</t>
  </si>
  <si>
    <t>Lack of work experience</t>
  </si>
  <si>
    <t>Lack of knowledge in construction works</t>
  </si>
  <si>
    <t>Poor labour discipline</t>
  </si>
  <si>
    <t>Inadequate workers' supervision</t>
  </si>
  <si>
    <t>A shortage of skilled labour</t>
  </si>
  <si>
    <t>Extent of change orders</t>
  </si>
  <si>
    <t>Clarity of technical specifications</t>
  </si>
  <si>
    <t>specification clarity, not drawings or changes</t>
  </si>
  <si>
    <t>Coordination among design disciplines</t>
  </si>
  <si>
    <t>Lack of incentive schemes</t>
  </si>
  <si>
    <t>Economic conditions</t>
  </si>
  <si>
    <t>Material shortage at project site</t>
  </si>
  <si>
    <t>Proportion of work subcontracted</t>
  </si>
  <si>
    <t>R-SUB</t>
  </si>
  <si>
    <t>Quality and availability of drawings</t>
  </si>
  <si>
    <t>Remuneration scale</t>
  </si>
  <si>
    <t>Stringent inspections</t>
  </si>
  <si>
    <t>Physical fatigue</t>
  </si>
  <si>
    <t>Inclement weather conditions</t>
  </si>
  <si>
    <t>Poor workers' motivation</t>
  </si>
  <si>
    <t>Unrealistic deadline for project completion</t>
  </si>
  <si>
    <t>Government policies</t>
  </si>
  <si>
    <t>R-GOV</t>
  </si>
  <si>
    <t>Poor site management</t>
  </si>
  <si>
    <t>management in general, not planning</t>
  </si>
  <si>
    <t>Working overtime</t>
  </si>
  <si>
    <t>Unavailability of suitable tools and equipment</t>
  </si>
  <si>
    <t>Problem of communication</t>
  </si>
  <si>
    <t>Unsuitability of storage location</t>
  </si>
  <si>
    <t>Design complexity</t>
  </si>
  <si>
    <t>Construction method</t>
  </si>
  <si>
    <t>Working within a confined space</t>
  </si>
  <si>
    <t>Inspection delay</t>
  </si>
  <si>
    <t>Accident</t>
  </si>
  <si>
    <t>an outcome, not the condition</t>
  </si>
  <si>
    <t>Lack of labour recognition programmes</t>
  </si>
  <si>
    <t>Project location</t>
  </si>
  <si>
    <t>Inadequate training</t>
  </si>
  <si>
    <t>R-TRN</t>
  </si>
  <si>
    <t>Low labor productivity</t>
  </si>
  <si>
    <t>R-PRD</t>
  </si>
  <si>
    <t>Lack of skilled labor</t>
  </si>
  <si>
    <t>Low qualification of labor</t>
  </si>
  <si>
    <t>Modifications to the project</t>
  </si>
  <si>
    <t>Failure to manage deadlines</t>
  </si>
  <si>
    <t>deadline control rather than planning</t>
  </si>
  <si>
    <t>Poor specification or lack of definition of the project</t>
  </si>
  <si>
    <t>Incompatibility of projects</t>
  </si>
  <si>
    <t>clashes between design disciplines</t>
  </si>
  <si>
    <t>Poor qualification in the contractor's technical staff</t>
  </si>
  <si>
    <t>Delay in delivery of material</t>
  </si>
  <si>
    <t>Unrealistic schedule</t>
  </si>
  <si>
    <t>Timing failures due to overestimation of productivity</t>
  </si>
  <si>
    <t>an estimating error</t>
  </si>
  <si>
    <t>Delay in ordering materials</t>
  </si>
  <si>
    <t>Conflict between parties (contractor and contractor)</t>
  </si>
  <si>
    <t>Delay in delivery of material at the front of service (site handling)</t>
  </si>
  <si>
    <t>on-site handling, not supply</t>
  </si>
  <si>
    <t>Delay in the mobilization of the work</t>
  </si>
  <si>
    <t>Low efficiency and productivity of equipment</t>
  </si>
  <si>
    <t>equipment output, not availability</t>
  </si>
  <si>
    <t>Delay for defective material</t>
  </si>
  <si>
    <t>R-DEF</t>
  </si>
  <si>
    <t>a quality problem</t>
  </si>
  <si>
    <t>Effects of climate on construction (heat, rain)</t>
  </si>
  <si>
    <t>Equipment shortage</t>
  </si>
  <si>
    <t>Accident during construction</t>
  </si>
  <si>
    <t>Complexity of the project</t>
  </si>
  <si>
    <t>Scarcity of building materials on the market</t>
  </si>
  <si>
    <t>Equipment defects</t>
  </si>
  <si>
    <t>Low salary</t>
  </si>
  <si>
    <t>Lack of supervision</t>
  </si>
  <si>
    <t>No incentives</t>
  </si>
  <si>
    <t>Late payment</t>
  </si>
  <si>
    <t>Changing jobs</t>
  </si>
  <si>
    <t>Inadequate tools</t>
  </si>
  <si>
    <t>Project scale</t>
  </si>
  <si>
    <t>Types of work contracts</t>
  </si>
  <si>
    <t>Weather</t>
  </si>
  <si>
    <t>Fatigue</t>
  </si>
  <si>
    <t>No consumption</t>
  </si>
  <si>
    <t>Lack of skills</t>
  </si>
  <si>
    <t>Poor communication</t>
  </si>
  <si>
    <t>Late material</t>
  </si>
  <si>
    <t>Job scheduling</t>
  </si>
  <si>
    <t>scheduling in general</t>
  </si>
  <si>
    <t>Work method</t>
  </si>
  <si>
    <t>Compressed time</t>
  </si>
  <si>
    <t>Worker dissatisfaction</t>
  </si>
  <si>
    <t>Inadequate safety</t>
  </si>
  <si>
    <t>Lack of motivation</t>
  </si>
  <si>
    <t>The owner/supervisor cannot decide</t>
  </si>
  <si>
    <t>Late material deliveries</t>
  </si>
  <si>
    <t>Weather conditions (external)</t>
  </si>
  <si>
    <t>Material-related issues (group)</t>
  </si>
  <si>
    <t>factor group, not an item</t>
  </si>
  <si>
    <t>Construction-site factors (group)</t>
  </si>
  <si>
    <t>Contractor-related (group)</t>
  </si>
  <si>
    <t>Contractor financial issues</t>
  </si>
  <si>
    <t>R-FIN</t>
  </si>
  <si>
    <t>the contractor's own finances, not late payment to it</t>
  </si>
  <si>
    <t>Labour issues (shortage during harvest season or festivals)</t>
  </si>
  <si>
    <t>0.773 in the abstract, 0.733 in the results text</t>
  </si>
  <si>
    <t>Planning</t>
  </si>
  <si>
    <t>Team size</t>
  </si>
  <si>
    <t>crew size, not absenteeism</t>
  </si>
  <si>
    <t>Literature seed: how the model turns RII values into a place on the risk matrix</t>
  </si>
  <si>
    <t>Each study cell = average of that study's DIRECT values for the risk. Seed mean = average across studies. Rank -&gt; five equal bands -&gt; class.</t>
  </si>
  <si>
    <t>Risk ID</t>
  </si>
  <si>
    <t>Risk</t>
  </si>
  <si>
    <t>Studies with a value</t>
  </si>
  <si>
    <t>Seed mean RII</t>
  </si>
  <si>
    <t>Rank</t>
  </si>
  <si>
    <t>Class (1-5)</t>
  </si>
  <si>
    <t>Matrix cell (p × impact)</t>
  </si>
  <si>
    <t>Level</t>
  </si>
  <si>
    <t>Brick / block / mortar material shortage or late delivery</t>
  </si>
  <si>
    <t>Tools and equipment delay</t>
  </si>
  <si>
    <t>Labour absenteeism or shortage</t>
  </si>
  <si>
    <t>Unskilled or unqualified labour</t>
  </si>
  <si>
    <t>Poor planning or unrealistic scheduling</t>
  </si>
  <si>
    <t>Unsafe conditions or work at height</t>
  </si>
  <si>
    <t>Rain / monsoon stoppage</t>
  </si>
  <si>
    <t>Rework due to workmanship or defects</t>
  </si>
  <si>
    <t>Design changes or incomplete documentation</t>
  </si>
  <si>
    <t>Inadequate supervision or monitoring of workers</t>
  </si>
  <si>
    <t>Low motivation, morale or labour turnover</t>
  </si>
  <si>
    <t>Inadequate wages or incentives</t>
  </si>
  <si>
    <t>Overtime and long working hours</t>
  </si>
  <si>
    <t>Worker fatigue, age or personal problems</t>
  </si>
  <si>
    <t>Poor communication or misunderstanding on site</t>
  </si>
  <si>
    <t>Poor labour discipline or weak site leadership</t>
  </si>
  <si>
    <t>Inadequate training of workers</t>
  </si>
  <si>
    <t>Low labour productivity</t>
  </si>
  <si>
    <t>Labour strikes or disputes</t>
  </si>
  <si>
    <t>Accidents and injuries on site</t>
  </si>
  <si>
    <t>Poor site management and coordination</t>
  </si>
  <si>
    <t>Subcontracting and contract-type problems</t>
  </si>
  <si>
    <t>Contractual disputes and claims</t>
  </si>
  <si>
    <t>Unclear scope or inadequate project formulation</t>
  </si>
  <si>
    <t>Client decision delay or pressure</t>
  </si>
  <si>
    <t>Cost control and budget updating problems</t>
  </si>
  <si>
    <t>Inspection and quality-approval delays</t>
  </si>
  <si>
    <t>Defective or poor-quality material</t>
  </si>
  <si>
    <t>Poor site access, clearance or conditions</t>
  </si>
  <si>
    <t>Poor material storage or handling</t>
  </si>
  <si>
    <t>Material price escalation</t>
  </si>
  <si>
    <t>Water shortage</t>
  </si>
  <si>
    <t>Construction method or design complexity</t>
  </si>
  <si>
    <t>Economic conditions, inflation or interest rates</t>
  </si>
  <si>
    <t>Government policies or approvals</t>
  </si>
  <si>
    <t>Social or community environment</t>
  </si>
  <si>
    <t>Contractor financial difficulties</t>
  </si>
  <si>
    <t>Risks seeded (n)</t>
  </si>
  <si>
    <t>Highest mean RII</t>
  </si>
  <si>
    <t>Lowest mean RII</t>
  </si>
  <si>
    <t>Spread (highest - lowest)</t>
  </si>
  <si>
    <t>Spread without the lowest risk</t>
  </si>
  <si>
    <t>How to read this sheet:</t>
  </si>
  <si>
    <t>1. Study columns: AVERAGEIFS over RII_Data rows with that study, that risk, mapping = Direct and role = Seed. Two direct items in one study are averaged first, so every study counts once.</t>
  </si>
  <si>
    <t>2. Seed mean RII = plain average of the study columns that have a value.</t>
  </si>
  <si>
    <t>3. Rank 1 = highest mean. Class = 5 - INT((rank - 1) x 5 / n), n = number of seeded risks (cell below). The ranks are cut into five bands of about n/5 risks each; with n = 30, ranks 1-6 -&gt; class 5, 7-12 -&gt; 4, 13-18 -&gt; 3, 19-24 -&gt; 2, 25-30 -&gt; 1. Risks with no seed-study value stay unranked.</t>
  </si>
  <si>
    <t>4. The class is used for BOTH axes because an RII is an importance rating, not a probability and not days of delay. Level uses the app's thresholds: score &lt;= 5 Low, &lt;= 10 Moderate, &lt;= 15 High, else Extreme.</t>
  </si>
  <si>
    <t>5. In the app, a site-fact rule flag raises the probability class by one (max 5), and entering your own probability and delay replaces the seed completely.</t>
  </si>
  <si>
    <t>6. Caution: most mean RIIs lie within a few hundredths of each other (see the spread rows). The bands make small differences look large, so treat the seed as a weak starting order.</t>
  </si>
  <si>
    <t>7. Ties: equal means are ordered by risk ID, the same rule the app uses (R-MTH and R-STO tie at 0.700).</t>
  </si>
  <si>
    <t>Validation: does the seed ranking agree with studies the model did NOT use?</t>
  </si>
  <si>
    <t>Spearman rank correlation between the seed mean RII and each held-out study, over the risks both cover (direct items only).</t>
  </si>
  <si>
    <t>Study</t>
  </si>
  <si>
    <t>Region / respondents</t>
  </si>
  <si>
    <t>Risks in common (n)</t>
  </si>
  <si>
    <t>Spearman rho</t>
  </si>
  <si>
    <t>t</t>
  </si>
  <si>
    <t>p (two-tailed)</t>
  </si>
  <si>
    <t>Reading</t>
  </si>
  <si>
    <t>Middle East (10 studies: Malaysia, Palestine, Kuwait, Qatar, Saudi Arabia, Egypt, Bahrain, Oman, Yemen, Vietnam); Meta-analysis: pooled RII ('effect summary', random model) of 35 factors</t>
  </si>
  <si>
    <t>Brazil (Brasilia); Private building companies; directors, managers, engineers</t>
  </si>
  <si>
    <t>Indonesia (East Java); Construction WORKERS' perspective</t>
  </si>
  <si>
    <t>M10: Adebowale &amp; Agumba 2023 (Middle East (10 studies: Malaysia, Palestine, Kuwait, Qatar, Saudi Arabia, Egypt, Bahrain, Oman, Yemen, Vietnam))</t>
  </si>
  <si>
    <t>Study RII (direct, averaged)</t>
  </si>
  <si>
    <t>Seed rank</t>
  </si>
  <si>
    <t>Study rank</t>
  </si>
  <si>
    <t>Rank difference</t>
  </si>
  <si>
    <t>Spearman rho (CORREL of the ranks)</t>
  </si>
  <si>
    <t>n (risks in common)</t>
  </si>
  <si>
    <t>t = rho x SQRT((n-2)/(1-rho^2))</t>
  </si>
  <si>
    <t>p-value, two-tailed (t-distribution, n-2 df)</t>
  </si>
  <si>
    <t>M15: de Almeida, Feitoza, Carvalho, Pina, Araujo et al. 2021 (Brazil (Brasilia))</t>
  </si>
  <si>
    <t>M14: Loekito, Dani, Zulfikar, Triarso &amp; Prasetyono 2026 (Indonesia (East Java))</t>
  </si>
  <si>
    <t>Held-out studies not tested (fewer than 4 risks in common, too few for a rank correlation):</t>
  </si>
  <si>
    <t>A10 (India): 2 risk(s) in common: R-MAT, R-WX</t>
  </si>
  <si>
    <t>A21 (Thailand): 1 risk(s) in common: R-LAB</t>
  </si>
  <si>
    <t>HAS25 (Iraq): 1 risk(s) in common: R-PLAN</t>
  </si>
  <si>
    <t>rho = +1: same order as the seed; 0: unrelated; -1: opposite order. The more risks two studies share, the smaller the rho needed for significance (about 0.7 to 0.8 with 7 to 9 risks, about 0.45 with 20).</t>
  </si>
  <si>
    <t>M10 pools 10 surveys (mostly managers and engineers); M15 asks managers; M14 asks site WORKERS. Who answers changes the ranking, so compare like with like.</t>
  </si>
  <si>
    <t>This tests the RANKING only. It cannot test probabilities or days of delay; that needs site records (see docs/Site_Data_Collection_Form.docx).</t>
  </si>
  <si>
    <t>Values found in the literature but NOT used (different index or group-level only)</t>
  </si>
  <si>
    <t>Source</t>
  </si>
  <si>
    <t>Index</t>
  </si>
  <si>
    <t>Values</t>
  </si>
  <si>
    <t>Why not used</t>
  </si>
  <si>
    <t>A11</t>
  </si>
  <si>
    <t>Soundarya et al. (2025), An investigation study on residential buildings for cost overrun, Scientific Reports, DOI 10.1038/s41598-025-95984-x (Chennai, India)</t>
  </si>
  <si>
    <t>Importance index II (frequency x severity), NOT RII</t>
  </si>
  <si>
    <t>Overall lag in schedule 0.71 (rank 1); rework/extra work 0.55 (2); inadequate skilled labour 0.53 (3); inadequate design/specification 0.52 (4); climatic variation 0.37 (11); hike in materials cost 0.29 (12)</t>
  </si>
  <si>
    <t>Different index; mixing it with RII would compare unlike scales.</t>
  </si>
  <si>
    <t>P1-23</t>
  </si>
  <si>
    <t>Karthik &amp; Rao (2019), Identifying the significant factors affecting masonry labour productivity in India, Int. J. Construction Management 22(3): 464-472, DOI 10.1080/15623599.2019.1631978</t>
  </si>
  <si>
    <t>RII, factor-group average only</t>
  </si>
  <si>
    <t>Workforce-related factors: average RII 0.784 (120 site personnel, 38 factors)</t>
  </si>
  <si>
    <t>Only a group average is available (abstract); item values not read.</t>
  </si>
  <si>
    <t>Bringing every study to one level: within-study z-scores</t>
  </si>
  <si>
    <t>z = (RII - mean RII of the study's factors) / SD of the study's factors. Mean 0 and SD 1 in every study, so scale and respondent differences drop out.</t>
  </si>
  <si>
    <t>Treatment (judgement)</t>
  </si>
  <si>
    <t>Factors (n)</t>
  </si>
  <si>
    <t>Mean RII</t>
  </si>
  <si>
    <t>SD</t>
  </si>
  <si>
    <t>Why</t>
  </si>
  <si>
    <t>Truncated</t>
  </si>
  <si>
    <t>paper lists only the 28 factors with RII &gt; 0.7 (of 38): the lowest are cut off, so its z-scores are distorted; used only in Analysis B</t>
  </si>
  <si>
    <t>Partial</t>
  </si>
  <si>
    <t>only some factors recorded (top-ranked or selected): z-scores would be biased, so not standardised</t>
  </si>
  <si>
    <t>Complete</t>
  </si>
  <si>
    <t>all 40 factors printed</t>
  </si>
  <si>
    <t>33 of 35 pooled factors captured</t>
  </si>
  <si>
    <t>all 24 factors printed</t>
  </si>
  <si>
    <t>all 23 factors printed</t>
  </si>
  <si>
    <t>Risk score = mean z of the study's DIRECT factors for the risk. Analysis A = the four complete studies; Analysis B adds M01.</t>
  </si>
  <si>
    <t>Name</t>
  </si>
  <si>
    <t>Studies (A)</t>
  </si>
  <si>
    <t>Pooled z (A)</t>
  </si>
  <si>
    <t>Rank (A)</t>
  </si>
  <si>
    <t>Studies (B)</t>
  </si>
  <si>
    <t>Pooled z (B)</t>
  </si>
  <si>
    <t>Rank (B)</t>
  </si>
  <si>
    <t>1. Different rating scales give different RII levels (1-4 studies average about 0.59, 1-5 studies about 0.72 to 0.75). Standardising removes that, so values from different studies can be averaged.</t>
  </si>
  <si>
    <t>2. Rank agreement WITHIN pairs of studies does not change under standardisation (z keeps the order inside a study); what changes is the pooled value and its uncertainty.</t>
  </si>
  <si>
    <t>3. Treatment (yellow) is a judgement: only studies whose full factor list is available can be standardised honestly. Change it and the sheet recalculates.</t>
  </si>
  <si>
    <t>4. Compare Pooled z (A) and (B) with the seed order on Seed_Calculation. They disagree: see docs/Statistical_Analysis_Standardised.docx for the tests (scripts/stats_standardised.py).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</si>
</sst>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6B6B62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  <font>
      <sz val="10"/>
      <color rgb="FF6B6B62"/>
      <name val="Arial"/>
    </font>
    <font>
      <b/>
      <sz val="10"/>
      <color rgb="FF000000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B2B26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FFC8C8BE"/>
      </left>
      <right style="thin">
        <color rgb="FFC8C8BE"/>
      </right>
      <top style="thin">
        <color rgb="FFC8C8BE"/>
      </top>
      <bottom style="thin">
        <color rgb="FFC8C8B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9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2" fontId="5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/>
    </xf>
    <xf numFmtId="165" fontId="8" fillId="0" borderId="1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0" fontId="8" fillId="0" borderId="0" xfId="0" applyFont="1"/>
    <xf numFmtId="0" fontId="7" fillId="0" borderId="0" xfId="0" applyFont="1"/>
    <xf numFmtId="1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vertical="top"/>
    </xf>
  </cellXfs>
  <cellStyles count="1">
    <cellStyle name="Normal" xfId="0" builtinId="0"/>
  </cellStyles>
  <dxfs count="1">
    <dxf>
      <font>
        <b/>
        <color rgb="FF1E5E1E"/>
        <name val="Arial"/>
      </font>
      <fill>
        <patternFill patternType="solid">
          <fgColor rgb="FFCDEF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Seed mean RII by risk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Seed_Calculation!$I$4</c:f>
              <c:strCache>
                <c:ptCount val="1"/>
                <c:pt idx="0">
                  <c:v>Seed mean RII</c:v>
                </c:pt>
              </c:strCache>
            </c:strRef>
          </c:tx>
          <c:spPr>
            <a:solidFill>
              <a:srgbClr val="4A4A42"/>
            </a:solidFill>
            <a:ln>
              <a:solidFill>
                <a:srgbClr val="4A4A42"/>
              </a:solidFill>
              <a:prstDash val="solid"/>
            </a:ln>
          </c:spPr>
          <c:invertIfNegative val="1"/>
          <c:cat>
            <c:strRef>
              <c:f>Seed_Calculation!$A$5:$A$42</c:f>
              <c:strCache>
                <c:ptCount val="38"/>
                <c:pt idx="0">
                  <c:v>R-MAT</c:v>
                </c:pt>
                <c:pt idx="1">
                  <c:v>R-TOOL</c:v>
                </c:pt>
                <c:pt idx="2">
                  <c:v>R-LAB</c:v>
                </c:pt>
                <c:pt idx="3">
                  <c:v>R-SKILL</c:v>
                </c:pt>
                <c:pt idx="4">
                  <c:v>R-PLAN</c:v>
                </c:pt>
                <c:pt idx="5">
                  <c:v>R-SAFE</c:v>
                </c:pt>
                <c:pt idx="6">
                  <c:v>R-WX</c:v>
                </c:pt>
                <c:pt idx="7">
                  <c:v>R-RWK</c:v>
                </c:pt>
                <c:pt idx="8">
                  <c:v>R-PAY</c:v>
                </c:pt>
                <c:pt idx="9">
                  <c:v>R-DES</c:v>
                </c:pt>
                <c:pt idx="10">
                  <c:v>R-SUP</c:v>
                </c:pt>
                <c:pt idx="11">
                  <c:v>R-MOT</c:v>
                </c:pt>
                <c:pt idx="12">
                  <c:v>R-INC</c:v>
                </c:pt>
                <c:pt idx="13">
                  <c:v>R-OVT</c:v>
                </c:pt>
                <c:pt idx="14">
                  <c:v>R-FAT</c:v>
                </c:pt>
                <c:pt idx="15">
                  <c:v>R-COM</c:v>
                </c:pt>
                <c:pt idx="16">
                  <c:v>R-DIS</c:v>
                </c:pt>
                <c:pt idx="17">
                  <c:v>R-TRN</c:v>
                </c:pt>
                <c:pt idx="18">
                  <c:v>R-PRD</c:v>
                </c:pt>
                <c:pt idx="19">
                  <c:v>R-STR</c:v>
                </c:pt>
                <c:pt idx="20">
                  <c:v>R-ACC</c:v>
                </c:pt>
                <c:pt idx="21">
                  <c:v>R-MGT</c:v>
                </c:pt>
                <c:pt idx="22">
                  <c:v>R-SUB</c:v>
                </c:pt>
                <c:pt idx="23">
                  <c:v>R-CTR</c:v>
                </c:pt>
                <c:pt idx="24">
                  <c:v>R-SCP</c:v>
                </c:pt>
                <c:pt idx="25">
                  <c:v>R-CLI</c:v>
                </c:pt>
                <c:pt idx="26">
                  <c:v>R-CST</c:v>
                </c:pt>
                <c:pt idx="27">
                  <c:v>R-QLT</c:v>
                </c:pt>
                <c:pt idx="28">
                  <c:v>R-DEF</c:v>
                </c:pt>
                <c:pt idx="29">
                  <c:v>R-SITE</c:v>
                </c:pt>
                <c:pt idx="30">
                  <c:v>R-STO</c:v>
                </c:pt>
                <c:pt idx="31">
                  <c:v>R-PRC</c:v>
                </c:pt>
                <c:pt idx="32">
                  <c:v>R-WAT</c:v>
                </c:pt>
                <c:pt idx="33">
                  <c:v>R-MTH</c:v>
                </c:pt>
                <c:pt idx="34">
                  <c:v>R-ECO</c:v>
                </c:pt>
                <c:pt idx="35">
                  <c:v>R-GOV</c:v>
                </c:pt>
                <c:pt idx="36">
                  <c:v>R-SOC</c:v>
                </c:pt>
                <c:pt idx="37">
                  <c:v>R-FIN</c:v>
                </c:pt>
              </c:strCache>
            </c:strRef>
          </c:cat>
          <c:val>
            <c:numRef>
              <c:f>Seed_Calculation!$I$5:$I$42</c:f>
              <c:numCache>
                <c:formatCode>0.0000</c:formatCode>
                <c:ptCount val="38"/>
                <c:pt idx="0">
                  <c:v>0.78893333333333338</c:v>
                </c:pt>
                <c:pt idx="1">
                  <c:v>0.75275000000000003</c:v>
                </c:pt>
                <c:pt idx="2">
                  <c:v>0.76616666666666655</c:v>
                </c:pt>
                <c:pt idx="3">
                  <c:v>0.7831111111111112</c:v>
                </c:pt>
                <c:pt idx="4">
                  <c:v>0.777092</c:v>
                </c:pt>
                <c:pt idx="5">
                  <c:v>0.78649999999999998</c:v>
                </c:pt>
                <c:pt idx="6">
                  <c:v>0.69337899999999997</c:v>
                </c:pt>
                <c:pt idx="7">
                  <c:v>0.7560595</c:v>
                </c:pt>
                <c:pt idx="8">
                  <c:v>0.77331466666666671</c:v>
                </c:pt>
                <c:pt idx="9">
                  <c:v>0.75853749999999998</c:v>
                </c:pt>
                <c:pt idx="10">
                  <c:v>0.74400000000000011</c:v>
                </c:pt>
                <c:pt idx="11">
                  <c:v>0.73599999999999999</c:v>
                </c:pt>
                <c:pt idx="12">
                  <c:v>0.752</c:v>
                </c:pt>
                <c:pt idx="13">
                  <c:v>0.70628099999999994</c:v>
                </c:pt>
                <c:pt idx="14">
                  <c:v>0.61</c:v>
                </c:pt>
                <c:pt idx="15">
                  <c:v>0.67930350000000006</c:v>
                </c:pt>
                <c:pt idx="16">
                  <c:v>0.77</c:v>
                </c:pt>
                <c:pt idx="17">
                  <c:v>0</c:v>
                </c:pt>
                <c:pt idx="18">
                  <c:v>0</c:v>
                </c:pt>
                <c:pt idx="19">
                  <c:v>0.74925399999999998</c:v>
                </c:pt>
                <c:pt idx="20">
                  <c:v>0.70450000000000002</c:v>
                </c:pt>
                <c:pt idx="21">
                  <c:v>0.73310699999999995</c:v>
                </c:pt>
                <c:pt idx="22">
                  <c:v>0</c:v>
                </c:pt>
                <c:pt idx="23">
                  <c:v>0.74676600000000004</c:v>
                </c:pt>
                <c:pt idx="24">
                  <c:v>0.76417899999999994</c:v>
                </c:pt>
                <c:pt idx="25">
                  <c:v>0</c:v>
                </c:pt>
                <c:pt idx="26">
                  <c:v>0.71840799999999994</c:v>
                </c:pt>
                <c:pt idx="27">
                  <c:v>0</c:v>
                </c:pt>
                <c:pt idx="28">
                  <c:v>0</c:v>
                </c:pt>
                <c:pt idx="29">
                  <c:v>0.76107199999999997</c:v>
                </c:pt>
                <c:pt idx="30">
                  <c:v>0.7</c:v>
                </c:pt>
                <c:pt idx="31">
                  <c:v>0.66949999999999998</c:v>
                </c:pt>
                <c:pt idx="32">
                  <c:v>0.65</c:v>
                </c:pt>
                <c:pt idx="33">
                  <c:v>0.7</c:v>
                </c:pt>
                <c:pt idx="34">
                  <c:v>0.66119400000000006</c:v>
                </c:pt>
                <c:pt idx="35">
                  <c:v>0</c:v>
                </c:pt>
                <c:pt idx="36">
                  <c:v>0.59402999999999995</c:v>
                </c:pt>
                <c:pt idx="3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A4A4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9F-4FC1-A105-D790DCFAE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85"/>
          <c:min val="0.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Mean RII (0-1)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576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abSelected="1" workbookViewId="0"/>
  </sheetViews>
  <sheetFormatPr defaultRowHeight="14.5" x14ac:dyDescent="0.35"/>
  <cols>
    <col min="1" max="1" width="4" customWidth="1"/>
    <col min="2" max="2" width="120" customWidth="1"/>
  </cols>
  <sheetData>
    <row r="1" spans="1:2" ht="18" x14ac:dyDescent="0.4">
      <c r="A1" s="1" t="s">
        <v>0</v>
      </c>
    </row>
    <row r="4" spans="1:2" x14ac:dyDescent="0.35">
      <c r="A4" s="2" t="s">
        <v>1</v>
      </c>
    </row>
    <row r="5" spans="1:2" ht="25" x14ac:dyDescent="0.35">
      <c r="B5" s="3" t="s">
        <v>2</v>
      </c>
    </row>
    <row r="6" spans="1:2" x14ac:dyDescent="0.35">
      <c r="B6" s="3" t="s">
        <v>3</v>
      </c>
    </row>
    <row r="8" spans="1:2" x14ac:dyDescent="0.35">
      <c r="A8" s="2" t="s">
        <v>4</v>
      </c>
    </row>
    <row r="9" spans="1:2" ht="25" x14ac:dyDescent="0.35">
      <c r="B9" s="3" t="s">
        <v>5</v>
      </c>
    </row>
    <row r="10" spans="1:2" ht="25" x14ac:dyDescent="0.35">
      <c r="B10" s="3" t="s">
        <v>6</v>
      </c>
    </row>
    <row r="11" spans="1:2" ht="25" x14ac:dyDescent="0.35">
      <c r="B11" s="3" t="s">
        <v>7</v>
      </c>
    </row>
    <row r="13" spans="1:2" x14ac:dyDescent="0.35">
      <c r="A13" s="2" t="s">
        <v>8</v>
      </c>
    </row>
    <row r="14" spans="1:2" ht="37.5" x14ac:dyDescent="0.35">
      <c r="B14" s="3" t="s">
        <v>9</v>
      </c>
    </row>
    <row r="15" spans="1:2" x14ac:dyDescent="0.35">
      <c r="B15" s="3" t="s">
        <v>10</v>
      </c>
    </row>
    <row r="16" spans="1:2" x14ac:dyDescent="0.35">
      <c r="B16" s="3" t="s">
        <v>11</v>
      </c>
    </row>
    <row r="17" spans="1:2" ht="25" x14ac:dyDescent="0.35">
      <c r="B17" s="3" t="s">
        <v>12</v>
      </c>
    </row>
    <row r="18" spans="1:2" ht="25" x14ac:dyDescent="0.35">
      <c r="B18" s="3" t="s">
        <v>13</v>
      </c>
    </row>
    <row r="19" spans="1:2" x14ac:dyDescent="0.35">
      <c r="B19" s="3" t="s">
        <v>14</v>
      </c>
    </row>
    <row r="20" spans="1:2" x14ac:dyDescent="0.35">
      <c r="B20" s="3" t="s">
        <v>15</v>
      </c>
    </row>
    <row r="22" spans="1:2" x14ac:dyDescent="0.35">
      <c r="A22" s="2" t="s">
        <v>16</v>
      </c>
    </row>
    <row r="23" spans="1:2" x14ac:dyDescent="0.35">
      <c r="B23" s="4" t="str">
        <f>"Study values: M01 "&amp;TEXT(Seed_Calculation!C11,"0.000")&amp;", A02 "&amp;TEXT(Seed_Calculation!D11,"0.000")&amp;", M06 "&amp;TEXT(Seed_Calculation!E11,"0.000")&amp;", A14 "&amp;TEXT(Seed_Calculation!F11,"0.000")</f>
        <v>Study values: M01 0.764, A02 0.700, M06 0.657, A14 0.653</v>
      </c>
    </row>
    <row r="24" spans="1:2" x14ac:dyDescent="0.35">
      <c r="B24" s="4" t="str">
        <f>"Seed mean RII = "&amp;TEXT(Seed_Calculation!I11,"0.0000")&amp;" -&gt; rank "&amp;Seed_Calculation!J11&amp;" of "&amp;Seed_Calculation!C44&amp;" -&gt; class "&amp;Seed_Calculation!K11&amp;" -&gt; matrix cell "&amp;Seed_Calculation!L11</f>
        <v>Seed mean RII = 0.6934 -&gt; rank 24 of 30 -&gt; class 2 -&gt; matrix cell p2 × i2</v>
      </c>
    </row>
    <row r="26" spans="1:2" x14ac:dyDescent="0.35">
      <c r="A26" s="2" t="s">
        <v>17</v>
      </c>
    </row>
    <row r="27" spans="1:2" ht="25" x14ac:dyDescent="0.35">
      <c r="B27" s="3" t="s">
        <v>18</v>
      </c>
    </row>
    <row r="29" spans="1:2" x14ac:dyDescent="0.35">
      <c r="A29" s="2" t="s">
        <v>19</v>
      </c>
    </row>
    <row r="30" spans="1:2" ht="25" x14ac:dyDescent="0.35">
      <c r="B30" s="3" t="s">
        <v>20</v>
      </c>
    </row>
    <row r="31" spans="1:2" ht="25" x14ac:dyDescent="0.35">
      <c r="B31" s="3" t="s">
        <v>21</v>
      </c>
    </row>
    <row r="33" spans="1:2" x14ac:dyDescent="0.35">
      <c r="A33" s="2" t="s">
        <v>22</v>
      </c>
    </row>
    <row r="34" spans="1:2" ht="25" x14ac:dyDescent="0.35">
      <c r="B34" s="3" t="s">
        <v>23</v>
      </c>
    </row>
    <row r="35" spans="1:2" ht="25" x14ac:dyDescent="0.35">
      <c r="B35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26" customWidth="1"/>
    <col min="3" max="3" width="6" customWidth="1"/>
    <col min="4" max="4" width="48" customWidth="1"/>
    <col min="5" max="6" width="30" customWidth="1"/>
    <col min="7" max="7" width="22" customWidth="1"/>
    <col min="8" max="8" width="34" customWidth="1"/>
    <col min="9" max="9" width="10" customWidth="1"/>
    <col min="10" max="10" width="12" customWidth="1"/>
    <col min="11" max="11" width="10" customWidth="1"/>
    <col min="12" max="12" width="18" customWidth="1"/>
    <col min="13" max="13" width="38" customWidth="1"/>
    <col min="14" max="14" width="11" customWidth="1"/>
    <col min="15" max="15" width="48" customWidth="1"/>
  </cols>
  <sheetData>
    <row r="1" spans="1:15" ht="18" x14ac:dyDescent="0.4">
      <c r="A1" s="1" t="s">
        <v>25</v>
      </c>
    </row>
    <row r="2" spans="1:15" x14ac:dyDescent="0.35">
      <c r="A2" s="5" t="s">
        <v>26</v>
      </c>
    </row>
    <row r="4" spans="1:15" ht="26" x14ac:dyDescent="0.35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</row>
    <row r="5" spans="1:15" ht="37.5" x14ac:dyDescent="0.35">
      <c r="A5" s="7" t="s">
        <v>42</v>
      </c>
      <c r="B5" s="8" t="s">
        <v>43</v>
      </c>
      <c r="C5" s="7">
        <v>2019</v>
      </c>
      <c r="D5" s="8" t="s">
        <v>44</v>
      </c>
      <c r="E5" s="8" t="s">
        <v>45</v>
      </c>
      <c r="F5" s="7" t="s">
        <v>46</v>
      </c>
      <c r="G5" s="8" t="s">
        <v>47</v>
      </c>
      <c r="H5" s="8" t="s">
        <v>48</v>
      </c>
      <c r="I5" s="7" t="s">
        <v>49</v>
      </c>
      <c r="J5" s="7" t="s">
        <v>50</v>
      </c>
      <c r="K5" s="7" t="s">
        <v>51</v>
      </c>
      <c r="L5" s="7" t="s">
        <v>52</v>
      </c>
      <c r="M5" s="8" t="s">
        <v>53</v>
      </c>
      <c r="N5" s="9" t="s">
        <v>54</v>
      </c>
      <c r="O5" s="8" t="s">
        <v>55</v>
      </c>
    </row>
    <row r="6" spans="1:15" ht="25" x14ac:dyDescent="0.35">
      <c r="A6" s="7" t="s">
        <v>56</v>
      </c>
      <c r="B6" s="8" t="s">
        <v>57</v>
      </c>
      <c r="C6" s="7">
        <v>2018</v>
      </c>
      <c r="D6" s="8" t="s">
        <v>58</v>
      </c>
      <c r="E6" s="8" t="s">
        <v>59</v>
      </c>
      <c r="F6" s="7" t="s">
        <v>60</v>
      </c>
      <c r="G6" s="8" t="s">
        <v>61</v>
      </c>
      <c r="H6" s="8" t="s">
        <v>62</v>
      </c>
      <c r="I6" s="7" t="s">
        <v>49</v>
      </c>
      <c r="J6" s="7" t="s">
        <v>63</v>
      </c>
      <c r="K6" s="7" t="s">
        <v>64</v>
      </c>
      <c r="L6" s="7" t="s">
        <v>65</v>
      </c>
      <c r="M6" s="8" t="s">
        <v>66</v>
      </c>
      <c r="N6" s="9" t="s">
        <v>54</v>
      </c>
      <c r="O6" s="8" t="s">
        <v>67</v>
      </c>
    </row>
    <row r="7" spans="1:15" ht="37.5" x14ac:dyDescent="0.35">
      <c r="A7" s="7" t="s">
        <v>68</v>
      </c>
      <c r="B7" s="8" t="s">
        <v>69</v>
      </c>
      <c r="C7" s="7">
        <v>2019</v>
      </c>
      <c r="D7" s="8" t="s">
        <v>70</v>
      </c>
      <c r="E7" s="8" t="s">
        <v>71</v>
      </c>
      <c r="F7" s="7" t="s">
        <v>72</v>
      </c>
      <c r="G7" s="8" t="s">
        <v>73</v>
      </c>
      <c r="H7" s="8" t="s">
        <v>74</v>
      </c>
      <c r="I7" s="7" t="s">
        <v>75</v>
      </c>
      <c r="J7" s="7" t="s">
        <v>76</v>
      </c>
      <c r="K7" s="7" t="s">
        <v>51</v>
      </c>
      <c r="L7" s="7" t="s">
        <v>77</v>
      </c>
      <c r="M7" s="8" t="s">
        <v>53</v>
      </c>
      <c r="N7" s="9" t="s">
        <v>54</v>
      </c>
      <c r="O7" s="8" t="s">
        <v>78</v>
      </c>
    </row>
    <row r="8" spans="1:15" ht="25" x14ac:dyDescent="0.35">
      <c r="A8" s="7" t="s">
        <v>79</v>
      </c>
      <c r="B8" s="8" t="s">
        <v>80</v>
      </c>
      <c r="C8" s="7">
        <v>2022</v>
      </c>
      <c r="D8" s="8" t="s">
        <v>81</v>
      </c>
      <c r="E8" s="8" t="s">
        <v>82</v>
      </c>
      <c r="F8" s="7" t="s">
        <v>83</v>
      </c>
      <c r="G8" s="8" t="s">
        <v>84</v>
      </c>
      <c r="H8" s="8" t="s">
        <v>85</v>
      </c>
      <c r="I8" s="7" t="s">
        <v>75</v>
      </c>
      <c r="J8" s="7" t="s">
        <v>86</v>
      </c>
      <c r="K8" s="7" t="s">
        <v>87</v>
      </c>
      <c r="L8" s="7" t="s">
        <v>88</v>
      </c>
      <c r="M8" s="8" t="s">
        <v>89</v>
      </c>
      <c r="N8" s="9" t="s">
        <v>54</v>
      </c>
      <c r="O8" s="8" t="s">
        <v>90</v>
      </c>
    </row>
    <row r="9" spans="1:15" ht="37.5" x14ac:dyDescent="0.35">
      <c r="A9" s="7" t="s">
        <v>91</v>
      </c>
      <c r="B9" s="8" t="s">
        <v>92</v>
      </c>
      <c r="C9" s="7">
        <v>2022</v>
      </c>
      <c r="D9" s="8" t="s">
        <v>93</v>
      </c>
      <c r="E9" s="8" t="s">
        <v>94</v>
      </c>
      <c r="F9" s="7" t="s">
        <v>95</v>
      </c>
      <c r="G9" s="8" t="s">
        <v>84</v>
      </c>
      <c r="H9" s="8" t="s">
        <v>96</v>
      </c>
      <c r="I9" s="7" t="s">
        <v>75</v>
      </c>
      <c r="J9" s="7" t="s">
        <v>97</v>
      </c>
      <c r="K9" s="7" t="s">
        <v>87</v>
      </c>
      <c r="L9" s="7" t="s">
        <v>98</v>
      </c>
      <c r="M9" s="8" t="s">
        <v>99</v>
      </c>
      <c r="N9" s="9" t="s">
        <v>54</v>
      </c>
      <c r="O9" s="8" t="s">
        <v>100</v>
      </c>
    </row>
    <row r="10" spans="1:15" ht="62.5" x14ac:dyDescent="0.35">
      <c r="A10" s="7" t="s">
        <v>101</v>
      </c>
      <c r="B10" s="8" t="s">
        <v>102</v>
      </c>
      <c r="C10" s="7">
        <v>2023</v>
      </c>
      <c r="D10" s="8" t="s">
        <v>103</v>
      </c>
      <c r="E10" s="8" t="s">
        <v>104</v>
      </c>
      <c r="F10" s="7" t="s">
        <v>105</v>
      </c>
      <c r="G10" s="8" t="s">
        <v>106</v>
      </c>
      <c r="H10" s="8" t="s">
        <v>107</v>
      </c>
      <c r="I10" s="7" t="s">
        <v>75</v>
      </c>
      <c r="J10" s="7" t="s">
        <v>108</v>
      </c>
      <c r="K10" s="7" t="s">
        <v>109</v>
      </c>
      <c r="L10" s="7" t="s">
        <v>110</v>
      </c>
      <c r="M10" s="8" t="s">
        <v>53</v>
      </c>
      <c r="N10" s="9" t="s">
        <v>111</v>
      </c>
      <c r="O10" s="8" t="s">
        <v>112</v>
      </c>
    </row>
    <row r="11" spans="1:15" ht="37.5" x14ac:dyDescent="0.35">
      <c r="A11" s="7" t="s">
        <v>113</v>
      </c>
      <c r="B11" s="8" t="s">
        <v>114</v>
      </c>
      <c r="C11" s="7">
        <v>2021</v>
      </c>
      <c r="D11" s="8" t="s">
        <v>115</v>
      </c>
      <c r="E11" s="8" t="s">
        <v>116</v>
      </c>
      <c r="F11" s="7" t="s">
        <v>117</v>
      </c>
      <c r="G11" s="8" t="s">
        <v>118</v>
      </c>
      <c r="H11" s="8" t="s">
        <v>119</v>
      </c>
      <c r="I11" s="7" t="s">
        <v>75</v>
      </c>
      <c r="J11" s="7" t="s">
        <v>120</v>
      </c>
      <c r="K11" s="7" t="s">
        <v>64</v>
      </c>
      <c r="L11" s="7" t="s">
        <v>121</v>
      </c>
      <c r="M11" s="8" t="s">
        <v>53</v>
      </c>
      <c r="N11" s="9" t="s">
        <v>111</v>
      </c>
      <c r="O11" s="8" t="s">
        <v>122</v>
      </c>
    </row>
    <row r="12" spans="1:15" ht="37.5" x14ac:dyDescent="0.35">
      <c r="A12" s="7" t="s">
        <v>123</v>
      </c>
      <c r="B12" s="8" t="s">
        <v>124</v>
      </c>
      <c r="C12" s="7">
        <v>2026</v>
      </c>
      <c r="D12" s="8" t="s">
        <v>125</v>
      </c>
      <c r="E12" s="8" t="s">
        <v>126</v>
      </c>
      <c r="F12" s="7" t="s">
        <v>127</v>
      </c>
      <c r="G12" s="8" t="s">
        <v>128</v>
      </c>
      <c r="H12" s="8" t="s">
        <v>129</v>
      </c>
      <c r="I12" s="7" t="s">
        <v>75</v>
      </c>
      <c r="J12" s="7" t="s">
        <v>130</v>
      </c>
      <c r="K12" s="7" t="s">
        <v>64</v>
      </c>
      <c r="L12" s="7" t="s">
        <v>131</v>
      </c>
      <c r="M12" s="8" t="s">
        <v>53</v>
      </c>
      <c r="N12" s="9" t="s">
        <v>111</v>
      </c>
      <c r="O12" s="8" t="s">
        <v>132</v>
      </c>
    </row>
    <row r="13" spans="1:15" ht="37.5" x14ac:dyDescent="0.35">
      <c r="A13" s="7" t="s">
        <v>133</v>
      </c>
      <c r="B13" s="8" t="s">
        <v>134</v>
      </c>
      <c r="C13" s="7">
        <v>2025</v>
      </c>
      <c r="D13" s="8" t="s">
        <v>135</v>
      </c>
      <c r="E13" s="8" t="s">
        <v>136</v>
      </c>
      <c r="F13" s="7" t="s">
        <v>137</v>
      </c>
      <c r="G13" s="8" t="s">
        <v>73</v>
      </c>
      <c r="H13" s="8" t="s">
        <v>138</v>
      </c>
      <c r="I13" s="7" t="s">
        <v>75</v>
      </c>
      <c r="J13" s="7" t="s">
        <v>139</v>
      </c>
      <c r="K13" s="7" t="s">
        <v>87</v>
      </c>
      <c r="L13" s="7" t="s">
        <v>140</v>
      </c>
      <c r="M13" s="8" t="s">
        <v>141</v>
      </c>
      <c r="N13" s="9" t="s">
        <v>111</v>
      </c>
      <c r="O13" s="8" t="s">
        <v>142</v>
      </c>
    </row>
    <row r="14" spans="1:15" ht="37.5" x14ac:dyDescent="0.35">
      <c r="A14" s="7" t="s">
        <v>143</v>
      </c>
      <c r="B14" s="8" t="s">
        <v>144</v>
      </c>
      <c r="C14" s="7">
        <v>2024</v>
      </c>
      <c r="D14" s="8" t="s">
        <v>145</v>
      </c>
      <c r="E14" s="8" t="s">
        <v>146</v>
      </c>
      <c r="F14" s="7" t="s">
        <v>147</v>
      </c>
      <c r="G14" s="8" t="s">
        <v>148</v>
      </c>
      <c r="H14" s="8" t="s">
        <v>149</v>
      </c>
      <c r="I14" s="7" t="s">
        <v>75</v>
      </c>
      <c r="J14" s="7" t="s">
        <v>150</v>
      </c>
      <c r="K14" s="7" t="s">
        <v>87</v>
      </c>
      <c r="L14" s="7" t="s">
        <v>151</v>
      </c>
      <c r="M14" s="8" t="s">
        <v>152</v>
      </c>
      <c r="N14" s="9" t="s">
        <v>111</v>
      </c>
      <c r="O14" s="8" t="s">
        <v>153</v>
      </c>
    </row>
    <row r="15" spans="1:15" ht="37.5" x14ac:dyDescent="0.35">
      <c r="A15" s="7" t="s">
        <v>154</v>
      </c>
      <c r="B15" s="8" t="s">
        <v>155</v>
      </c>
      <c r="C15" s="7">
        <v>2025</v>
      </c>
      <c r="D15" s="8" t="s">
        <v>156</v>
      </c>
      <c r="E15" s="8" t="s">
        <v>157</v>
      </c>
      <c r="F15" s="7" t="s">
        <v>158</v>
      </c>
      <c r="G15" s="8" t="s">
        <v>159</v>
      </c>
      <c r="H15" s="8" t="s">
        <v>160</v>
      </c>
      <c r="I15" s="7" t="s">
        <v>49</v>
      </c>
      <c r="J15" s="7" t="s">
        <v>87</v>
      </c>
      <c r="K15" s="7" t="s">
        <v>87</v>
      </c>
      <c r="L15" s="7" t="s">
        <v>161</v>
      </c>
      <c r="M15" s="8" t="s">
        <v>162</v>
      </c>
      <c r="N15" s="9" t="s">
        <v>111</v>
      </c>
      <c r="O15" s="8" t="s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6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2" width="24" customWidth="1"/>
    <col min="3" max="3" width="11" customWidth="1"/>
    <col min="4" max="4" width="52" customWidth="1"/>
    <col min="5" max="5" width="10" customWidth="1"/>
    <col min="6" max="6" width="9" customWidth="1"/>
    <col min="7" max="8" width="10" customWidth="1"/>
    <col min="9" max="9" width="11" customWidth="1"/>
    <col min="10" max="10" width="52" customWidth="1"/>
    <col min="11" max="11" width="12" customWidth="1"/>
  </cols>
  <sheetData>
    <row r="1" spans="1:11" ht="18" x14ac:dyDescent="0.4">
      <c r="A1" s="1" t="s">
        <v>164</v>
      </c>
    </row>
    <row r="2" spans="1:11" x14ac:dyDescent="0.35">
      <c r="A2" s="5" t="s">
        <v>165</v>
      </c>
    </row>
    <row r="4" spans="1:11" ht="26" x14ac:dyDescent="0.35">
      <c r="A4" s="6" t="s">
        <v>166</v>
      </c>
      <c r="B4" s="6" t="s">
        <v>33</v>
      </c>
      <c r="C4" s="6" t="s">
        <v>40</v>
      </c>
      <c r="D4" s="6" t="s">
        <v>167</v>
      </c>
      <c r="E4" s="6" t="s">
        <v>168</v>
      </c>
      <c r="F4" s="6" t="s">
        <v>169</v>
      </c>
      <c r="G4" s="6" t="s">
        <v>170</v>
      </c>
      <c r="H4" s="6" t="s">
        <v>171</v>
      </c>
      <c r="I4" s="6" t="s">
        <v>172</v>
      </c>
      <c r="J4" s="6" t="s">
        <v>41</v>
      </c>
      <c r="K4" s="6" t="s">
        <v>173</v>
      </c>
    </row>
    <row r="5" spans="1:11" x14ac:dyDescent="0.35">
      <c r="A5" s="7" t="s">
        <v>42</v>
      </c>
      <c r="B5" s="10" t="str">
        <f>INDEX(Studies!$G$5:$G$15,MATCH(A5,Studies!$A$5:$A$15,0))</f>
        <v>India (Telangana)</v>
      </c>
      <c r="C5" s="10" t="str">
        <f>INDEX(Studies!$N$5:$N$15,MATCH(A5,Studies!$A$5:$A$15,0))</f>
        <v>Seed</v>
      </c>
      <c r="D5" s="8" t="s">
        <v>174</v>
      </c>
      <c r="E5" s="11">
        <v>0.80900000000000005</v>
      </c>
      <c r="F5" s="7">
        <v>1</v>
      </c>
      <c r="G5" s="7" t="s">
        <v>175</v>
      </c>
      <c r="H5" s="9" t="s">
        <v>176</v>
      </c>
      <c r="I5" s="12" t="str">
        <f t="shared" ref="I5:I36" si="0">IF(AND(C5="Seed",H5="Direct",G5&lt;&gt;""),"Yes","No")</f>
        <v>Yes</v>
      </c>
      <c r="J5" s="13"/>
      <c r="K5" s="14">
        <f>IF(OR(INDEX(Standardised!$B$5:$B$15,MATCH(A5,Standardised!$A$5:$A$15,0))="Complete",INDEX(Standardised!$B$5:$B$15,MATCH(A5,Standardised!$A$5:$A$15,0))="Truncated"),(E5-INDEX(Standardised!$D$5:$D$15,MATCH(A5,Standardised!$A$5:$A$15,0)))/INDEX(Standardised!$E$5:$E$15,MATCH(A5,Standardised!$A$5:$A$15,0)),"")</f>
        <v>2.2101465112102328</v>
      </c>
    </row>
    <row r="6" spans="1:11" x14ac:dyDescent="0.35">
      <c r="A6" s="7" t="s">
        <v>42</v>
      </c>
      <c r="B6" s="10" t="str">
        <f>INDEX(Studies!$G$5:$G$15,MATCH(A6,Studies!$A$5:$A$15,0))</f>
        <v>India (Telangana)</v>
      </c>
      <c r="C6" s="10" t="str">
        <f>INDEX(Studies!$N$5:$N$15,MATCH(A6,Studies!$A$5:$A$15,0))</f>
        <v>Seed</v>
      </c>
      <c r="D6" s="8" t="s">
        <v>177</v>
      </c>
      <c r="E6" s="11">
        <v>0.79100000000000004</v>
      </c>
      <c r="F6" s="7">
        <v>2</v>
      </c>
      <c r="G6" s="7" t="s">
        <v>178</v>
      </c>
      <c r="H6" s="9" t="s">
        <v>176</v>
      </c>
      <c r="I6" s="12" t="str">
        <f t="shared" si="0"/>
        <v>Yes</v>
      </c>
      <c r="J6" s="13"/>
      <c r="K6" s="14">
        <f>IF(OR(INDEX(Standardised!$B$5:$B$15,MATCH(A6,Standardised!$A$5:$A$15,0))="Complete",INDEX(Standardised!$B$5:$B$15,MATCH(A6,Standardised!$A$5:$A$15,0))="Truncated"),(E6-INDEX(Standardised!$D$5:$D$15,MATCH(A6,Standardised!$A$5:$A$15,0)))/INDEX(Standardised!$E$5:$E$15,MATCH(A6,Standardised!$A$5:$A$15,0)),"")</f>
        <v>1.5552882856664618</v>
      </c>
    </row>
    <row r="7" spans="1:11" x14ac:dyDescent="0.35">
      <c r="A7" s="7" t="s">
        <v>42</v>
      </c>
      <c r="B7" s="10" t="str">
        <f>INDEX(Studies!$G$5:$G$15,MATCH(A7,Studies!$A$5:$A$15,0))</f>
        <v>India (Telangana)</v>
      </c>
      <c r="C7" s="10" t="str">
        <f>INDEX(Studies!$N$5:$N$15,MATCH(A7,Studies!$A$5:$A$15,0))</f>
        <v>Seed</v>
      </c>
      <c r="D7" s="8" t="s">
        <v>179</v>
      </c>
      <c r="E7" s="11">
        <v>0.79100000000000004</v>
      </c>
      <c r="F7" s="7">
        <v>3</v>
      </c>
      <c r="G7" s="7" t="s">
        <v>178</v>
      </c>
      <c r="H7" s="9" t="s">
        <v>176</v>
      </c>
      <c r="I7" s="12" t="str">
        <f t="shared" si="0"/>
        <v>Yes</v>
      </c>
      <c r="J7" s="13"/>
      <c r="K7" s="14">
        <f>IF(OR(INDEX(Standardised!$B$5:$B$15,MATCH(A7,Standardised!$A$5:$A$15,0))="Complete",INDEX(Standardised!$B$5:$B$15,MATCH(A7,Standardised!$A$5:$A$15,0))="Truncated"),(E7-INDEX(Standardised!$D$5:$D$15,MATCH(A7,Standardised!$A$5:$A$15,0)))/INDEX(Standardised!$E$5:$E$15,MATCH(A7,Standardised!$A$5:$A$15,0)),"")</f>
        <v>1.5552882856664618</v>
      </c>
    </row>
    <row r="8" spans="1:11" x14ac:dyDescent="0.35">
      <c r="A8" s="7" t="s">
        <v>42</v>
      </c>
      <c r="B8" s="10" t="str">
        <f>INDEX(Studies!$G$5:$G$15,MATCH(A8,Studies!$A$5:$A$15,0))</f>
        <v>India (Telangana)</v>
      </c>
      <c r="C8" s="10" t="str">
        <f>INDEX(Studies!$N$5:$N$15,MATCH(A8,Studies!$A$5:$A$15,0))</f>
        <v>Seed</v>
      </c>
      <c r="D8" s="8" t="s">
        <v>180</v>
      </c>
      <c r="E8" s="11">
        <v>0.77700000000000002</v>
      </c>
      <c r="F8" s="7">
        <v>4</v>
      </c>
      <c r="G8" s="7" t="s">
        <v>181</v>
      </c>
      <c r="H8" s="9" t="s">
        <v>176</v>
      </c>
      <c r="I8" s="12" t="str">
        <f t="shared" si="0"/>
        <v>Yes</v>
      </c>
      <c r="J8" s="13"/>
      <c r="K8" s="14">
        <f>IF(OR(INDEX(Standardised!$B$5:$B$15,MATCH(A8,Standardised!$A$5:$A$15,0))="Complete",INDEX(Standardised!$B$5:$B$15,MATCH(A8,Standardised!$A$5:$A$15,0))="Truncated"),(E8-INDEX(Standardised!$D$5:$D$15,MATCH(A8,Standardised!$A$5:$A$15,0)))/INDEX(Standardised!$E$5:$E$15,MATCH(A8,Standardised!$A$5:$A$15,0)),"")</f>
        <v>1.0459541102435286</v>
      </c>
    </row>
    <row r="9" spans="1:11" x14ac:dyDescent="0.35">
      <c r="A9" s="7" t="s">
        <v>42</v>
      </c>
      <c r="B9" s="10" t="str">
        <f>INDEX(Studies!$G$5:$G$15,MATCH(A9,Studies!$A$5:$A$15,0))</f>
        <v>India (Telangana)</v>
      </c>
      <c r="C9" s="10" t="str">
        <f>INDEX(Studies!$N$5:$N$15,MATCH(A9,Studies!$A$5:$A$15,0))</f>
        <v>Seed</v>
      </c>
      <c r="D9" s="8" t="s">
        <v>182</v>
      </c>
      <c r="E9" s="11">
        <v>0.77700000000000002</v>
      </c>
      <c r="F9" s="7">
        <v>5</v>
      </c>
      <c r="G9" s="7" t="s">
        <v>183</v>
      </c>
      <c r="H9" s="9" t="s">
        <v>176</v>
      </c>
      <c r="I9" s="12" t="str">
        <f t="shared" si="0"/>
        <v>Yes</v>
      </c>
      <c r="J9" s="13"/>
      <c r="K9" s="14">
        <f>IF(OR(INDEX(Standardised!$B$5:$B$15,MATCH(A9,Standardised!$A$5:$A$15,0))="Complete",INDEX(Standardised!$B$5:$B$15,MATCH(A9,Standardised!$A$5:$A$15,0))="Truncated"),(E9-INDEX(Standardised!$D$5:$D$15,MATCH(A9,Standardised!$A$5:$A$15,0)))/INDEX(Standardised!$E$5:$E$15,MATCH(A9,Standardised!$A$5:$A$15,0)),"")</f>
        <v>1.0459541102435286</v>
      </c>
    </row>
    <row r="10" spans="1:11" x14ac:dyDescent="0.35">
      <c r="A10" s="7" t="s">
        <v>42</v>
      </c>
      <c r="B10" s="10" t="str">
        <f>INDEX(Studies!$G$5:$G$15,MATCH(A10,Studies!$A$5:$A$15,0))</f>
        <v>India (Telangana)</v>
      </c>
      <c r="C10" s="10" t="str">
        <f>INDEX(Studies!$N$5:$N$15,MATCH(A10,Studies!$A$5:$A$15,0))</f>
        <v>Seed</v>
      </c>
      <c r="D10" s="8" t="s">
        <v>184</v>
      </c>
      <c r="E10" s="11">
        <v>0.77300000000000002</v>
      </c>
      <c r="F10" s="7">
        <v>6</v>
      </c>
      <c r="G10" s="7" t="s">
        <v>185</v>
      </c>
      <c r="H10" s="9" t="s">
        <v>176</v>
      </c>
      <c r="I10" s="12" t="str">
        <f t="shared" si="0"/>
        <v>Yes</v>
      </c>
      <c r="J10" s="13"/>
      <c r="K10" s="14">
        <f>IF(OR(INDEX(Standardised!$B$5:$B$15,MATCH(A10,Standardised!$A$5:$A$15,0))="Complete",INDEX(Standardised!$B$5:$B$15,MATCH(A10,Standardised!$A$5:$A$15,0))="Truncated"),(E10-INDEX(Standardised!$D$5:$D$15,MATCH(A10,Standardised!$A$5:$A$15,0)))/INDEX(Standardised!$E$5:$E$15,MATCH(A10,Standardised!$A$5:$A$15,0)),"")</f>
        <v>0.90043006012269045</v>
      </c>
    </row>
    <row r="11" spans="1:11" x14ac:dyDescent="0.35">
      <c r="A11" s="7" t="s">
        <v>42</v>
      </c>
      <c r="B11" s="10" t="str">
        <f>INDEX(Studies!$G$5:$G$15,MATCH(A11,Studies!$A$5:$A$15,0))</f>
        <v>India (Telangana)</v>
      </c>
      <c r="C11" s="10" t="str">
        <f>INDEX(Studies!$N$5:$N$15,MATCH(A11,Studies!$A$5:$A$15,0))</f>
        <v>Seed</v>
      </c>
      <c r="D11" s="8" t="s">
        <v>186</v>
      </c>
      <c r="E11" s="11">
        <v>0.76400000000000001</v>
      </c>
      <c r="F11" s="7">
        <v>7</v>
      </c>
      <c r="G11" s="7" t="s">
        <v>175</v>
      </c>
      <c r="H11" s="9" t="s">
        <v>176</v>
      </c>
      <c r="I11" s="12" t="str">
        <f t="shared" si="0"/>
        <v>Yes</v>
      </c>
      <c r="J11" s="13"/>
      <c r="K11" s="14">
        <f>IF(OR(INDEX(Standardised!$B$5:$B$15,MATCH(A11,Standardised!$A$5:$A$15,0))="Complete",INDEX(Standardised!$B$5:$B$15,MATCH(A11,Standardised!$A$5:$A$15,0))="Truncated"),(E11-INDEX(Standardised!$D$5:$D$15,MATCH(A11,Standardised!$A$5:$A$15,0)))/INDEX(Standardised!$E$5:$E$15,MATCH(A11,Standardised!$A$5:$A$15,0)),"")</f>
        <v>0.57300094735080487</v>
      </c>
    </row>
    <row r="12" spans="1:11" x14ac:dyDescent="0.35">
      <c r="A12" s="7" t="s">
        <v>42</v>
      </c>
      <c r="B12" s="10" t="str">
        <f>INDEX(Studies!$G$5:$G$15,MATCH(A12,Studies!$A$5:$A$15,0))</f>
        <v>India (Telangana)</v>
      </c>
      <c r="C12" s="10" t="str">
        <f>INDEX(Studies!$N$5:$N$15,MATCH(A12,Studies!$A$5:$A$15,0))</f>
        <v>Seed</v>
      </c>
      <c r="D12" s="8" t="s">
        <v>187</v>
      </c>
      <c r="E12" s="11">
        <v>0.76400000000000001</v>
      </c>
      <c r="F12" s="7">
        <v>8</v>
      </c>
      <c r="G12" s="7" t="s">
        <v>188</v>
      </c>
      <c r="H12" s="9" t="s">
        <v>176</v>
      </c>
      <c r="I12" s="12" t="str">
        <f t="shared" si="0"/>
        <v>Yes</v>
      </c>
      <c r="J12" s="13"/>
      <c r="K12" s="14">
        <f>IF(OR(INDEX(Standardised!$B$5:$B$15,MATCH(A12,Standardised!$A$5:$A$15,0))="Complete",INDEX(Standardised!$B$5:$B$15,MATCH(A12,Standardised!$A$5:$A$15,0))="Truncated"),(E12-INDEX(Standardised!$D$5:$D$15,MATCH(A12,Standardised!$A$5:$A$15,0)))/INDEX(Standardised!$E$5:$E$15,MATCH(A12,Standardised!$A$5:$A$15,0)),"")</f>
        <v>0.57300094735080487</v>
      </c>
    </row>
    <row r="13" spans="1:11" x14ac:dyDescent="0.35">
      <c r="A13" s="7" t="s">
        <v>42</v>
      </c>
      <c r="B13" s="10" t="str">
        <f>INDEX(Studies!$G$5:$G$15,MATCH(A13,Studies!$A$5:$A$15,0))</f>
        <v>India (Telangana)</v>
      </c>
      <c r="C13" s="10" t="str">
        <f>INDEX(Studies!$N$5:$N$15,MATCH(A13,Studies!$A$5:$A$15,0))</f>
        <v>Seed</v>
      </c>
      <c r="D13" s="8" t="s">
        <v>189</v>
      </c>
      <c r="E13" s="11">
        <v>0.75900000000000001</v>
      </c>
      <c r="F13" s="7">
        <v>9</v>
      </c>
      <c r="G13" s="7" t="s">
        <v>190</v>
      </c>
      <c r="H13" s="9" t="s">
        <v>176</v>
      </c>
      <c r="I13" s="12" t="str">
        <f t="shared" si="0"/>
        <v>Yes</v>
      </c>
      <c r="J13" s="13"/>
      <c r="K13" s="14">
        <f>IF(OR(INDEX(Standardised!$B$5:$B$15,MATCH(A13,Standardised!$A$5:$A$15,0))="Complete",INDEX(Standardised!$B$5:$B$15,MATCH(A13,Standardised!$A$5:$A$15,0))="Truncated"),(E13-INDEX(Standardised!$D$5:$D$15,MATCH(A13,Standardised!$A$5:$A$15,0)))/INDEX(Standardised!$E$5:$E$15,MATCH(A13,Standardised!$A$5:$A$15,0)),"")</f>
        <v>0.39109588469975731</v>
      </c>
    </row>
    <row r="14" spans="1:11" x14ac:dyDescent="0.35">
      <c r="A14" s="7" t="s">
        <v>42</v>
      </c>
      <c r="B14" s="10" t="str">
        <f>INDEX(Studies!$G$5:$G$15,MATCH(A14,Studies!$A$5:$A$15,0))</f>
        <v>India (Telangana)</v>
      </c>
      <c r="C14" s="10" t="str">
        <f>INDEX(Studies!$N$5:$N$15,MATCH(A14,Studies!$A$5:$A$15,0))</f>
        <v>Seed</v>
      </c>
      <c r="D14" s="8" t="s">
        <v>191</v>
      </c>
      <c r="E14" s="11">
        <v>0.75900000000000001</v>
      </c>
      <c r="F14" s="7">
        <v>10</v>
      </c>
      <c r="G14" s="7" t="s">
        <v>192</v>
      </c>
      <c r="H14" s="9" t="s">
        <v>176</v>
      </c>
      <c r="I14" s="12" t="str">
        <f t="shared" si="0"/>
        <v>Yes</v>
      </c>
      <c r="J14" s="13"/>
      <c r="K14" s="14">
        <f>IF(OR(INDEX(Standardised!$B$5:$B$15,MATCH(A14,Standardised!$A$5:$A$15,0))="Complete",INDEX(Standardised!$B$5:$B$15,MATCH(A14,Standardised!$A$5:$A$15,0))="Truncated"),(E14-INDEX(Standardised!$D$5:$D$15,MATCH(A14,Standardised!$A$5:$A$15,0)))/INDEX(Standardised!$E$5:$E$15,MATCH(A14,Standardised!$A$5:$A$15,0)),"")</f>
        <v>0.39109588469975731</v>
      </c>
    </row>
    <row r="15" spans="1:11" x14ac:dyDescent="0.35">
      <c r="A15" s="7" t="s">
        <v>42</v>
      </c>
      <c r="B15" s="10" t="str">
        <f>INDEX(Studies!$G$5:$G$15,MATCH(A15,Studies!$A$5:$A$15,0))</f>
        <v>India (Telangana)</v>
      </c>
      <c r="C15" s="10" t="str">
        <f>INDEX(Studies!$N$5:$N$15,MATCH(A15,Studies!$A$5:$A$15,0))</f>
        <v>Seed</v>
      </c>
      <c r="D15" s="8" t="s">
        <v>193</v>
      </c>
      <c r="E15" s="11">
        <v>0.75900000000000001</v>
      </c>
      <c r="F15" s="7">
        <v>11</v>
      </c>
      <c r="G15" s="7" t="s">
        <v>192</v>
      </c>
      <c r="H15" s="9" t="s">
        <v>176</v>
      </c>
      <c r="I15" s="12" t="str">
        <f t="shared" si="0"/>
        <v>Yes</v>
      </c>
      <c r="J15" s="13"/>
      <c r="K15" s="14">
        <f>IF(OR(INDEX(Standardised!$B$5:$B$15,MATCH(A15,Standardised!$A$5:$A$15,0))="Complete",INDEX(Standardised!$B$5:$B$15,MATCH(A15,Standardised!$A$5:$A$15,0))="Truncated"),(E15-INDEX(Standardised!$D$5:$D$15,MATCH(A15,Standardised!$A$5:$A$15,0)))/INDEX(Standardised!$E$5:$E$15,MATCH(A15,Standardised!$A$5:$A$15,0)),"")</f>
        <v>0.39109588469975731</v>
      </c>
    </row>
    <row r="16" spans="1:11" x14ac:dyDescent="0.35">
      <c r="A16" s="7" t="s">
        <v>42</v>
      </c>
      <c r="B16" s="10" t="str">
        <f>INDEX(Studies!$G$5:$G$15,MATCH(A16,Studies!$A$5:$A$15,0))</f>
        <v>India (Telangana)</v>
      </c>
      <c r="C16" s="10" t="str">
        <f>INDEX(Studies!$N$5:$N$15,MATCH(A16,Studies!$A$5:$A$15,0))</f>
        <v>Seed</v>
      </c>
      <c r="D16" s="8" t="s">
        <v>194</v>
      </c>
      <c r="E16" s="11">
        <v>0.75900000000000001</v>
      </c>
      <c r="F16" s="7">
        <v>12</v>
      </c>
      <c r="G16" s="7" t="s">
        <v>195</v>
      </c>
      <c r="H16" s="9" t="s">
        <v>176</v>
      </c>
      <c r="I16" s="12" t="str">
        <f t="shared" si="0"/>
        <v>Yes</v>
      </c>
      <c r="J16" s="13" t="s">
        <v>196</v>
      </c>
      <c r="K16" s="14">
        <f>IF(OR(INDEX(Standardised!$B$5:$B$15,MATCH(A16,Standardised!$A$5:$A$15,0))="Complete",INDEX(Standardised!$B$5:$B$15,MATCH(A16,Standardised!$A$5:$A$15,0))="Truncated"),(E16-INDEX(Standardised!$D$5:$D$15,MATCH(A16,Standardised!$A$5:$A$15,0)))/INDEX(Standardised!$E$5:$E$15,MATCH(A16,Standardised!$A$5:$A$15,0)),"")</f>
        <v>0.39109588469975731</v>
      </c>
    </row>
    <row r="17" spans="1:11" x14ac:dyDescent="0.35">
      <c r="A17" s="7" t="s">
        <v>42</v>
      </c>
      <c r="B17" s="10" t="str">
        <f>INDEX(Studies!$G$5:$G$15,MATCH(A17,Studies!$A$5:$A$15,0))</f>
        <v>India (Telangana)</v>
      </c>
      <c r="C17" s="10" t="str">
        <f>INDEX(Studies!$N$5:$N$15,MATCH(A17,Studies!$A$5:$A$15,0))</f>
        <v>Seed</v>
      </c>
      <c r="D17" s="8" t="s">
        <v>197</v>
      </c>
      <c r="E17" s="11">
        <v>0.755</v>
      </c>
      <c r="F17" s="7">
        <v>13</v>
      </c>
      <c r="G17" s="7" t="s">
        <v>198</v>
      </c>
      <c r="H17" s="9" t="s">
        <v>199</v>
      </c>
      <c r="I17" s="12" t="str">
        <f t="shared" si="0"/>
        <v>No</v>
      </c>
      <c r="J17" s="13"/>
      <c r="K17" s="14">
        <f>IF(OR(INDEX(Standardised!$B$5:$B$15,MATCH(A17,Standardised!$A$5:$A$15,0))="Complete",INDEX(Standardised!$B$5:$B$15,MATCH(A17,Standardised!$A$5:$A$15,0))="Truncated"),(E17-INDEX(Standardised!$D$5:$D$15,MATCH(A17,Standardised!$A$5:$A$15,0)))/INDEX(Standardised!$E$5:$E$15,MATCH(A17,Standardised!$A$5:$A$15,0)),"")</f>
        <v>0.24557183457891926</v>
      </c>
    </row>
    <row r="18" spans="1:11" x14ac:dyDescent="0.35">
      <c r="A18" s="7" t="s">
        <v>42</v>
      </c>
      <c r="B18" s="10" t="str">
        <f>INDEX(Studies!$G$5:$G$15,MATCH(A18,Studies!$A$5:$A$15,0))</f>
        <v>India (Telangana)</v>
      </c>
      <c r="C18" s="10" t="str">
        <f>INDEX(Studies!$N$5:$N$15,MATCH(A18,Studies!$A$5:$A$15,0))</f>
        <v>Seed</v>
      </c>
      <c r="D18" s="8" t="s">
        <v>200</v>
      </c>
      <c r="E18" s="11">
        <v>0.75</v>
      </c>
      <c r="F18" s="7">
        <v>14</v>
      </c>
      <c r="G18" s="7" t="s">
        <v>201</v>
      </c>
      <c r="H18" s="9" t="s">
        <v>176</v>
      </c>
      <c r="I18" s="12" t="str">
        <f t="shared" si="0"/>
        <v>Yes</v>
      </c>
      <c r="J18" s="13"/>
      <c r="K18" s="14">
        <f>IF(OR(INDEX(Standardised!$B$5:$B$15,MATCH(A18,Standardised!$A$5:$A$15,0))="Complete",INDEX(Standardised!$B$5:$B$15,MATCH(A18,Standardised!$A$5:$A$15,0))="Truncated"),(E18-INDEX(Standardised!$D$5:$D$15,MATCH(A18,Standardised!$A$5:$A$15,0)))/INDEX(Standardised!$E$5:$E$15,MATCH(A18,Standardised!$A$5:$A$15,0)),"")</f>
        <v>6.3666771927871693E-2</v>
      </c>
    </row>
    <row r="19" spans="1:11" x14ac:dyDescent="0.35">
      <c r="A19" s="7" t="s">
        <v>42</v>
      </c>
      <c r="B19" s="10" t="str">
        <f>INDEX(Studies!$G$5:$G$15,MATCH(A19,Studies!$A$5:$A$15,0))</f>
        <v>India (Telangana)</v>
      </c>
      <c r="C19" s="10" t="str">
        <f>INDEX(Studies!$N$5:$N$15,MATCH(A19,Studies!$A$5:$A$15,0))</f>
        <v>Seed</v>
      </c>
      <c r="D19" s="8" t="s">
        <v>202</v>
      </c>
      <c r="E19" s="11">
        <v>0.75</v>
      </c>
      <c r="F19" s="7">
        <v>15</v>
      </c>
      <c r="G19" s="7" t="s">
        <v>203</v>
      </c>
      <c r="H19" s="9" t="s">
        <v>176</v>
      </c>
      <c r="I19" s="12" t="str">
        <f t="shared" si="0"/>
        <v>Yes</v>
      </c>
      <c r="J19" s="13"/>
      <c r="K19" s="14">
        <f>IF(OR(INDEX(Standardised!$B$5:$B$15,MATCH(A19,Standardised!$A$5:$A$15,0))="Complete",INDEX(Standardised!$B$5:$B$15,MATCH(A19,Standardised!$A$5:$A$15,0))="Truncated"),(E19-INDEX(Standardised!$D$5:$D$15,MATCH(A19,Standardised!$A$5:$A$15,0)))/INDEX(Standardised!$E$5:$E$15,MATCH(A19,Standardised!$A$5:$A$15,0)),"")</f>
        <v>6.3666771927871693E-2</v>
      </c>
    </row>
    <row r="20" spans="1:11" x14ac:dyDescent="0.35">
      <c r="A20" s="7" t="s">
        <v>42</v>
      </c>
      <c r="B20" s="10" t="str">
        <f>INDEX(Studies!$G$5:$G$15,MATCH(A20,Studies!$A$5:$A$15,0))</f>
        <v>India (Telangana)</v>
      </c>
      <c r="C20" s="10" t="str">
        <f>INDEX(Studies!$N$5:$N$15,MATCH(A20,Studies!$A$5:$A$15,0))</f>
        <v>Seed</v>
      </c>
      <c r="D20" s="8" t="s">
        <v>204</v>
      </c>
      <c r="E20" s="11">
        <v>0.74099999999999999</v>
      </c>
      <c r="F20" s="7">
        <v>16</v>
      </c>
      <c r="G20" s="7" t="s">
        <v>205</v>
      </c>
      <c r="H20" s="9" t="s">
        <v>176</v>
      </c>
      <c r="I20" s="12" t="str">
        <f t="shared" si="0"/>
        <v>Yes</v>
      </c>
      <c r="J20" s="13"/>
      <c r="K20" s="14">
        <f>IF(OR(INDEX(Standardised!$B$5:$B$15,MATCH(A20,Standardised!$A$5:$A$15,0))="Complete",INDEX(Standardised!$B$5:$B$15,MATCH(A20,Standardised!$A$5:$A$15,0))="Truncated"),(E20-INDEX(Standardised!$D$5:$D$15,MATCH(A20,Standardised!$A$5:$A$15,0)))/INDEX(Standardised!$E$5:$E$15,MATCH(A20,Standardised!$A$5:$A$15,0)),"")</f>
        <v>-0.2637623408440139</v>
      </c>
    </row>
    <row r="21" spans="1:11" x14ac:dyDescent="0.35">
      <c r="A21" s="7" t="s">
        <v>42</v>
      </c>
      <c r="B21" s="10" t="str">
        <f>INDEX(Studies!$G$5:$G$15,MATCH(A21,Studies!$A$5:$A$15,0))</f>
        <v>India (Telangana)</v>
      </c>
      <c r="C21" s="10" t="str">
        <f>INDEX(Studies!$N$5:$N$15,MATCH(A21,Studies!$A$5:$A$15,0))</f>
        <v>Seed</v>
      </c>
      <c r="D21" s="8" t="s">
        <v>206</v>
      </c>
      <c r="E21" s="11">
        <v>0.74099999999999999</v>
      </c>
      <c r="F21" s="7">
        <v>17</v>
      </c>
      <c r="G21" s="7" t="s">
        <v>201</v>
      </c>
      <c r="H21" s="9" t="s">
        <v>176</v>
      </c>
      <c r="I21" s="12" t="str">
        <f t="shared" si="0"/>
        <v>Yes</v>
      </c>
      <c r="J21" s="13"/>
      <c r="K21" s="14">
        <f>IF(OR(INDEX(Standardised!$B$5:$B$15,MATCH(A21,Standardised!$A$5:$A$15,0))="Complete",INDEX(Standardised!$B$5:$B$15,MATCH(A21,Standardised!$A$5:$A$15,0))="Truncated"),(E21-INDEX(Standardised!$D$5:$D$15,MATCH(A21,Standardised!$A$5:$A$15,0)))/INDEX(Standardised!$E$5:$E$15,MATCH(A21,Standardised!$A$5:$A$15,0)),"")</f>
        <v>-0.2637623408440139</v>
      </c>
    </row>
    <row r="22" spans="1:11" x14ac:dyDescent="0.35">
      <c r="A22" s="7" t="s">
        <v>42</v>
      </c>
      <c r="B22" s="10" t="str">
        <f>INDEX(Studies!$G$5:$G$15,MATCH(A22,Studies!$A$5:$A$15,0))</f>
        <v>India (Telangana)</v>
      </c>
      <c r="C22" s="10" t="str">
        <f>INDEX(Studies!$N$5:$N$15,MATCH(A22,Studies!$A$5:$A$15,0))</f>
        <v>Seed</v>
      </c>
      <c r="D22" s="8" t="s">
        <v>207</v>
      </c>
      <c r="E22" s="11">
        <v>0.73599999999999999</v>
      </c>
      <c r="F22" s="7">
        <v>18</v>
      </c>
      <c r="G22" s="7" t="s">
        <v>208</v>
      </c>
      <c r="H22" s="9" t="s">
        <v>176</v>
      </c>
      <c r="I22" s="12" t="str">
        <f t="shared" si="0"/>
        <v>Yes</v>
      </c>
      <c r="J22" s="13"/>
      <c r="K22" s="14">
        <f>IF(OR(INDEX(Standardised!$B$5:$B$15,MATCH(A22,Standardised!$A$5:$A$15,0))="Complete",INDEX(Standardised!$B$5:$B$15,MATCH(A22,Standardised!$A$5:$A$15,0))="Truncated"),(E22-INDEX(Standardised!$D$5:$D$15,MATCH(A22,Standardised!$A$5:$A$15,0)))/INDEX(Standardised!$E$5:$E$15,MATCH(A22,Standardised!$A$5:$A$15,0)),"")</f>
        <v>-0.44566740349506145</v>
      </c>
    </row>
    <row r="23" spans="1:11" x14ac:dyDescent="0.35">
      <c r="A23" s="7" t="s">
        <v>42</v>
      </c>
      <c r="B23" s="10" t="str">
        <f>INDEX(Studies!$G$5:$G$15,MATCH(A23,Studies!$A$5:$A$15,0))</f>
        <v>India (Telangana)</v>
      </c>
      <c r="C23" s="10" t="str">
        <f>INDEX(Studies!$N$5:$N$15,MATCH(A23,Studies!$A$5:$A$15,0))</f>
        <v>Seed</v>
      </c>
      <c r="D23" s="8" t="s">
        <v>209</v>
      </c>
      <c r="E23" s="11">
        <v>0.73599999999999999</v>
      </c>
      <c r="F23" s="7">
        <v>19</v>
      </c>
      <c r="G23" s="7" t="s">
        <v>210</v>
      </c>
      <c r="H23" s="9" t="s">
        <v>176</v>
      </c>
      <c r="I23" s="12" t="str">
        <f t="shared" si="0"/>
        <v>Yes</v>
      </c>
      <c r="J23" s="13"/>
      <c r="K23" s="14">
        <f>IF(OR(INDEX(Standardised!$B$5:$B$15,MATCH(A23,Standardised!$A$5:$A$15,0))="Complete",INDEX(Standardised!$B$5:$B$15,MATCH(A23,Standardised!$A$5:$A$15,0))="Truncated"),(E23-INDEX(Standardised!$D$5:$D$15,MATCH(A23,Standardised!$A$5:$A$15,0)))/INDEX(Standardised!$E$5:$E$15,MATCH(A23,Standardised!$A$5:$A$15,0)),"")</f>
        <v>-0.44566740349506145</v>
      </c>
    </row>
    <row r="24" spans="1:11" x14ac:dyDescent="0.35">
      <c r="A24" s="7" t="s">
        <v>42</v>
      </c>
      <c r="B24" s="10" t="str">
        <f>INDEX(Studies!$G$5:$G$15,MATCH(A24,Studies!$A$5:$A$15,0))</f>
        <v>India (Telangana)</v>
      </c>
      <c r="C24" s="10" t="str">
        <f>INDEX(Studies!$N$5:$N$15,MATCH(A24,Studies!$A$5:$A$15,0))</f>
        <v>Seed</v>
      </c>
      <c r="D24" s="8" t="s">
        <v>211</v>
      </c>
      <c r="E24" s="11">
        <v>0.73199999999999998</v>
      </c>
      <c r="F24" s="7">
        <v>20</v>
      </c>
      <c r="G24" s="7" t="s">
        <v>208</v>
      </c>
      <c r="H24" s="9" t="s">
        <v>199</v>
      </c>
      <c r="I24" s="12" t="str">
        <f t="shared" si="0"/>
        <v>No</v>
      </c>
      <c r="J24" s="13"/>
      <c r="K24" s="14">
        <f>IF(OR(INDEX(Standardised!$B$5:$B$15,MATCH(A24,Standardised!$A$5:$A$15,0))="Complete",INDEX(Standardised!$B$5:$B$15,MATCH(A24,Standardised!$A$5:$A$15,0))="Truncated"),(E24-INDEX(Standardised!$D$5:$D$15,MATCH(A24,Standardised!$A$5:$A$15,0)))/INDEX(Standardised!$E$5:$E$15,MATCH(A24,Standardised!$A$5:$A$15,0)),"")</f>
        <v>-0.59119145361589953</v>
      </c>
    </row>
    <row r="25" spans="1:11" x14ac:dyDescent="0.35">
      <c r="A25" s="7" t="s">
        <v>42</v>
      </c>
      <c r="B25" s="10" t="str">
        <f>INDEX(Studies!$G$5:$G$15,MATCH(A25,Studies!$A$5:$A$15,0))</f>
        <v>India (Telangana)</v>
      </c>
      <c r="C25" s="10" t="str">
        <f>INDEX(Studies!$N$5:$N$15,MATCH(A25,Studies!$A$5:$A$15,0))</f>
        <v>Seed</v>
      </c>
      <c r="D25" s="8" t="s">
        <v>212</v>
      </c>
      <c r="E25" s="11">
        <v>0.73199999999999998</v>
      </c>
      <c r="F25" s="7">
        <v>21</v>
      </c>
      <c r="G25" s="7" t="s">
        <v>213</v>
      </c>
      <c r="H25" s="9" t="s">
        <v>176</v>
      </c>
      <c r="I25" s="12" t="str">
        <f t="shared" si="0"/>
        <v>Yes</v>
      </c>
      <c r="J25" s="13"/>
      <c r="K25" s="14">
        <f>IF(OR(INDEX(Standardised!$B$5:$B$15,MATCH(A25,Standardised!$A$5:$A$15,0))="Complete",INDEX(Standardised!$B$5:$B$15,MATCH(A25,Standardised!$A$5:$A$15,0))="Truncated"),(E25-INDEX(Standardised!$D$5:$D$15,MATCH(A25,Standardised!$A$5:$A$15,0)))/INDEX(Standardised!$E$5:$E$15,MATCH(A25,Standardised!$A$5:$A$15,0)),"")</f>
        <v>-0.59119145361589953</v>
      </c>
    </row>
    <row r="26" spans="1:11" x14ac:dyDescent="0.35">
      <c r="A26" s="7" t="s">
        <v>42</v>
      </c>
      <c r="B26" s="10" t="str">
        <f>INDEX(Studies!$G$5:$G$15,MATCH(A26,Studies!$A$5:$A$15,0))</f>
        <v>India (Telangana)</v>
      </c>
      <c r="C26" s="10" t="str">
        <f>INDEX(Studies!$N$5:$N$15,MATCH(A26,Studies!$A$5:$A$15,0))</f>
        <v>Seed</v>
      </c>
      <c r="D26" s="8" t="s">
        <v>214</v>
      </c>
      <c r="E26" s="11">
        <v>0.72699999999999998</v>
      </c>
      <c r="F26" s="7">
        <v>22</v>
      </c>
      <c r="G26" s="7" t="s">
        <v>181</v>
      </c>
      <c r="H26" s="9" t="s">
        <v>176</v>
      </c>
      <c r="I26" s="12" t="str">
        <f t="shared" si="0"/>
        <v>Yes</v>
      </c>
      <c r="J26" s="13"/>
      <c r="K26" s="14">
        <f>IF(OR(INDEX(Standardised!$B$5:$B$15,MATCH(A26,Standardised!$A$5:$A$15,0))="Complete",INDEX(Standardised!$B$5:$B$15,MATCH(A26,Standardised!$A$5:$A$15,0))="Truncated"),(E26-INDEX(Standardised!$D$5:$D$15,MATCH(A26,Standardised!$A$5:$A$15,0)))/INDEX(Standardised!$E$5:$E$15,MATCH(A26,Standardised!$A$5:$A$15,0)),"")</f>
        <v>-0.77309651626694709</v>
      </c>
    </row>
    <row r="27" spans="1:11" x14ac:dyDescent="0.35">
      <c r="A27" s="7" t="s">
        <v>42</v>
      </c>
      <c r="B27" s="10" t="str">
        <f>INDEX(Studies!$G$5:$G$15,MATCH(A27,Studies!$A$5:$A$15,0))</f>
        <v>India (Telangana)</v>
      </c>
      <c r="C27" s="10" t="str">
        <f>INDEX(Studies!$N$5:$N$15,MATCH(A27,Studies!$A$5:$A$15,0))</f>
        <v>Seed</v>
      </c>
      <c r="D27" s="8" t="s">
        <v>215</v>
      </c>
      <c r="E27" s="11">
        <v>0.72299999999999998</v>
      </c>
      <c r="F27" s="7">
        <v>23</v>
      </c>
      <c r="G27" s="7" t="s">
        <v>216</v>
      </c>
      <c r="H27" s="9" t="s">
        <v>176</v>
      </c>
      <c r="I27" s="12" t="str">
        <f t="shared" si="0"/>
        <v>Yes</v>
      </c>
      <c r="J27" s="13"/>
      <c r="K27" s="14">
        <f>IF(OR(INDEX(Standardised!$B$5:$B$15,MATCH(A27,Standardised!$A$5:$A$15,0))="Complete",INDEX(Standardised!$B$5:$B$15,MATCH(A27,Standardised!$A$5:$A$15,0))="Truncated"),(E27-INDEX(Standardised!$D$5:$D$15,MATCH(A27,Standardised!$A$5:$A$15,0)))/INDEX(Standardised!$E$5:$E$15,MATCH(A27,Standardised!$A$5:$A$15,0)),"")</f>
        <v>-0.91862056638778511</v>
      </c>
    </row>
    <row r="28" spans="1:11" x14ac:dyDescent="0.35">
      <c r="A28" s="7" t="s">
        <v>42</v>
      </c>
      <c r="B28" s="10" t="str">
        <f>INDEX(Studies!$G$5:$G$15,MATCH(A28,Studies!$A$5:$A$15,0))</f>
        <v>India (Telangana)</v>
      </c>
      <c r="C28" s="10" t="str">
        <f>INDEX(Studies!$N$5:$N$15,MATCH(A28,Studies!$A$5:$A$15,0))</f>
        <v>Seed</v>
      </c>
      <c r="D28" s="8" t="s">
        <v>217</v>
      </c>
      <c r="E28" s="11">
        <v>0.71399999999999997</v>
      </c>
      <c r="F28" s="7">
        <v>24</v>
      </c>
      <c r="G28" s="7" t="s">
        <v>192</v>
      </c>
      <c r="H28" s="9" t="s">
        <v>176</v>
      </c>
      <c r="I28" s="12" t="str">
        <f t="shared" si="0"/>
        <v>Yes</v>
      </c>
      <c r="J28" s="13"/>
      <c r="K28" s="14">
        <f>IF(OR(INDEX(Standardised!$B$5:$B$15,MATCH(A28,Standardised!$A$5:$A$15,0))="Complete",INDEX(Standardised!$B$5:$B$15,MATCH(A28,Standardised!$A$5:$A$15,0))="Truncated"),(E28-INDEX(Standardised!$D$5:$D$15,MATCH(A28,Standardised!$A$5:$A$15,0)))/INDEX(Standardised!$E$5:$E$15,MATCH(A28,Standardised!$A$5:$A$15,0)),"")</f>
        <v>-1.2460496791596707</v>
      </c>
    </row>
    <row r="29" spans="1:11" x14ac:dyDescent="0.35">
      <c r="A29" s="7" t="s">
        <v>42</v>
      </c>
      <c r="B29" s="10" t="str">
        <f>INDEX(Studies!$G$5:$G$15,MATCH(A29,Studies!$A$5:$A$15,0))</f>
        <v>India (Telangana)</v>
      </c>
      <c r="C29" s="10" t="str">
        <f>INDEX(Studies!$N$5:$N$15,MATCH(A29,Studies!$A$5:$A$15,0))</f>
        <v>Seed</v>
      </c>
      <c r="D29" s="8" t="s">
        <v>218</v>
      </c>
      <c r="E29" s="11">
        <v>0.71399999999999997</v>
      </c>
      <c r="F29" s="7">
        <v>25</v>
      </c>
      <c r="G29" s="7" t="s">
        <v>175</v>
      </c>
      <c r="H29" s="9" t="s">
        <v>199</v>
      </c>
      <c r="I29" s="12" t="str">
        <f t="shared" si="0"/>
        <v>No</v>
      </c>
      <c r="J29" s="13" t="s">
        <v>219</v>
      </c>
      <c r="K29" s="14">
        <f>IF(OR(INDEX(Standardised!$B$5:$B$15,MATCH(A29,Standardised!$A$5:$A$15,0))="Complete",INDEX(Standardised!$B$5:$B$15,MATCH(A29,Standardised!$A$5:$A$15,0))="Truncated"),(E29-INDEX(Standardised!$D$5:$D$15,MATCH(A29,Standardised!$A$5:$A$15,0)))/INDEX(Standardised!$E$5:$E$15,MATCH(A29,Standardised!$A$5:$A$15,0)),"")</f>
        <v>-1.2460496791596707</v>
      </c>
    </row>
    <row r="30" spans="1:11" x14ac:dyDescent="0.35">
      <c r="A30" s="7" t="s">
        <v>42</v>
      </c>
      <c r="B30" s="10" t="str">
        <f>INDEX(Studies!$G$5:$G$15,MATCH(A30,Studies!$A$5:$A$15,0))</f>
        <v>India (Telangana)</v>
      </c>
      <c r="C30" s="10" t="str">
        <f>INDEX(Studies!$N$5:$N$15,MATCH(A30,Studies!$A$5:$A$15,0))</f>
        <v>Seed</v>
      </c>
      <c r="D30" s="8" t="s">
        <v>220</v>
      </c>
      <c r="E30" s="11">
        <v>0.70899999999999996</v>
      </c>
      <c r="F30" s="7">
        <v>26</v>
      </c>
      <c r="G30" s="7" t="s">
        <v>205</v>
      </c>
      <c r="H30" s="9" t="s">
        <v>176</v>
      </c>
      <c r="I30" s="12" t="str">
        <f t="shared" si="0"/>
        <v>Yes</v>
      </c>
      <c r="J30" s="13"/>
      <c r="K30" s="14">
        <f>IF(OR(INDEX(Standardised!$B$5:$B$15,MATCH(A30,Standardised!$A$5:$A$15,0))="Complete",INDEX(Standardised!$B$5:$B$15,MATCH(A30,Standardised!$A$5:$A$15,0))="Truncated"),(E30-INDEX(Standardised!$D$5:$D$15,MATCH(A30,Standardised!$A$5:$A$15,0)))/INDEX(Standardised!$E$5:$E$15,MATCH(A30,Standardised!$A$5:$A$15,0)),"")</f>
        <v>-1.4279547418107184</v>
      </c>
    </row>
    <row r="31" spans="1:11" x14ac:dyDescent="0.35">
      <c r="A31" s="7" t="s">
        <v>42</v>
      </c>
      <c r="B31" s="10" t="str">
        <f>INDEX(Studies!$G$5:$G$15,MATCH(A31,Studies!$A$5:$A$15,0))</f>
        <v>India (Telangana)</v>
      </c>
      <c r="C31" s="10" t="str">
        <f>INDEX(Studies!$N$5:$N$15,MATCH(A31,Studies!$A$5:$A$15,0))</f>
        <v>Seed</v>
      </c>
      <c r="D31" s="8" t="s">
        <v>221</v>
      </c>
      <c r="E31" s="11">
        <v>0.70899999999999996</v>
      </c>
      <c r="F31" s="7">
        <v>27</v>
      </c>
      <c r="G31" s="7" t="s">
        <v>222</v>
      </c>
      <c r="H31" s="9" t="s">
        <v>176</v>
      </c>
      <c r="I31" s="12" t="str">
        <f t="shared" si="0"/>
        <v>Yes</v>
      </c>
      <c r="J31" s="13"/>
      <c r="K31" s="14">
        <f>IF(OR(INDEX(Standardised!$B$5:$B$15,MATCH(A31,Standardised!$A$5:$A$15,0))="Complete",INDEX(Standardised!$B$5:$B$15,MATCH(A31,Standardised!$A$5:$A$15,0))="Truncated"),(E31-INDEX(Standardised!$D$5:$D$15,MATCH(A31,Standardised!$A$5:$A$15,0)))/INDEX(Standardised!$E$5:$E$15,MATCH(A31,Standardised!$A$5:$A$15,0)),"")</f>
        <v>-1.4279547418107184</v>
      </c>
    </row>
    <row r="32" spans="1:11" x14ac:dyDescent="0.35">
      <c r="A32" s="7" t="s">
        <v>42</v>
      </c>
      <c r="B32" s="10" t="str">
        <f>INDEX(Studies!$G$5:$G$15,MATCH(A32,Studies!$A$5:$A$15,0))</f>
        <v>India (Telangana)</v>
      </c>
      <c r="C32" s="10" t="str">
        <f>INDEX(Studies!$N$5:$N$15,MATCH(A32,Studies!$A$5:$A$15,0))</f>
        <v>Seed</v>
      </c>
      <c r="D32" s="8" t="s">
        <v>223</v>
      </c>
      <c r="E32" s="11">
        <v>0.7</v>
      </c>
      <c r="F32" s="7">
        <v>28</v>
      </c>
      <c r="G32" s="7" t="s">
        <v>224</v>
      </c>
      <c r="H32" s="9" t="s">
        <v>176</v>
      </c>
      <c r="I32" s="12" t="str">
        <f t="shared" si="0"/>
        <v>Yes</v>
      </c>
      <c r="J32" s="13"/>
      <c r="K32" s="14">
        <f>IF(OR(INDEX(Standardised!$B$5:$B$15,MATCH(A32,Standardised!$A$5:$A$15,0))="Complete",INDEX(Standardised!$B$5:$B$15,MATCH(A32,Standardised!$A$5:$A$15,0))="Truncated"),(E32-INDEX(Standardised!$D$5:$D$15,MATCH(A32,Standardised!$A$5:$A$15,0)))/INDEX(Standardised!$E$5:$E$15,MATCH(A32,Standardised!$A$5:$A$15,0)),"")</f>
        <v>-1.7553838545826039</v>
      </c>
    </row>
    <row r="33" spans="1:11" x14ac:dyDescent="0.35">
      <c r="A33" s="7" t="s">
        <v>56</v>
      </c>
      <c r="B33" s="10" t="str">
        <f>INDEX(Studies!$G$5:$G$15,MATCH(A33,Studies!$A$5:$A$15,0))</f>
        <v>India (Chennai)</v>
      </c>
      <c r="C33" s="10" t="str">
        <f>INDEX(Studies!$N$5:$N$15,MATCH(A33,Studies!$A$5:$A$15,0))</f>
        <v>Seed</v>
      </c>
      <c r="D33" s="8" t="s">
        <v>225</v>
      </c>
      <c r="E33" s="11">
        <v>0.78700000000000003</v>
      </c>
      <c r="F33" s="7">
        <v>1</v>
      </c>
      <c r="G33" s="7" t="s">
        <v>190</v>
      </c>
      <c r="H33" s="9" t="s">
        <v>176</v>
      </c>
      <c r="I33" s="12" t="str">
        <f t="shared" si="0"/>
        <v>Yes</v>
      </c>
      <c r="J33" s="13" t="s">
        <v>226</v>
      </c>
      <c r="K33" s="14" t="str">
        <f>IF(OR(INDEX(Standardised!$B$5:$B$15,MATCH(A33,Standardised!$A$5:$A$15,0))="Complete",INDEX(Standardised!$B$5:$B$15,MATCH(A33,Standardised!$A$5:$A$15,0))="Truncated"),(E33-INDEX(Standardised!$D$5:$D$15,MATCH(A33,Standardised!$A$5:$A$15,0)))/INDEX(Standardised!$E$5:$E$15,MATCH(A33,Standardised!$A$5:$A$15,0)),"")</f>
        <v/>
      </c>
    </row>
    <row r="34" spans="1:11" x14ac:dyDescent="0.35">
      <c r="A34" s="7" t="s">
        <v>56</v>
      </c>
      <c r="B34" s="10" t="str">
        <f>INDEX(Studies!$G$5:$G$15,MATCH(A34,Studies!$A$5:$A$15,0))</f>
        <v>India (Chennai)</v>
      </c>
      <c r="C34" s="10" t="str">
        <f>INDEX(Studies!$N$5:$N$15,MATCH(A34,Studies!$A$5:$A$15,0))</f>
        <v>Seed</v>
      </c>
      <c r="D34" s="8" t="s">
        <v>227</v>
      </c>
      <c r="E34" s="11">
        <v>0.751</v>
      </c>
      <c r="F34" s="7">
        <v>2</v>
      </c>
      <c r="G34" s="7" t="s">
        <v>216</v>
      </c>
      <c r="H34" s="9" t="s">
        <v>176</v>
      </c>
      <c r="I34" s="12" t="str">
        <f t="shared" si="0"/>
        <v>Yes</v>
      </c>
      <c r="J34" s="13" t="s">
        <v>226</v>
      </c>
      <c r="K34" s="14" t="str">
        <f>IF(OR(INDEX(Standardised!$B$5:$B$15,MATCH(A34,Standardised!$A$5:$A$15,0))="Complete",INDEX(Standardised!$B$5:$B$15,MATCH(A34,Standardised!$A$5:$A$15,0))="Truncated"),(E34-INDEX(Standardised!$D$5:$D$15,MATCH(A34,Standardised!$A$5:$A$15,0)))/INDEX(Standardised!$E$5:$E$15,MATCH(A34,Standardised!$A$5:$A$15,0)),"")</f>
        <v/>
      </c>
    </row>
    <row r="35" spans="1:11" x14ac:dyDescent="0.35">
      <c r="A35" s="7" t="s">
        <v>56</v>
      </c>
      <c r="B35" s="10" t="str">
        <f>INDEX(Studies!$G$5:$G$15,MATCH(A35,Studies!$A$5:$A$15,0))</f>
        <v>India (Chennai)</v>
      </c>
      <c r="C35" s="10" t="str">
        <f>INDEX(Studies!$N$5:$N$15,MATCH(A35,Studies!$A$5:$A$15,0))</f>
        <v>Seed</v>
      </c>
      <c r="D35" s="8" t="s">
        <v>228</v>
      </c>
      <c r="E35" s="11">
        <v>0.73</v>
      </c>
      <c r="F35" s="7"/>
      <c r="G35" s="7" t="s">
        <v>229</v>
      </c>
      <c r="H35" s="9" t="s">
        <v>199</v>
      </c>
      <c r="I35" s="12" t="str">
        <f t="shared" si="0"/>
        <v>No</v>
      </c>
      <c r="J35" s="13" t="s">
        <v>230</v>
      </c>
      <c r="K35" s="14" t="str">
        <f>IF(OR(INDEX(Standardised!$B$5:$B$15,MATCH(A35,Standardised!$A$5:$A$15,0))="Complete",INDEX(Standardised!$B$5:$B$15,MATCH(A35,Standardised!$A$5:$A$15,0))="Truncated"),(E35-INDEX(Standardised!$D$5:$D$15,MATCH(A35,Standardised!$A$5:$A$15,0)))/INDEX(Standardised!$E$5:$E$15,MATCH(A35,Standardised!$A$5:$A$15,0)),"")</f>
        <v/>
      </c>
    </row>
    <row r="36" spans="1:11" x14ac:dyDescent="0.35">
      <c r="A36" s="7" t="s">
        <v>56</v>
      </c>
      <c r="B36" s="10" t="str">
        <f>INDEX(Studies!$G$5:$G$15,MATCH(A36,Studies!$A$5:$A$15,0))</f>
        <v>India (Chennai)</v>
      </c>
      <c r="C36" s="10" t="str">
        <f>INDEX(Studies!$N$5:$N$15,MATCH(A36,Studies!$A$5:$A$15,0))</f>
        <v>Seed</v>
      </c>
      <c r="D36" s="8" t="s">
        <v>231</v>
      </c>
      <c r="E36" s="11">
        <v>0.68</v>
      </c>
      <c r="F36" s="7"/>
      <c r="G36" s="7" t="s">
        <v>198</v>
      </c>
      <c r="H36" s="9" t="s">
        <v>176</v>
      </c>
      <c r="I36" s="12" t="str">
        <f t="shared" si="0"/>
        <v>Yes</v>
      </c>
      <c r="J36" s="13" t="s">
        <v>230</v>
      </c>
      <c r="K36" s="14" t="str">
        <f>IF(OR(INDEX(Standardised!$B$5:$B$15,MATCH(A36,Standardised!$A$5:$A$15,0))="Complete",INDEX(Standardised!$B$5:$B$15,MATCH(A36,Standardised!$A$5:$A$15,0))="Truncated"),(E36-INDEX(Standardised!$D$5:$D$15,MATCH(A36,Standardised!$A$5:$A$15,0)))/INDEX(Standardised!$E$5:$E$15,MATCH(A36,Standardised!$A$5:$A$15,0)),"")</f>
        <v/>
      </c>
    </row>
    <row r="37" spans="1:11" x14ac:dyDescent="0.35">
      <c r="A37" s="7" t="s">
        <v>56</v>
      </c>
      <c r="B37" s="10" t="str">
        <f>INDEX(Studies!$G$5:$G$15,MATCH(A37,Studies!$A$5:$A$15,0))</f>
        <v>India (Chennai)</v>
      </c>
      <c r="C37" s="10" t="str">
        <f>INDEX(Studies!$N$5:$N$15,MATCH(A37,Studies!$A$5:$A$15,0))</f>
        <v>Seed</v>
      </c>
      <c r="D37" s="8" t="s">
        <v>194</v>
      </c>
      <c r="E37" s="11">
        <v>0.65</v>
      </c>
      <c r="F37" s="7"/>
      <c r="G37" s="7" t="s">
        <v>195</v>
      </c>
      <c r="H37" s="9" t="s">
        <v>176</v>
      </c>
      <c r="I37" s="12" t="str">
        <f t="shared" ref="I37:I68" si="1">IF(AND(C37="Seed",H37="Direct",G37&lt;&gt;""),"Yes","No")</f>
        <v>Yes</v>
      </c>
      <c r="J37" s="13" t="s">
        <v>232</v>
      </c>
      <c r="K37" s="14" t="str">
        <f>IF(OR(INDEX(Standardised!$B$5:$B$15,MATCH(A37,Standardised!$A$5:$A$15,0))="Complete",INDEX(Standardised!$B$5:$B$15,MATCH(A37,Standardised!$A$5:$A$15,0))="Truncated"),(E37-INDEX(Standardised!$D$5:$D$15,MATCH(A37,Standardised!$A$5:$A$15,0)))/INDEX(Standardised!$E$5:$E$15,MATCH(A37,Standardised!$A$5:$A$15,0)),"")</f>
        <v/>
      </c>
    </row>
    <row r="38" spans="1:11" x14ac:dyDescent="0.35">
      <c r="A38" s="7" t="s">
        <v>56</v>
      </c>
      <c r="B38" s="10" t="str">
        <f>INDEX(Studies!$G$5:$G$15,MATCH(A38,Studies!$A$5:$A$15,0))</f>
        <v>India (Chennai)</v>
      </c>
      <c r="C38" s="10" t="str">
        <f>INDEX(Studies!$N$5:$N$15,MATCH(A38,Studies!$A$5:$A$15,0))</f>
        <v>Seed</v>
      </c>
      <c r="D38" s="8" t="s">
        <v>233</v>
      </c>
      <c r="E38" s="11">
        <v>0.61</v>
      </c>
      <c r="F38" s="7"/>
      <c r="G38" s="7" t="s">
        <v>229</v>
      </c>
      <c r="H38" s="9" t="s">
        <v>176</v>
      </c>
      <c r="I38" s="12" t="str">
        <f t="shared" si="1"/>
        <v>Yes</v>
      </c>
      <c r="J38" s="13" t="s">
        <v>230</v>
      </c>
      <c r="K38" s="14" t="str">
        <f>IF(OR(INDEX(Standardised!$B$5:$B$15,MATCH(A38,Standardised!$A$5:$A$15,0))="Complete",INDEX(Standardised!$B$5:$B$15,MATCH(A38,Standardised!$A$5:$A$15,0))="Truncated"),(E38-INDEX(Standardised!$D$5:$D$15,MATCH(A38,Standardised!$A$5:$A$15,0)))/INDEX(Standardised!$E$5:$E$15,MATCH(A38,Standardised!$A$5:$A$15,0)),"")</f>
        <v/>
      </c>
    </row>
    <row r="39" spans="1:11" x14ac:dyDescent="0.35">
      <c r="A39" s="7" t="s">
        <v>56</v>
      </c>
      <c r="B39" s="10" t="str">
        <f>INDEX(Studies!$G$5:$G$15,MATCH(A39,Studies!$A$5:$A$15,0))</f>
        <v>India (Chennai)</v>
      </c>
      <c r="C39" s="10" t="str">
        <f>INDEX(Studies!$N$5:$N$15,MATCH(A39,Studies!$A$5:$A$15,0))</f>
        <v>Seed</v>
      </c>
      <c r="D39" s="8" t="s">
        <v>234</v>
      </c>
      <c r="E39" s="11">
        <v>0.78</v>
      </c>
      <c r="F39" s="7">
        <v>1</v>
      </c>
      <c r="G39" s="7" t="s">
        <v>183</v>
      </c>
      <c r="H39" s="9" t="s">
        <v>176</v>
      </c>
      <c r="I39" s="12" t="str">
        <f t="shared" si="1"/>
        <v>Yes</v>
      </c>
      <c r="J39" s="13" t="s">
        <v>235</v>
      </c>
      <c r="K39" s="14" t="str">
        <f>IF(OR(INDEX(Standardised!$B$5:$B$15,MATCH(A39,Standardised!$A$5:$A$15,0))="Complete",INDEX(Standardised!$B$5:$B$15,MATCH(A39,Standardised!$A$5:$A$15,0))="Truncated"),(E39-INDEX(Standardised!$D$5:$D$15,MATCH(A39,Standardised!$A$5:$A$15,0)))/INDEX(Standardised!$E$5:$E$15,MATCH(A39,Standardised!$A$5:$A$15,0)),"")</f>
        <v/>
      </c>
    </row>
    <row r="40" spans="1:11" x14ac:dyDescent="0.35">
      <c r="A40" s="7" t="s">
        <v>56</v>
      </c>
      <c r="B40" s="10" t="str">
        <f>INDEX(Studies!$G$5:$G$15,MATCH(A40,Studies!$A$5:$A$15,0))</f>
        <v>India (Chennai)</v>
      </c>
      <c r="C40" s="10" t="str">
        <f>INDEX(Studies!$N$5:$N$15,MATCH(A40,Studies!$A$5:$A$15,0))</f>
        <v>Seed</v>
      </c>
      <c r="D40" s="8" t="s">
        <v>236</v>
      </c>
      <c r="E40" s="11">
        <v>0.76</v>
      </c>
      <c r="F40" s="7"/>
      <c r="G40" s="7" t="s">
        <v>201</v>
      </c>
      <c r="H40" s="9" t="s">
        <v>176</v>
      </c>
      <c r="I40" s="12" t="str">
        <f t="shared" si="1"/>
        <v>Yes</v>
      </c>
      <c r="J40" s="13" t="s">
        <v>237</v>
      </c>
      <c r="K40" s="14" t="str">
        <f>IF(OR(INDEX(Standardised!$B$5:$B$15,MATCH(A40,Standardised!$A$5:$A$15,0))="Complete",INDEX(Standardised!$B$5:$B$15,MATCH(A40,Standardised!$A$5:$A$15,0))="Truncated"),(E40-INDEX(Standardised!$D$5:$D$15,MATCH(A40,Standardised!$A$5:$A$15,0)))/INDEX(Standardised!$E$5:$E$15,MATCH(A40,Standardised!$A$5:$A$15,0)),"")</f>
        <v/>
      </c>
    </row>
    <row r="41" spans="1:11" x14ac:dyDescent="0.35">
      <c r="A41" s="7" t="s">
        <v>56</v>
      </c>
      <c r="B41" s="10" t="str">
        <f>INDEX(Studies!$G$5:$G$15,MATCH(A41,Studies!$A$5:$A$15,0))</f>
        <v>India (Chennai)</v>
      </c>
      <c r="C41" s="10" t="str">
        <f>INDEX(Studies!$N$5:$N$15,MATCH(A41,Studies!$A$5:$A$15,0))</f>
        <v>Seed</v>
      </c>
      <c r="D41" s="8" t="s">
        <v>238</v>
      </c>
      <c r="E41" s="11">
        <v>0.751</v>
      </c>
      <c r="F41" s="7"/>
      <c r="G41" s="7" t="s">
        <v>239</v>
      </c>
      <c r="H41" s="9" t="s">
        <v>176</v>
      </c>
      <c r="I41" s="12" t="str">
        <f t="shared" si="1"/>
        <v>Yes</v>
      </c>
      <c r="J41" s="13" t="s">
        <v>237</v>
      </c>
      <c r="K41" s="14" t="str">
        <f>IF(OR(INDEX(Standardised!$B$5:$B$15,MATCH(A41,Standardised!$A$5:$A$15,0))="Complete",INDEX(Standardised!$B$5:$B$15,MATCH(A41,Standardised!$A$5:$A$15,0))="Truncated"),(E41-INDEX(Standardised!$D$5:$D$15,MATCH(A41,Standardised!$A$5:$A$15,0)))/INDEX(Standardised!$E$5:$E$15,MATCH(A41,Standardised!$A$5:$A$15,0)),"")</f>
        <v/>
      </c>
    </row>
    <row r="42" spans="1:11" x14ac:dyDescent="0.35">
      <c r="A42" s="7" t="s">
        <v>56</v>
      </c>
      <c r="B42" s="10" t="str">
        <f>INDEX(Studies!$G$5:$G$15,MATCH(A42,Studies!$A$5:$A$15,0))</f>
        <v>India (Chennai)</v>
      </c>
      <c r="C42" s="10" t="str">
        <f>INDEX(Studies!$N$5:$N$15,MATCH(A42,Studies!$A$5:$A$15,0))</f>
        <v>Seed</v>
      </c>
      <c r="D42" s="8" t="s">
        <v>240</v>
      </c>
      <c r="E42" s="11">
        <v>0.7</v>
      </c>
      <c r="F42" s="7"/>
      <c r="G42" s="7" t="s">
        <v>241</v>
      </c>
      <c r="H42" s="9" t="s">
        <v>176</v>
      </c>
      <c r="I42" s="12" t="str">
        <f t="shared" si="1"/>
        <v>Yes</v>
      </c>
      <c r="J42" s="13" t="s">
        <v>237</v>
      </c>
      <c r="K42" s="14" t="str">
        <f>IF(OR(INDEX(Standardised!$B$5:$B$15,MATCH(A42,Standardised!$A$5:$A$15,0))="Complete",INDEX(Standardised!$B$5:$B$15,MATCH(A42,Standardised!$A$5:$A$15,0))="Truncated"),(E42-INDEX(Standardised!$D$5:$D$15,MATCH(A42,Standardised!$A$5:$A$15,0)))/INDEX(Standardised!$E$5:$E$15,MATCH(A42,Standardised!$A$5:$A$15,0)),"")</f>
        <v/>
      </c>
    </row>
    <row r="43" spans="1:11" x14ac:dyDescent="0.35">
      <c r="A43" s="7" t="s">
        <v>56</v>
      </c>
      <c r="B43" s="10" t="str">
        <f>INDEX(Studies!$G$5:$G$15,MATCH(A43,Studies!$A$5:$A$15,0))</f>
        <v>India (Chennai)</v>
      </c>
      <c r="C43" s="10" t="str">
        <f>INDEX(Studies!$N$5:$N$15,MATCH(A43,Studies!$A$5:$A$15,0))</f>
        <v>Seed</v>
      </c>
      <c r="D43" s="8" t="s">
        <v>242</v>
      </c>
      <c r="E43" s="11">
        <v>0.55000000000000004</v>
      </c>
      <c r="F43" s="7">
        <v>9</v>
      </c>
      <c r="G43" s="7" t="s">
        <v>243</v>
      </c>
      <c r="H43" s="9" t="s">
        <v>176</v>
      </c>
      <c r="I43" s="12" t="str">
        <f t="shared" si="1"/>
        <v>Yes</v>
      </c>
      <c r="J43" s="13" t="s">
        <v>235</v>
      </c>
      <c r="K43" s="14" t="str">
        <f>IF(OR(INDEX(Standardised!$B$5:$B$15,MATCH(A43,Standardised!$A$5:$A$15,0))="Complete",INDEX(Standardised!$B$5:$B$15,MATCH(A43,Standardised!$A$5:$A$15,0))="Truncated"),(E43-INDEX(Standardised!$D$5:$D$15,MATCH(A43,Standardised!$A$5:$A$15,0)))/INDEX(Standardised!$E$5:$E$15,MATCH(A43,Standardised!$A$5:$A$15,0)),"")</f>
        <v/>
      </c>
    </row>
    <row r="44" spans="1:11" x14ac:dyDescent="0.35">
      <c r="A44" s="7" t="s">
        <v>56</v>
      </c>
      <c r="B44" s="10" t="str">
        <f>INDEX(Studies!$G$5:$G$15,MATCH(A44,Studies!$A$5:$A$15,0))</f>
        <v>India (Chennai)</v>
      </c>
      <c r="C44" s="10" t="str">
        <f>INDEX(Studies!$N$5:$N$15,MATCH(A44,Studies!$A$5:$A$15,0))</f>
        <v>Seed</v>
      </c>
      <c r="D44" s="8" t="s">
        <v>244</v>
      </c>
      <c r="E44" s="11">
        <v>0.77580000000000005</v>
      </c>
      <c r="F44" s="7"/>
      <c r="G44" s="7" t="s">
        <v>185</v>
      </c>
      <c r="H44" s="9" t="s">
        <v>176</v>
      </c>
      <c r="I44" s="12" t="str">
        <f t="shared" si="1"/>
        <v>Yes</v>
      </c>
      <c r="J44" s="13" t="s">
        <v>245</v>
      </c>
      <c r="K44" s="14" t="str">
        <f>IF(OR(INDEX(Standardised!$B$5:$B$15,MATCH(A44,Standardised!$A$5:$A$15,0))="Complete",INDEX(Standardised!$B$5:$B$15,MATCH(A44,Standardised!$A$5:$A$15,0))="Truncated"),(E44-INDEX(Standardised!$D$5:$D$15,MATCH(A44,Standardised!$A$5:$A$15,0)))/INDEX(Standardised!$E$5:$E$15,MATCH(A44,Standardised!$A$5:$A$15,0)),"")</f>
        <v/>
      </c>
    </row>
    <row r="45" spans="1:11" x14ac:dyDescent="0.35">
      <c r="A45" s="7" t="s">
        <v>56</v>
      </c>
      <c r="B45" s="10" t="str">
        <f>INDEX(Studies!$G$5:$G$15,MATCH(A45,Studies!$A$5:$A$15,0))</f>
        <v>India (Chennai)</v>
      </c>
      <c r="C45" s="10" t="str">
        <f>INDEX(Studies!$N$5:$N$15,MATCH(A45,Studies!$A$5:$A$15,0))</f>
        <v>Seed</v>
      </c>
      <c r="D45" s="8" t="s">
        <v>246</v>
      </c>
      <c r="E45" s="11">
        <v>0.7</v>
      </c>
      <c r="F45" s="7">
        <v>3</v>
      </c>
      <c r="G45" s="7" t="s">
        <v>188</v>
      </c>
      <c r="H45" s="9" t="s">
        <v>176</v>
      </c>
      <c r="I45" s="12" t="str">
        <f t="shared" si="1"/>
        <v>Yes</v>
      </c>
      <c r="J45" s="13" t="s">
        <v>247</v>
      </c>
      <c r="K45" s="14" t="str">
        <f>IF(OR(INDEX(Standardised!$B$5:$B$15,MATCH(A45,Standardised!$A$5:$A$15,0))="Complete",INDEX(Standardised!$B$5:$B$15,MATCH(A45,Standardised!$A$5:$A$15,0))="Truncated"),(E45-INDEX(Standardised!$D$5:$D$15,MATCH(A45,Standardised!$A$5:$A$15,0)))/INDEX(Standardised!$E$5:$E$15,MATCH(A45,Standardised!$A$5:$A$15,0)),"")</f>
        <v/>
      </c>
    </row>
    <row r="46" spans="1:11" x14ac:dyDescent="0.35">
      <c r="A46" s="7" t="s">
        <v>56</v>
      </c>
      <c r="B46" s="10" t="str">
        <f>INDEX(Studies!$G$5:$G$15,MATCH(A46,Studies!$A$5:$A$15,0))</f>
        <v>India (Chennai)</v>
      </c>
      <c r="C46" s="10" t="str">
        <f>INDEX(Studies!$N$5:$N$15,MATCH(A46,Studies!$A$5:$A$15,0))</f>
        <v>Seed</v>
      </c>
      <c r="D46" s="8" t="s">
        <v>248</v>
      </c>
      <c r="E46" s="11">
        <v>0.65</v>
      </c>
      <c r="F46" s="7">
        <v>5</v>
      </c>
      <c r="G46" s="7" t="s">
        <v>249</v>
      </c>
      <c r="H46" s="9" t="s">
        <v>176</v>
      </c>
      <c r="I46" s="12" t="str">
        <f t="shared" si="1"/>
        <v>Yes</v>
      </c>
      <c r="J46" s="13" t="s">
        <v>250</v>
      </c>
      <c r="K46" s="14" t="str">
        <f>IF(OR(INDEX(Standardised!$B$5:$B$15,MATCH(A46,Standardised!$A$5:$A$15,0))="Complete",INDEX(Standardised!$B$5:$B$15,MATCH(A46,Standardised!$A$5:$A$15,0))="Truncated"),(E46-INDEX(Standardised!$D$5:$D$15,MATCH(A46,Standardised!$A$5:$A$15,0)))/INDEX(Standardised!$E$5:$E$15,MATCH(A46,Standardised!$A$5:$A$15,0)),"")</f>
        <v/>
      </c>
    </row>
    <row r="47" spans="1:11" x14ac:dyDescent="0.35">
      <c r="A47" s="7" t="s">
        <v>68</v>
      </c>
      <c r="B47" s="10" t="str">
        <f>INDEX(Studies!$G$5:$G$15,MATCH(A47,Studies!$A$5:$A$15,0))</f>
        <v>India</v>
      </c>
      <c r="C47" s="10" t="str">
        <f>INDEX(Studies!$N$5:$N$15,MATCH(A47,Studies!$A$5:$A$15,0))</f>
        <v>Seed</v>
      </c>
      <c r="D47" s="8" t="s">
        <v>251</v>
      </c>
      <c r="E47" s="11">
        <v>0.80198999999999998</v>
      </c>
      <c r="F47" s="7">
        <v>1</v>
      </c>
      <c r="G47" s="7" t="s">
        <v>183</v>
      </c>
      <c r="H47" s="9" t="s">
        <v>199</v>
      </c>
      <c r="I47" s="12" t="str">
        <f t="shared" si="1"/>
        <v>No</v>
      </c>
      <c r="J47" s="13" t="s">
        <v>252</v>
      </c>
      <c r="K47" s="14">
        <f>IF(OR(INDEX(Standardised!$B$5:$B$15,MATCH(A47,Standardised!$A$5:$A$15,0))="Complete",INDEX(Standardised!$B$5:$B$15,MATCH(A47,Standardised!$A$5:$A$15,0))="Truncated"),(E47-INDEX(Standardised!$D$5:$D$15,MATCH(A47,Standardised!$A$5:$A$15,0)))/INDEX(Standardised!$E$5:$E$15,MATCH(A47,Standardised!$A$5:$A$15,0)),"")</f>
        <v>1.5873282831609119</v>
      </c>
    </row>
    <row r="48" spans="1:11" x14ac:dyDescent="0.35">
      <c r="A48" s="7" t="s">
        <v>68</v>
      </c>
      <c r="B48" s="10" t="str">
        <f>INDEX(Studies!$G$5:$G$15,MATCH(A48,Studies!$A$5:$A$15,0))</f>
        <v>India</v>
      </c>
      <c r="C48" s="10" t="str">
        <f>INDEX(Studies!$N$5:$N$15,MATCH(A48,Studies!$A$5:$A$15,0))</f>
        <v>Seed</v>
      </c>
      <c r="D48" s="8" t="s">
        <v>253</v>
      </c>
      <c r="E48" s="11">
        <v>0.79900499999999997</v>
      </c>
      <c r="F48" s="7">
        <v>2</v>
      </c>
      <c r="G48" s="7" t="s">
        <v>254</v>
      </c>
      <c r="H48" s="9" t="s">
        <v>176</v>
      </c>
      <c r="I48" s="12" t="str">
        <f t="shared" si="1"/>
        <v>Yes</v>
      </c>
      <c r="J48" s="13"/>
      <c r="K48" s="14">
        <f>IF(OR(INDEX(Standardised!$B$5:$B$15,MATCH(A48,Standardised!$A$5:$A$15,0))="Complete",INDEX(Standardised!$B$5:$B$15,MATCH(A48,Standardised!$A$5:$A$15,0))="Truncated"),(E48-INDEX(Standardised!$D$5:$D$15,MATCH(A48,Standardised!$A$5:$A$15,0)))/INDEX(Standardised!$E$5:$E$15,MATCH(A48,Standardised!$A$5:$A$15,0)),"")</f>
        <v>1.5272226718694488</v>
      </c>
    </row>
    <row r="49" spans="1:11" x14ac:dyDescent="0.35">
      <c r="A49" s="7" t="s">
        <v>68</v>
      </c>
      <c r="B49" s="10" t="str">
        <f>INDEX(Studies!$G$5:$G$15,MATCH(A49,Studies!$A$5:$A$15,0))</f>
        <v>India</v>
      </c>
      <c r="C49" s="10" t="str">
        <f>INDEX(Studies!$N$5:$N$15,MATCH(A49,Studies!$A$5:$A$15,0))</f>
        <v>Seed</v>
      </c>
      <c r="D49" s="8" t="s">
        <v>255</v>
      </c>
      <c r="E49" s="11">
        <v>0.79005000000000003</v>
      </c>
      <c r="F49" s="7">
        <v>3</v>
      </c>
      <c r="G49" s="7" t="s">
        <v>256</v>
      </c>
      <c r="H49" s="9" t="s">
        <v>176</v>
      </c>
      <c r="I49" s="12" t="str">
        <f t="shared" si="1"/>
        <v>Yes</v>
      </c>
      <c r="J49" s="13"/>
      <c r="K49" s="14">
        <f>IF(OR(INDEX(Standardised!$B$5:$B$15,MATCH(A49,Standardised!$A$5:$A$15,0))="Complete",INDEX(Standardised!$B$5:$B$15,MATCH(A49,Standardised!$A$5:$A$15,0))="Truncated"),(E49-INDEX(Standardised!$D$5:$D$15,MATCH(A49,Standardised!$A$5:$A$15,0)))/INDEX(Standardised!$E$5:$E$15,MATCH(A49,Standardised!$A$5:$A$15,0)),"")</f>
        <v>1.3469058379950616</v>
      </c>
    </row>
    <row r="50" spans="1:11" x14ac:dyDescent="0.35">
      <c r="A50" s="7" t="s">
        <v>68</v>
      </c>
      <c r="B50" s="10" t="str">
        <f>INDEX(Studies!$G$5:$G$15,MATCH(A50,Studies!$A$5:$A$15,0))</f>
        <v>India</v>
      </c>
      <c r="C50" s="10" t="str">
        <f>INDEX(Studies!$N$5:$N$15,MATCH(A50,Studies!$A$5:$A$15,0))</f>
        <v>Seed</v>
      </c>
      <c r="D50" s="8" t="s">
        <v>257</v>
      </c>
      <c r="E50" s="11">
        <v>0.78507499999999997</v>
      </c>
      <c r="F50" s="7">
        <v>4</v>
      </c>
      <c r="G50" s="7" t="s">
        <v>213</v>
      </c>
      <c r="H50" s="9" t="s">
        <v>176</v>
      </c>
      <c r="I50" s="12" t="str">
        <f t="shared" si="1"/>
        <v>Yes</v>
      </c>
      <c r="J50" s="13"/>
      <c r="K50" s="14">
        <f>IF(OR(INDEX(Standardised!$B$5:$B$15,MATCH(A50,Standardised!$A$5:$A$15,0))="Complete",INDEX(Standardised!$B$5:$B$15,MATCH(A50,Standardised!$A$5:$A$15,0))="Truncated"),(E50-INDEX(Standardised!$D$5:$D$15,MATCH(A50,Standardised!$A$5:$A$15,0)))/INDEX(Standardised!$E$5:$E$15,MATCH(A50,Standardised!$A$5:$A$15,0)),"")</f>
        <v>1.2467298191759555</v>
      </c>
    </row>
    <row r="51" spans="1:11" x14ac:dyDescent="0.35">
      <c r="A51" s="7" t="s">
        <v>68</v>
      </c>
      <c r="B51" s="10" t="str">
        <f>INDEX(Studies!$G$5:$G$15,MATCH(A51,Studies!$A$5:$A$15,0))</f>
        <v>India</v>
      </c>
      <c r="C51" s="10" t="str">
        <f>INDEX(Studies!$N$5:$N$15,MATCH(A51,Studies!$A$5:$A$15,0))</f>
        <v>Seed</v>
      </c>
      <c r="D51" s="8" t="s">
        <v>209</v>
      </c>
      <c r="E51" s="11">
        <v>0.776119</v>
      </c>
      <c r="F51" s="7">
        <v>5</v>
      </c>
      <c r="G51" s="7" t="s">
        <v>210</v>
      </c>
      <c r="H51" s="9" t="s">
        <v>176</v>
      </c>
      <c r="I51" s="12" t="str">
        <f t="shared" si="1"/>
        <v>Yes</v>
      </c>
      <c r="J51" s="13"/>
      <c r="K51" s="14">
        <f>IF(OR(INDEX(Standardised!$B$5:$B$15,MATCH(A51,Standardised!$A$5:$A$15,0))="Complete",INDEX(Standardised!$B$5:$B$15,MATCH(A51,Standardised!$A$5:$A$15,0))="Truncated"),(E51-INDEX(Standardised!$D$5:$D$15,MATCH(A51,Standardised!$A$5:$A$15,0)))/INDEX(Standardised!$E$5:$E$15,MATCH(A51,Standardised!$A$5:$A$15,0)),"")</f>
        <v>1.0663928494183879</v>
      </c>
    </row>
    <row r="52" spans="1:11" x14ac:dyDescent="0.35">
      <c r="A52" s="7" t="s">
        <v>68</v>
      </c>
      <c r="B52" s="10" t="str">
        <f>INDEX(Studies!$G$5:$G$15,MATCH(A52,Studies!$A$5:$A$15,0))</f>
        <v>India</v>
      </c>
      <c r="C52" s="10" t="str">
        <f>INDEX(Studies!$N$5:$N$15,MATCH(A52,Studies!$A$5:$A$15,0))</f>
        <v>Seed</v>
      </c>
      <c r="D52" s="8" t="s">
        <v>258</v>
      </c>
      <c r="E52" s="11">
        <v>0.77412899999999996</v>
      </c>
      <c r="F52" s="7">
        <v>6</v>
      </c>
      <c r="G52" s="7" t="s">
        <v>222</v>
      </c>
      <c r="H52" s="9" t="s">
        <v>176</v>
      </c>
      <c r="I52" s="12" t="str">
        <f t="shared" si="1"/>
        <v>Yes</v>
      </c>
      <c r="J52" s="13"/>
      <c r="K52" s="14">
        <f>IF(OR(INDEX(Standardised!$B$5:$B$15,MATCH(A52,Standardised!$A$5:$A$15,0))="Complete",INDEX(Standardised!$B$5:$B$15,MATCH(A52,Standardised!$A$5:$A$15,0))="Truncated"),(E52-INDEX(Standardised!$D$5:$D$15,MATCH(A52,Standardised!$A$5:$A$15,0)))/INDEX(Standardised!$E$5:$E$15,MATCH(A52,Standardised!$A$5:$A$15,0)),"")</f>
        <v>1.0263224418907451</v>
      </c>
    </row>
    <row r="53" spans="1:11" ht="25" x14ac:dyDescent="0.35">
      <c r="A53" s="7" t="s">
        <v>68</v>
      </c>
      <c r="B53" s="10" t="str">
        <f>INDEX(Studies!$G$5:$G$15,MATCH(A53,Studies!$A$5:$A$15,0))</f>
        <v>India</v>
      </c>
      <c r="C53" s="10" t="str">
        <f>INDEX(Studies!$N$5:$N$15,MATCH(A53,Studies!$A$5:$A$15,0))</f>
        <v>Seed</v>
      </c>
      <c r="D53" s="8" t="s">
        <v>259</v>
      </c>
      <c r="E53" s="11">
        <v>0.77213900000000002</v>
      </c>
      <c r="F53" s="7">
        <v>7</v>
      </c>
      <c r="G53" s="7" t="s">
        <v>222</v>
      </c>
      <c r="H53" s="9" t="s">
        <v>199</v>
      </c>
      <c r="I53" s="12" t="str">
        <f t="shared" si="1"/>
        <v>No</v>
      </c>
      <c r="J53" s="13"/>
      <c r="K53" s="14">
        <f>IF(OR(INDEX(Standardised!$B$5:$B$15,MATCH(A53,Standardised!$A$5:$A$15,0))="Complete",INDEX(Standardised!$B$5:$B$15,MATCH(A53,Standardised!$A$5:$A$15,0))="Truncated"),(E53-INDEX(Standardised!$D$5:$D$15,MATCH(A53,Standardised!$A$5:$A$15,0)))/INDEX(Standardised!$E$5:$E$15,MATCH(A53,Standardised!$A$5:$A$15,0)),"")</f>
        <v>0.98625203436310449</v>
      </c>
    </row>
    <row r="54" spans="1:11" x14ac:dyDescent="0.35">
      <c r="A54" s="7" t="s">
        <v>68</v>
      </c>
      <c r="B54" s="10" t="str">
        <f>INDEX(Studies!$G$5:$G$15,MATCH(A54,Studies!$A$5:$A$15,0))</f>
        <v>India</v>
      </c>
      <c r="C54" s="10" t="str">
        <f>INDEX(Studies!$N$5:$N$15,MATCH(A54,Studies!$A$5:$A$15,0))</f>
        <v>Seed</v>
      </c>
      <c r="D54" s="8" t="s">
        <v>260</v>
      </c>
      <c r="E54" s="11">
        <v>0.77114400000000005</v>
      </c>
      <c r="F54" s="7">
        <v>8</v>
      </c>
      <c r="G54" s="7" t="s">
        <v>185</v>
      </c>
      <c r="H54" s="9" t="s">
        <v>176</v>
      </c>
      <c r="I54" s="12" t="str">
        <f t="shared" si="1"/>
        <v>Yes</v>
      </c>
      <c r="J54" s="13"/>
      <c r="K54" s="14">
        <f>IF(OR(INDEX(Standardised!$B$5:$B$15,MATCH(A54,Standardised!$A$5:$A$15,0))="Complete",INDEX(Standardised!$B$5:$B$15,MATCH(A54,Standardised!$A$5:$A$15,0))="Truncated"),(E54-INDEX(Standardised!$D$5:$D$15,MATCH(A54,Standardised!$A$5:$A$15,0)))/INDEX(Standardised!$E$5:$E$15,MATCH(A54,Standardised!$A$5:$A$15,0)),"")</f>
        <v>0.9662168305992842</v>
      </c>
    </row>
    <row r="55" spans="1:11" x14ac:dyDescent="0.35">
      <c r="A55" s="7" t="s">
        <v>68</v>
      </c>
      <c r="B55" s="10" t="str">
        <f>INDEX(Studies!$G$5:$G$15,MATCH(A55,Studies!$A$5:$A$15,0))</f>
        <v>India</v>
      </c>
      <c r="C55" s="10" t="str">
        <f>INDEX(Studies!$N$5:$N$15,MATCH(A55,Studies!$A$5:$A$15,0))</f>
        <v>Seed</v>
      </c>
      <c r="D55" s="8" t="s">
        <v>261</v>
      </c>
      <c r="E55" s="11">
        <v>0.77114400000000005</v>
      </c>
      <c r="F55" s="7">
        <v>9</v>
      </c>
      <c r="G55" s="7" t="s">
        <v>239</v>
      </c>
      <c r="H55" s="9" t="s">
        <v>176</v>
      </c>
      <c r="I55" s="12" t="str">
        <f t="shared" si="1"/>
        <v>Yes</v>
      </c>
      <c r="J55" s="13"/>
      <c r="K55" s="14">
        <f>IF(OR(INDEX(Standardised!$B$5:$B$15,MATCH(A55,Standardised!$A$5:$A$15,0))="Complete",INDEX(Standardised!$B$5:$B$15,MATCH(A55,Standardised!$A$5:$A$15,0))="Truncated"),(E55-INDEX(Standardised!$D$5:$D$15,MATCH(A55,Standardised!$A$5:$A$15,0)))/INDEX(Standardised!$E$5:$E$15,MATCH(A55,Standardised!$A$5:$A$15,0)),"")</f>
        <v>0.9662168305992842</v>
      </c>
    </row>
    <row r="56" spans="1:11" x14ac:dyDescent="0.35">
      <c r="A56" s="7" t="s">
        <v>68</v>
      </c>
      <c r="B56" s="10" t="str">
        <f>INDEX(Studies!$G$5:$G$15,MATCH(A56,Studies!$A$5:$A$15,0))</f>
        <v>India</v>
      </c>
      <c r="C56" s="10" t="str">
        <f>INDEX(Studies!$N$5:$N$15,MATCH(A56,Studies!$A$5:$A$15,0))</f>
        <v>Seed</v>
      </c>
      <c r="D56" s="8" t="s">
        <v>262</v>
      </c>
      <c r="E56" s="11">
        <v>0.77114400000000005</v>
      </c>
      <c r="F56" s="7">
        <v>10</v>
      </c>
      <c r="G56" s="7" t="s">
        <v>222</v>
      </c>
      <c r="H56" s="9" t="s">
        <v>199</v>
      </c>
      <c r="I56" s="12" t="str">
        <f t="shared" si="1"/>
        <v>No</v>
      </c>
      <c r="J56" s="13"/>
      <c r="K56" s="14">
        <f>IF(OR(INDEX(Standardised!$B$5:$B$15,MATCH(A56,Standardised!$A$5:$A$15,0))="Complete",INDEX(Standardised!$B$5:$B$15,MATCH(A56,Standardised!$A$5:$A$15,0))="Truncated"),(E56-INDEX(Standardised!$D$5:$D$15,MATCH(A56,Standardised!$A$5:$A$15,0)))/INDEX(Standardised!$E$5:$E$15,MATCH(A56,Standardised!$A$5:$A$15,0)),"")</f>
        <v>0.9662168305992842</v>
      </c>
    </row>
    <row r="57" spans="1:11" x14ac:dyDescent="0.35">
      <c r="A57" s="7" t="s">
        <v>68</v>
      </c>
      <c r="B57" s="10" t="str">
        <f>INDEX(Studies!$G$5:$G$15,MATCH(A57,Studies!$A$5:$A$15,0))</f>
        <v>India</v>
      </c>
      <c r="C57" s="10" t="str">
        <f>INDEX(Studies!$N$5:$N$15,MATCH(A57,Studies!$A$5:$A$15,0))</f>
        <v>Seed</v>
      </c>
      <c r="D57" s="8" t="s">
        <v>263</v>
      </c>
      <c r="E57" s="11">
        <v>0.76318399999999997</v>
      </c>
      <c r="F57" s="7">
        <v>11</v>
      </c>
      <c r="G57" s="7" t="s">
        <v>178</v>
      </c>
      <c r="H57" s="9" t="s">
        <v>176</v>
      </c>
      <c r="I57" s="12" t="str">
        <f t="shared" si="1"/>
        <v>Yes</v>
      </c>
      <c r="J57" s="13"/>
      <c r="K57" s="14">
        <f>IF(OR(INDEX(Standardised!$B$5:$B$15,MATCH(A57,Standardised!$A$5:$A$15,0))="Complete",INDEX(Standardised!$B$5:$B$15,MATCH(A57,Standardised!$A$5:$A$15,0))="Truncated"),(E57-INDEX(Standardised!$D$5:$D$15,MATCH(A57,Standardised!$A$5:$A$15,0)))/INDEX(Standardised!$E$5:$E$15,MATCH(A57,Standardised!$A$5:$A$15,0)),"")</f>
        <v>0.80593520048871492</v>
      </c>
    </row>
    <row r="58" spans="1:11" x14ac:dyDescent="0.35">
      <c r="A58" s="7" t="s">
        <v>68</v>
      </c>
      <c r="B58" s="10" t="str">
        <f>INDEX(Studies!$G$5:$G$15,MATCH(A58,Studies!$A$5:$A$15,0))</f>
        <v>India</v>
      </c>
      <c r="C58" s="10" t="str">
        <f>INDEX(Studies!$N$5:$N$15,MATCH(A58,Studies!$A$5:$A$15,0))</f>
        <v>Seed</v>
      </c>
      <c r="D58" s="8" t="s">
        <v>264</v>
      </c>
      <c r="E58" s="11">
        <v>0.75422900000000004</v>
      </c>
      <c r="F58" s="7">
        <v>12</v>
      </c>
      <c r="G58" s="7" t="s">
        <v>265</v>
      </c>
      <c r="H58" s="9" t="s">
        <v>199</v>
      </c>
      <c r="I58" s="12" t="str">
        <f t="shared" si="1"/>
        <v>No</v>
      </c>
      <c r="J58" s="13"/>
      <c r="K58" s="14">
        <f>IF(OR(INDEX(Standardised!$B$5:$B$15,MATCH(A58,Standardised!$A$5:$A$15,0))="Complete",INDEX(Standardised!$B$5:$B$15,MATCH(A58,Standardised!$A$5:$A$15,0))="Truncated"),(E58-INDEX(Standardised!$D$5:$D$15,MATCH(A58,Standardised!$A$5:$A$15,0)))/INDEX(Standardised!$E$5:$E$15,MATCH(A58,Standardised!$A$5:$A$15,0)),"")</f>
        <v>0.62561836661432768</v>
      </c>
    </row>
    <row r="59" spans="1:11" x14ac:dyDescent="0.35">
      <c r="A59" s="7" t="s">
        <v>68</v>
      </c>
      <c r="B59" s="10" t="str">
        <f>INDEX(Studies!$G$5:$G$15,MATCH(A59,Studies!$A$5:$A$15,0))</f>
        <v>India</v>
      </c>
      <c r="C59" s="10" t="str">
        <f>INDEX(Studies!$N$5:$N$15,MATCH(A59,Studies!$A$5:$A$15,0))</f>
        <v>Seed</v>
      </c>
      <c r="D59" s="8" t="s">
        <v>266</v>
      </c>
      <c r="E59" s="11">
        <v>0.75223899999999999</v>
      </c>
      <c r="F59" s="7">
        <v>13</v>
      </c>
      <c r="G59" s="7" t="s">
        <v>203</v>
      </c>
      <c r="H59" s="9" t="s">
        <v>199</v>
      </c>
      <c r="I59" s="12" t="str">
        <f t="shared" si="1"/>
        <v>No</v>
      </c>
      <c r="J59" s="13"/>
      <c r="K59" s="14">
        <f>IF(OR(INDEX(Standardised!$B$5:$B$15,MATCH(A59,Standardised!$A$5:$A$15,0))="Complete",INDEX(Standardised!$B$5:$B$15,MATCH(A59,Standardised!$A$5:$A$15,0))="Truncated"),(E59-INDEX(Standardised!$D$5:$D$15,MATCH(A59,Standardised!$A$5:$A$15,0)))/INDEX(Standardised!$E$5:$E$15,MATCH(A59,Standardised!$A$5:$A$15,0)),"")</f>
        <v>0.58554795908668478</v>
      </c>
    </row>
    <row r="60" spans="1:11" x14ac:dyDescent="0.35">
      <c r="A60" s="7" t="s">
        <v>68</v>
      </c>
      <c r="B60" s="10" t="str">
        <f>INDEX(Studies!$G$5:$G$15,MATCH(A60,Studies!$A$5:$A$15,0))</f>
        <v>India</v>
      </c>
      <c r="C60" s="10" t="str">
        <f>INDEX(Studies!$N$5:$N$15,MATCH(A60,Studies!$A$5:$A$15,0))</f>
        <v>Seed</v>
      </c>
      <c r="D60" s="8" t="s">
        <v>267</v>
      </c>
      <c r="E60" s="11">
        <v>0.75223899999999999</v>
      </c>
      <c r="F60" s="7">
        <v>14</v>
      </c>
      <c r="G60" s="7" t="s">
        <v>222</v>
      </c>
      <c r="H60" s="9" t="s">
        <v>199</v>
      </c>
      <c r="I60" s="12" t="str">
        <f t="shared" si="1"/>
        <v>No</v>
      </c>
      <c r="J60" s="13"/>
      <c r="K60" s="14">
        <f>IF(OR(INDEX(Standardised!$B$5:$B$15,MATCH(A60,Standardised!$A$5:$A$15,0))="Complete",INDEX(Standardised!$B$5:$B$15,MATCH(A60,Standardised!$A$5:$A$15,0))="Truncated"),(E60-INDEX(Standardised!$D$5:$D$15,MATCH(A60,Standardised!$A$5:$A$15,0)))/INDEX(Standardised!$E$5:$E$15,MATCH(A60,Standardised!$A$5:$A$15,0)),"")</f>
        <v>0.58554795908668478</v>
      </c>
    </row>
    <row r="61" spans="1:11" x14ac:dyDescent="0.35">
      <c r="A61" s="7" t="s">
        <v>68</v>
      </c>
      <c r="B61" s="10" t="str">
        <f>INDEX(Studies!$G$5:$G$15,MATCH(A61,Studies!$A$5:$A$15,0))</f>
        <v>India</v>
      </c>
      <c r="C61" s="10" t="str">
        <f>INDEX(Studies!$N$5:$N$15,MATCH(A61,Studies!$A$5:$A$15,0))</f>
        <v>Seed</v>
      </c>
      <c r="D61" s="8" t="s">
        <v>268</v>
      </c>
      <c r="E61" s="11">
        <v>0.74925399999999998</v>
      </c>
      <c r="F61" s="7">
        <v>15</v>
      </c>
      <c r="G61" s="7" t="s">
        <v>269</v>
      </c>
      <c r="H61" s="9" t="s">
        <v>176</v>
      </c>
      <c r="I61" s="12" t="str">
        <f t="shared" si="1"/>
        <v>Yes</v>
      </c>
      <c r="J61" s="13" t="s">
        <v>270</v>
      </c>
      <c r="K61" s="14">
        <f>IF(OR(INDEX(Standardised!$B$5:$B$15,MATCH(A61,Standardised!$A$5:$A$15,0))="Complete",INDEX(Standardised!$B$5:$B$15,MATCH(A61,Standardised!$A$5:$A$15,0))="Truncated"),(E61-INDEX(Standardised!$D$5:$D$15,MATCH(A61,Standardised!$A$5:$A$15,0)))/INDEX(Standardised!$E$5:$E$15,MATCH(A61,Standardised!$A$5:$A$15,0)),"")</f>
        <v>0.5254423477952217</v>
      </c>
    </row>
    <row r="62" spans="1:11" x14ac:dyDescent="0.35">
      <c r="A62" s="7" t="s">
        <v>68</v>
      </c>
      <c r="B62" s="10" t="str">
        <f>INDEX(Studies!$G$5:$G$15,MATCH(A62,Studies!$A$5:$A$15,0))</f>
        <v>India</v>
      </c>
      <c r="C62" s="10" t="str">
        <f>INDEX(Studies!$N$5:$N$15,MATCH(A62,Studies!$A$5:$A$15,0))</f>
        <v>Seed</v>
      </c>
      <c r="D62" s="8" t="s">
        <v>271</v>
      </c>
      <c r="E62" s="11">
        <v>0.74427900000000002</v>
      </c>
      <c r="F62" s="7">
        <v>16</v>
      </c>
      <c r="G62" s="7" t="s">
        <v>272</v>
      </c>
      <c r="H62" s="9" t="s">
        <v>176</v>
      </c>
      <c r="I62" s="12" t="str">
        <f t="shared" si="1"/>
        <v>Yes</v>
      </c>
      <c r="J62" s="13"/>
      <c r="K62" s="14">
        <f>IF(OR(INDEX(Standardised!$B$5:$B$15,MATCH(A62,Standardised!$A$5:$A$15,0))="Complete",INDEX(Standardised!$B$5:$B$15,MATCH(A62,Standardised!$A$5:$A$15,0))="Truncated"),(E62-INDEX(Standardised!$D$5:$D$15,MATCH(A62,Standardised!$A$5:$A$15,0)))/INDEX(Standardised!$E$5:$E$15,MATCH(A62,Standardised!$A$5:$A$15,0)),"")</f>
        <v>0.42526632897611788</v>
      </c>
    </row>
    <row r="63" spans="1:11" x14ac:dyDescent="0.35">
      <c r="A63" s="7" t="s">
        <v>68</v>
      </c>
      <c r="B63" s="10" t="str">
        <f>INDEX(Studies!$G$5:$G$15,MATCH(A63,Studies!$A$5:$A$15,0))</f>
        <v>India</v>
      </c>
      <c r="C63" s="10" t="str">
        <f>INDEX(Studies!$N$5:$N$15,MATCH(A63,Studies!$A$5:$A$15,0))</f>
        <v>Seed</v>
      </c>
      <c r="D63" s="8" t="s">
        <v>273</v>
      </c>
      <c r="E63" s="11">
        <v>0.74029900000000004</v>
      </c>
      <c r="F63" s="7">
        <v>17</v>
      </c>
      <c r="G63" s="7" t="s">
        <v>222</v>
      </c>
      <c r="H63" s="9" t="s">
        <v>176</v>
      </c>
      <c r="I63" s="12" t="str">
        <f t="shared" si="1"/>
        <v>Yes</v>
      </c>
      <c r="J63" s="13"/>
      <c r="K63" s="14">
        <f>IF(OR(INDEX(Standardised!$B$5:$B$15,MATCH(A63,Standardised!$A$5:$A$15,0))="Complete",INDEX(Standardised!$B$5:$B$15,MATCH(A63,Standardised!$A$5:$A$15,0))="Truncated"),(E63-INDEX(Standardised!$D$5:$D$15,MATCH(A63,Standardised!$A$5:$A$15,0)))/INDEX(Standardised!$E$5:$E$15,MATCH(A63,Standardised!$A$5:$A$15,0)),"")</f>
        <v>0.34512551392083435</v>
      </c>
    </row>
    <row r="64" spans="1:11" x14ac:dyDescent="0.35">
      <c r="A64" s="7" t="s">
        <v>68</v>
      </c>
      <c r="B64" s="10" t="str">
        <f>INDEX(Studies!$G$5:$G$15,MATCH(A64,Studies!$A$5:$A$15,0))</f>
        <v>India</v>
      </c>
      <c r="C64" s="10" t="str">
        <f>INDEX(Studies!$N$5:$N$15,MATCH(A64,Studies!$A$5:$A$15,0))</f>
        <v>Seed</v>
      </c>
      <c r="D64" s="8" t="s">
        <v>274</v>
      </c>
      <c r="E64" s="11">
        <v>0.73830799999999996</v>
      </c>
      <c r="F64" s="7">
        <v>18</v>
      </c>
      <c r="G64" s="7" t="s">
        <v>256</v>
      </c>
      <c r="H64" s="9" t="s">
        <v>176</v>
      </c>
      <c r="I64" s="12" t="str">
        <f t="shared" si="1"/>
        <v>Yes</v>
      </c>
      <c r="J64" s="13"/>
      <c r="K64" s="14">
        <f>IF(OR(INDEX(Standardised!$B$5:$B$15,MATCH(A64,Standardised!$A$5:$A$15,0))="Complete",INDEX(Standardised!$B$5:$B$15,MATCH(A64,Standardised!$A$5:$A$15,0))="Truncated"),(E64-INDEX(Standardised!$D$5:$D$15,MATCH(A64,Standardised!$A$5:$A$15,0)))/INDEX(Standardised!$E$5:$E$15,MATCH(A64,Standardised!$A$5:$A$15,0)),"")</f>
        <v>0.30503497051001122</v>
      </c>
    </row>
    <row r="65" spans="1:11" x14ac:dyDescent="0.35">
      <c r="A65" s="7" t="s">
        <v>68</v>
      </c>
      <c r="B65" s="10" t="str">
        <f>INDEX(Studies!$G$5:$G$15,MATCH(A65,Studies!$A$5:$A$15,0))</f>
        <v>India</v>
      </c>
      <c r="C65" s="10" t="str">
        <f>INDEX(Studies!$N$5:$N$15,MATCH(A65,Studies!$A$5:$A$15,0))</f>
        <v>Seed</v>
      </c>
      <c r="D65" s="8" t="s">
        <v>275</v>
      </c>
      <c r="E65" s="11">
        <v>0.73830799999999996</v>
      </c>
      <c r="F65" s="7">
        <v>19</v>
      </c>
      <c r="G65" s="7" t="s">
        <v>201</v>
      </c>
      <c r="H65" s="9" t="s">
        <v>199</v>
      </c>
      <c r="I65" s="12" t="str">
        <f t="shared" si="1"/>
        <v>No</v>
      </c>
      <c r="J65" s="13" t="s">
        <v>276</v>
      </c>
      <c r="K65" s="14">
        <f>IF(OR(INDEX(Standardised!$B$5:$B$15,MATCH(A65,Standardised!$A$5:$A$15,0))="Complete",INDEX(Standardised!$B$5:$B$15,MATCH(A65,Standardised!$A$5:$A$15,0))="Truncated"),(E65-INDEX(Standardised!$D$5:$D$15,MATCH(A65,Standardised!$A$5:$A$15,0)))/INDEX(Standardised!$E$5:$E$15,MATCH(A65,Standardised!$A$5:$A$15,0)),"")</f>
        <v>0.30503497051001122</v>
      </c>
    </row>
    <row r="66" spans="1:11" x14ac:dyDescent="0.35">
      <c r="A66" s="7" t="s">
        <v>68</v>
      </c>
      <c r="B66" s="10" t="str">
        <f>INDEX(Studies!$G$5:$G$15,MATCH(A66,Studies!$A$5:$A$15,0))</f>
        <v>India</v>
      </c>
      <c r="C66" s="10" t="str">
        <f>INDEX(Studies!$N$5:$N$15,MATCH(A66,Studies!$A$5:$A$15,0))</f>
        <v>Seed</v>
      </c>
      <c r="D66" s="8" t="s">
        <v>277</v>
      </c>
      <c r="E66" s="11">
        <v>0.737313</v>
      </c>
      <c r="F66" s="7">
        <v>20</v>
      </c>
      <c r="G66" s="7" t="s">
        <v>254</v>
      </c>
      <c r="H66" s="9" t="s">
        <v>199</v>
      </c>
      <c r="I66" s="12" t="str">
        <f t="shared" si="1"/>
        <v>No</v>
      </c>
      <c r="J66" s="13" t="s">
        <v>278</v>
      </c>
      <c r="K66" s="14">
        <f>IF(OR(INDEX(Standardised!$B$5:$B$15,MATCH(A66,Standardised!$A$5:$A$15,0))="Complete",INDEX(Standardised!$B$5:$B$15,MATCH(A66,Standardised!$A$5:$A$15,0))="Truncated"),(E66-INDEX(Standardised!$D$5:$D$15,MATCH(A66,Standardised!$A$5:$A$15,0)))/INDEX(Standardised!$E$5:$E$15,MATCH(A66,Standardised!$A$5:$A$15,0)),"")</f>
        <v>0.28499976674619087</v>
      </c>
    </row>
    <row r="67" spans="1:11" x14ac:dyDescent="0.35">
      <c r="A67" s="7" t="s">
        <v>68</v>
      </c>
      <c r="B67" s="10" t="str">
        <f>INDEX(Studies!$G$5:$G$15,MATCH(A67,Studies!$A$5:$A$15,0))</f>
        <v>India</v>
      </c>
      <c r="C67" s="10" t="str">
        <f>INDEX(Studies!$N$5:$N$15,MATCH(A67,Studies!$A$5:$A$15,0))</f>
        <v>Seed</v>
      </c>
      <c r="D67" s="8" t="s">
        <v>279</v>
      </c>
      <c r="E67" s="11">
        <v>0.730348</v>
      </c>
      <c r="F67" s="7">
        <v>21</v>
      </c>
      <c r="G67" s="7" t="s">
        <v>280</v>
      </c>
      <c r="H67" s="9" t="s">
        <v>199</v>
      </c>
      <c r="I67" s="12" t="str">
        <f t="shared" si="1"/>
        <v>No</v>
      </c>
      <c r="J67" s="13"/>
      <c r="K67" s="14">
        <f>IF(OR(INDEX(Standardised!$B$5:$B$15,MATCH(A67,Standardised!$A$5:$A$15,0))="Complete",INDEX(Standardised!$B$5:$B$15,MATCH(A67,Standardised!$A$5:$A$15,0))="Truncated"),(E67-INDEX(Standardised!$D$5:$D$15,MATCH(A67,Standardised!$A$5:$A$15,0)))/INDEX(Standardised!$E$5:$E$15,MATCH(A67,Standardised!$A$5:$A$15,0)),"")</f>
        <v>0.14475334039944424</v>
      </c>
    </row>
    <row r="68" spans="1:11" x14ac:dyDescent="0.35">
      <c r="A68" s="7" t="s">
        <v>68</v>
      </c>
      <c r="B68" s="10" t="str">
        <f>INDEX(Studies!$G$5:$G$15,MATCH(A68,Studies!$A$5:$A$15,0))</f>
        <v>India</v>
      </c>
      <c r="C68" s="10" t="str">
        <f>INDEX(Studies!$N$5:$N$15,MATCH(A68,Studies!$A$5:$A$15,0))</f>
        <v>Seed</v>
      </c>
      <c r="D68" s="8" t="s">
        <v>281</v>
      </c>
      <c r="E68" s="11">
        <v>0.730348</v>
      </c>
      <c r="F68" s="7">
        <v>22</v>
      </c>
      <c r="G68" s="7" t="s">
        <v>254</v>
      </c>
      <c r="H68" s="9" t="s">
        <v>199</v>
      </c>
      <c r="I68" s="12" t="str">
        <f t="shared" si="1"/>
        <v>No</v>
      </c>
      <c r="J68" s="13" t="s">
        <v>278</v>
      </c>
      <c r="K68" s="14">
        <f>IF(OR(INDEX(Standardised!$B$5:$B$15,MATCH(A68,Standardised!$A$5:$A$15,0))="Complete",INDEX(Standardised!$B$5:$B$15,MATCH(A68,Standardised!$A$5:$A$15,0))="Truncated"),(E68-INDEX(Standardised!$D$5:$D$15,MATCH(A68,Standardised!$A$5:$A$15,0)))/INDEX(Standardised!$E$5:$E$15,MATCH(A68,Standardised!$A$5:$A$15,0)),"")</f>
        <v>0.14475334039944424</v>
      </c>
    </row>
    <row r="69" spans="1:11" x14ac:dyDescent="0.35">
      <c r="A69" s="7" t="s">
        <v>68</v>
      </c>
      <c r="B69" s="10" t="str">
        <f>INDEX(Studies!$G$5:$G$15,MATCH(A69,Studies!$A$5:$A$15,0))</f>
        <v>India</v>
      </c>
      <c r="C69" s="10" t="str">
        <f>INDEX(Studies!$N$5:$N$15,MATCH(A69,Studies!$A$5:$A$15,0))</f>
        <v>Seed</v>
      </c>
      <c r="D69" s="8" t="s">
        <v>282</v>
      </c>
      <c r="E69" s="11">
        <v>0.72736299999999998</v>
      </c>
      <c r="F69" s="7">
        <v>23</v>
      </c>
      <c r="G69" s="7" t="s">
        <v>190</v>
      </c>
      <c r="H69" s="9" t="s">
        <v>199</v>
      </c>
      <c r="I69" s="12" t="str">
        <f t="shared" ref="I69:I100" si="2">IF(AND(C69="Seed",H69="Direct",G69&lt;&gt;""),"Yes","No")</f>
        <v>No</v>
      </c>
      <c r="J69" s="13" t="s">
        <v>283</v>
      </c>
      <c r="K69" s="14">
        <f>IF(OR(INDEX(Standardised!$B$5:$B$15,MATCH(A69,Standardised!$A$5:$A$15,0))="Complete",INDEX(Standardised!$B$5:$B$15,MATCH(A69,Standardised!$A$5:$A$15,0))="Truncated"),(E69-INDEX(Standardised!$D$5:$D$15,MATCH(A69,Standardised!$A$5:$A$15,0)))/INDEX(Standardised!$E$5:$E$15,MATCH(A69,Standardised!$A$5:$A$15,0)),"")</f>
        <v>8.4647729107981073E-2</v>
      </c>
    </row>
    <row r="70" spans="1:11" x14ac:dyDescent="0.35">
      <c r="A70" s="7" t="s">
        <v>68</v>
      </c>
      <c r="B70" s="10" t="str">
        <f>INDEX(Studies!$G$5:$G$15,MATCH(A70,Studies!$A$5:$A$15,0))</f>
        <v>India</v>
      </c>
      <c r="C70" s="10" t="str">
        <f>INDEX(Studies!$N$5:$N$15,MATCH(A70,Studies!$A$5:$A$15,0))</f>
        <v>Seed</v>
      </c>
      <c r="D70" s="8" t="s">
        <v>284</v>
      </c>
      <c r="E70" s="11">
        <v>0.72437799999999997</v>
      </c>
      <c r="F70" s="7">
        <v>24</v>
      </c>
      <c r="G70" s="7" t="s">
        <v>222</v>
      </c>
      <c r="H70" s="9" t="s">
        <v>199</v>
      </c>
      <c r="I70" s="12" t="str">
        <f t="shared" si="2"/>
        <v>No</v>
      </c>
      <c r="J70" s="13"/>
      <c r="K70" s="14">
        <f>IF(OR(INDEX(Standardised!$B$5:$B$15,MATCH(A70,Standardised!$A$5:$A$15,0))="Complete",INDEX(Standardised!$B$5:$B$15,MATCH(A70,Standardised!$A$5:$A$15,0))="Truncated"),(E70-INDEX(Standardised!$D$5:$D$15,MATCH(A70,Standardised!$A$5:$A$15,0)))/INDEX(Standardised!$E$5:$E$15,MATCH(A70,Standardised!$A$5:$A$15,0)),"")</f>
        <v>2.4542117816517904E-2</v>
      </c>
    </row>
    <row r="71" spans="1:11" x14ac:dyDescent="0.35">
      <c r="A71" s="7" t="s">
        <v>68</v>
      </c>
      <c r="B71" s="10" t="str">
        <f>INDEX(Studies!$G$5:$G$15,MATCH(A71,Studies!$A$5:$A$15,0))</f>
        <v>India</v>
      </c>
      <c r="C71" s="10" t="str">
        <f>INDEX(Studies!$N$5:$N$15,MATCH(A71,Studies!$A$5:$A$15,0))</f>
        <v>Seed</v>
      </c>
      <c r="D71" s="8" t="s">
        <v>285</v>
      </c>
      <c r="E71" s="11">
        <v>0.70049799999999995</v>
      </c>
      <c r="F71" s="7">
        <v>25</v>
      </c>
      <c r="G71" s="7" t="s">
        <v>183</v>
      </c>
      <c r="H71" s="9" t="s">
        <v>199</v>
      </c>
      <c r="I71" s="12" t="str">
        <f t="shared" si="2"/>
        <v>No</v>
      </c>
      <c r="J71" s="13" t="s">
        <v>286</v>
      </c>
      <c r="K71" s="14">
        <f>IF(OR(INDEX(Standardised!$B$5:$B$15,MATCH(A71,Standardised!$A$5:$A$15,0))="Complete",INDEX(Standardised!$B$5:$B$15,MATCH(A71,Standardised!$A$5:$A$15,0))="Truncated"),(E71-INDEX(Standardised!$D$5:$D$15,MATCH(A71,Standardised!$A$5:$A$15,0)))/INDEX(Standardised!$E$5:$E$15,MATCH(A71,Standardised!$A$5:$A$15,0)),"")</f>
        <v>-0.45630277251518525</v>
      </c>
    </row>
    <row r="72" spans="1:11" x14ac:dyDescent="0.35">
      <c r="A72" s="7" t="s">
        <v>68</v>
      </c>
      <c r="B72" s="10" t="str">
        <f>INDEX(Studies!$G$5:$G$15,MATCH(A72,Studies!$A$5:$A$15,0))</f>
        <v>India</v>
      </c>
      <c r="C72" s="10" t="str">
        <f>INDEX(Studies!$N$5:$N$15,MATCH(A72,Studies!$A$5:$A$15,0))</f>
        <v>Seed</v>
      </c>
      <c r="D72" s="8" t="s">
        <v>287</v>
      </c>
      <c r="E72" s="11">
        <v>0.70049799999999995</v>
      </c>
      <c r="F72" s="7">
        <v>26</v>
      </c>
      <c r="G72" s="7" t="s">
        <v>222</v>
      </c>
      <c r="H72" s="9" t="s">
        <v>199</v>
      </c>
      <c r="I72" s="12" t="str">
        <f t="shared" si="2"/>
        <v>No</v>
      </c>
      <c r="J72" s="13"/>
      <c r="K72" s="14">
        <f>IF(OR(INDEX(Standardised!$B$5:$B$15,MATCH(A72,Standardised!$A$5:$A$15,0))="Complete",INDEX(Standardised!$B$5:$B$15,MATCH(A72,Standardised!$A$5:$A$15,0))="Truncated"),(E72-INDEX(Standardised!$D$5:$D$15,MATCH(A72,Standardised!$A$5:$A$15,0)))/INDEX(Standardised!$E$5:$E$15,MATCH(A72,Standardised!$A$5:$A$15,0)),"")</f>
        <v>-0.45630277251518525</v>
      </c>
    </row>
    <row r="73" spans="1:11" x14ac:dyDescent="0.35">
      <c r="A73" s="7" t="s">
        <v>68</v>
      </c>
      <c r="B73" s="10" t="str">
        <f>INDEX(Studies!$G$5:$G$15,MATCH(A73,Studies!$A$5:$A$15,0))</f>
        <v>India</v>
      </c>
      <c r="C73" s="10" t="str">
        <f>INDEX(Studies!$N$5:$N$15,MATCH(A73,Studies!$A$5:$A$15,0))</f>
        <v>Seed</v>
      </c>
      <c r="D73" s="8" t="s">
        <v>288</v>
      </c>
      <c r="E73" s="11">
        <v>0.69452700000000001</v>
      </c>
      <c r="F73" s="7">
        <v>27</v>
      </c>
      <c r="G73" s="7" t="s">
        <v>254</v>
      </c>
      <c r="H73" s="9" t="s">
        <v>176</v>
      </c>
      <c r="I73" s="12" t="str">
        <f t="shared" si="2"/>
        <v>Yes</v>
      </c>
      <c r="J73" s="13"/>
      <c r="K73" s="14">
        <f>IF(OR(INDEX(Standardised!$B$5:$B$15,MATCH(A73,Standardised!$A$5:$A$15,0))="Complete",INDEX(Standardised!$B$5:$B$15,MATCH(A73,Standardised!$A$5:$A$15,0))="Truncated"),(E73-INDEX(Standardised!$D$5:$D$15,MATCH(A73,Standardised!$A$5:$A$15,0)))/INDEX(Standardised!$E$5:$E$15,MATCH(A73,Standardised!$A$5:$A$15,0)),"")</f>
        <v>-0.57653413098128958</v>
      </c>
    </row>
    <row r="74" spans="1:11" x14ac:dyDescent="0.35">
      <c r="A74" s="7" t="s">
        <v>68</v>
      </c>
      <c r="B74" s="10" t="str">
        <f>INDEX(Studies!$G$5:$G$15,MATCH(A74,Studies!$A$5:$A$15,0))</f>
        <v>India</v>
      </c>
      <c r="C74" s="10" t="str">
        <f>INDEX(Studies!$N$5:$N$15,MATCH(A74,Studies!$A$5:$A$15,0))</f>
        <v>Seed</v>
      </c>
      <c r="D74" s="8" t="s">
        <v>289</v>
      </c>
      <c r="E74" s="11">
        <v>0.69253699999999996</v>
      </c>
      <c r="F74" s="7">
        <v>28</v>
      </c>
      <c r="G74" s="7" t="s">
        <v>272</v>
      </c>
      <c r="H74" s="9" t="s">
        <v>176</v>
      </c>
      <c r="I74" s="12" t="str">
        <f t="shared" si="2"/>
        <v>Yes</v>
      </c>
      <c r="J74" s="13"/>
      <c r="K74" s="14">
        <f>IF(OR(INDEX(Standardised!$B$5:$B$15,MATCH(A74,Standardised!$A$5:$A$15,0))="Complete",INDEX(Standardised!$B$5:$B$15,MATCH(A74,Standardised!$A$5:$A$15,0))="Truncated"),(E74-INDEX(Standardised!$D$5:$D$15,MATCH(A74,Standardised!$A$5:$A$15,0)))/INDEX(Standardised!$E$5:$E$15,MATCH(A74,Standardised!$A$5:$A$15,0)),"")</f>
        <v>-0.61660453850893249</v>
      </c>
    </row>
    <row r="75" spans="1:11" x14ac:dyDescent="0.35">
      <c r="A75" s="7" t="s">
        <v>68</v>
      </c>
      <c r="B75" s="10" t="str">
        <f>INDEX(Studies!$G$5:$G$15,MATCH(A75,Studies!$A$5:$A$15,0))</f>
        <v>India</v>
      </c>
      <c r="C75" s="10" t="str">
        <f>INDEX(Studies!$N$5:$N$15,MATCH(A75,Studies!$A$5:$A$15,0))</f>
        <v>Seed</v>
      </c>
      <c r="D75" s="8" t="s">
        <v>290</v>
      </c>
      <c r="E75" s="11">
        <v>0.69154199999999999</v>
      </c>
      <c r="F75" s="7">
        <v>29</v>
      </c>
      <c r="G75" s="7" t="s">
        <v>198</v>
      </c>
      <c r="H75" s="9" t="s">
        <v>199</v>
      </c>
      <c r="I75" s="12" t="str">
        <f t="shared" si="2"/>
        <v>No</v>
      </c>
      <c r="J75" s="13"/>
      <c r="K75" s="14">
        <f>IF(OR(INDEX(Standardised!$B$5:$B$15,MATCH(A75,Standardised!$A$5:$A$15,0))="Complete",INDEX(Standardised!$B$5:$B$15,MATCH(A75,Standardised!$A$5:$A$15,0))="Truncated"),(E75-INDEX(Standardised!$D$5:$D$15,MATCH(A75,Standardised!$A$5:$A$15,0)))/INDEX(Standardised!$E$5:$E$15,MATCH(A75,Standardised!$A$5:$A$15,0)),"")</f>
        <v>-0.63663974227275277</v>
      </c>
    </row>
    <row r="76" spans="1:11" x14ac:dyDescent="0.35">
      <c r="A76" s="7" t="s">
        <v>68</v>
      </c>
      <c r="B76" s="10" t="str">
        <f>INDEX(Studies!$G$5:$G$15,MATCH(A76,Studies!$A$5:$A$15,0))</f>
        <v>India</v>
      </c>
      <c r="C76" s="10" t="str">
        <f>INDEX(Studies!$N$5:$N$15,MATCH(A76,Studies!$A$5:$A$15,0))</f>
        <v>Seed</v>
      </c>
      <c r="D76" s="8" t="s">
        <v>291</v>
      </c>
      <c r="E76" s="11">
        <v>0.68756200000000001</v>
      </c>
      <c r="F76" s="7">
        <v>30</v>
      </c>
      <c r="G76" s="7" t="s">
        <v>205</v>
      </c>
      <c r="H76" s="9" t="s">
        <v>176</v>
      </c>
      <c r="I76" s="12" t="str">
        <f t="shared" si="2"/>
        <v>Yes</v>
      </c>
      <c r="J76" s="13"/>
      <c r="K76" s="14">
        <f>IF(OR(INDEX(Standardised!$B$5:$B$15,MATCH(A76,Standardised!$A$5:$A$15,0))="Complete",INDEX(Standardised!$B$5:$B$15,MATCH(A76,Standardised!$A$5:$A$15,0))="Truncated"),(E76-INDEX(Standardised!$D$5:$D$15,MATCH(A76,Standardised!$A$5:$A$15,0)))/INDEX(Standardised!$E$5:$E$15,MATCH(A76,Standardised!$A$5:$A$15,0)),"")</f>
        <v>-0.71678055732803625</v>
      </c>
    </row>
    <row r="77" spans="1:11" ht="25" x14ac:dyDescent="0.35">
      <c r="A77" s="7" t="s">
        <v>68</v>
      </c>
      <c r="B77" s="10" t="str">
        <f>INDEX(Studies!$G$5:$G$15,MATCH(A77,Studies!$A$5:$A$15,0))</f>
        <v>India</v>
      </c>
      <c r="C77" s="10" t="str">
        <f>INDEX(Studies!$N$5:$N$15,MATCH(A77,Studies!$A$5:$A$15,0))</f>
        <v>Seed</v>
      </c>
      <c r="D77" s="8" t="s">
        <v>292</v>
      </c>
      <c r="E77" s="11">
        <v>0.67860699999999996</v>
      </c>
      <c r="F77" s="7">
        <v>31</v>
      </c>
      <c r="G77" s="7" t="s">
        <v>198</v>
      </c>
      <c r="H77" s="9" t="s">
        <v>176</v>
      </c>
      <c r="I77" s="12" t="str">
        <f t="shared" si="2"/>
        <v>Yes</v>
      </c>
      <c r="J77" s="13"/>
      <c r="K77" s="14">
        <f>IF(OR(INDEX(Standardised!$B$5:$B$15,MATCH(A77,Standardised!$A$5:$A$15,0))="Complete",INDEX(Standardised!$B$5:$B$15,MATCH(A77,Standardised!$A$5:$A$15,0))="Truncated"),(E77-INDEX(Standardised!$D$5:$D$15,MATCH(A77,Standardised!$A$5:$A$15,0)))/INDEX(Standardised!$E$5:$E$15,MATCH(A77,Standardised!$A$5:$A$15,0)),"")</f>
        <v>-0.89709739120242582</v>
      </c>
    </row>
    <row r="78" spans="1:11" x14ac:dyDescent="0.35">
      <c r="A78" s="7" t="s">
        <v>68</v>
      </c>
      <c r="B78" s="10" t="str">
        <f>INDEX(Studies!$G$5:$G$15,MATCH(A78,Studies!$A$5:$A$15,0))</f>
        <v>India</v>
      </c>
      <c r="C78" s="10" t="str">
        <f>INDEX(Studies!$N$5:$N$15,MATCH(A78,Studies!$A$5:$A$15,0))</f>
        <v>Seed</v>
      </c>
      <c r="D78" s="8" t="s">
        <v>293</v>
      </c>
      <c r="E78" s="11">
        <v>0.67363200000000001</v>
      </c>
      <c r="F78" s="7">
        <v>32</v>
      </c>
      <c r="G78" s="7" t="s">
        <v>280</v>
      </c>
      <c r="H78" s="9" t="s">
        <v>199</v>
      </c>
      <c r="I78" s="12" t="str">
        <f t="shared" si="2"/>
        <v>No</v>
      </c>
      <c r="J78" s="13"/>
      <c r="K78" s="14">
        <f>IF(OR(INDEX(Standardised!$B$5:$B$15,MATCH(A78,Standardised!$A$5:$A$15,0))="Complete",INDEX(Standardised!$B$5:$B$15,MATCH(A78,Standardised!$A$5:$A$15,0))="Truncated"),(E78-INDEX(Standardised!$D$5:$D$15,MATCH(A78,Standardised!$A$5:$A$15,0)))/INDEX(Standardised!$E$5:$E$15,MATCH(A78,Standardised!$A$5:$A$15,0)),"")</f>
        <v>-0.99727341002152958</v>
      </c>
    </row>
    <row r="79" spans="1:11" x14ac:dyDescent="0.35">
      <c r="A79" s="7" t="s">
        <v>68</v>
      </c>
      <c r="B79" s="10" t="str">
        <f>INDEX(Studies!$G$5:$G$15,MATCH(A79,Studies!$A$5:$A$15,0))</f>
        <v>India</v>
      </c>
      <c r="C79" s="10" t="str">
        <f>INDEX(Studies!$N$5:$N$15,MATCH(A79,Studies!$A$5:$A$15,0))</f>
        <v>Seed</v>
      </c>
      <c r="D79" s="8" t="s">
        <v>294</v>
      </c>
      <c r="E79" s="11">
        <v>0.66965200000000003</v>
      </c>
      <c r="F79" s="7">
        <v>33</v>
      </c>
      <c r="G79" s="7" t="s">
        <v>222</v>
      </c>
      <c r="H79" s="9" t="s">
        <v>199</v>
      </c>
      <c r="I79" s="12" t="str">
        <f t="shared" si="2"/>
        <v>No</v>
      </c>
      <c r="J79" s="13"/>
      <c r="K79" s="14">
        <f>IF(OR(INDEX(Standardised!$B$5:$B$15,MATCH(A79,Standardised!$A$5:$A$15,0))="Complete",INDEX(Standardised!$B$5:$B$15,MATCH(A79,Standardised!$A$5:$A$15,0))="Truncated"),(E79-INDEX(Standardised!$D$5:$D$15,MATCH(A79,Standardised!$A$5:$A$15,0)))/INDEX(Standardised!$E$5:$E$15,MATCH(A79,Standardised!$A$5:$A$15,0)),"")</f>
        <v>-1.0774142250768131</v>
      </c>
    </row>
    <row r="80" spans="1:11" x14ac:dyDescent="0.35">
      <c r="A80" s="7" t="s">
        <v>68</v>
      </c>
      <c r="B80" s="10" t="str">
        <f>INDEX(Studies!$G$5:$G$15,MATCH(A80,Studies!$A$5:$A$15,0))</f>
        <v>India</v>
      </c>
      <c r="C80" s="10" t="str">
        <f>INDEX(Studies!$N$5:$N$15,MATCH(A80,Studies!$A$5:$A$15,0))</f>
        <v>Seed</v>
      </c>
      <c r="D80" s="8" t="s">
        <v>295</v>
      </c>
      <c r="E80" s="11">
        <v>0.66567200000000004</v>
      </c>
      <c r="F80" s="7">
        <v>34</v>
      </c>
      <c r="G80" s="7" t="s">
        <v>296</v>
      </c>
      <c r="H80" s="9" t="s">
        <v>176</v>
      </c>
      <c r="I80" s="12" t="str">
        <f t="shared" si="2"/>
        <v>Yes</v>
      </c>
      <c r="J80" s="13"/>
      <c r="K80" s="14">
        <f>IF(OR(INDEX(Standardised!$B$5:$B$15,MATCH(A80,Standardised!$A$5:$A$15,0))="Complete",INDEX(Standardised!$B$5:$B$15,MATCH(A80,Standardised!$A$5:$A$15,0))="Truncated"),(E80-INDEX(Standardised!$D$5:$D$15,MATCH(A80,Standardised!$A$5:$A$15,0)))/INDEX(Standardised!$E$5:$E$15,MATCH(A80,Standardised!$A$5:$A$15,0)),"")</f>
        <v>-1.1575550401320966</v>
      </c>
    </row>
    <row r="81" spans="1:11" x14ac:dyDescent="0.35">
      <c r="A81" s="7" t="s">
        <v>68</v>
      </c>
      <c r="B81" s="10" t="str">
        <f>INDEX(Studies!$G$5:$G$15,MATCH(A81,Studies!$A$5:$A$15,0))</f>
        <v>India</v>
      </c>
      <c r="C81" s="10" t="str">
        <f>INDEX(Studies!$N$5:$N$15,MATCH(A81,Studies!$A$5:$A$15,0))</f>
        <v>Seed</v>
      </c>
      <c r="D81" s="8" t="s">
        <v>297</v>
      </c>
      <c r="E81" s="11">
        <v>0.66567200000000004</v>
      </c>
      <c r="F81" s="7">
        <v>35</v>
      </c>
      <c r="G81" s="7" t="s">
        <v>254</v>
      </c>
      <c r="H81" s="9" t="s">
        <v>199</v>
      </c>
      <c r="I81" s="12" t="str">
        <f t="shared" si="2"/>
        <v>No</v>
      </c>
      <c r="J81" s="13"/>
      <c r="K81" s="14">
        <f>IF(OR(INDEX(Standardised!$B$5:$B$15,MATCH(A81,Standardised!$A$5:$A$15,0))="Complete",INDEX(Standardised!$B$5:$B$15,MATCH(A81,Standardised!$A$5:$A$15,0))="Truncated"),(E81-INDEX(Standardised!$D$5:$D$15,MATCH(A81,Standardised!$A$5:$A$15,0)))/INDEX(Standardised!$E$5:$E$15,MATCH(A81,Standardised!$A$5:$A$15,0)),"")</f>
        <v>-1.1575550401320966</v>
      </c>
    </row>
    <row r="82" spans="1:11" x14ac:dyDescent="0.35">
      <c r="A82" s="7" t="s">
        <v>68</v>
      </c>
      <c r="B82" s="10" t="str">
        <f>INDEX(Studies!$G$5:$G$15,MATCH(A82,Studies!$A$5:$A$15,0))</f>
        <v>India</v>
      </c>
      <c r="C82" s="10" t="str">
        <f>INDEX(Studies!$N$5:$N$15,MATCH(A82,Studies!$A$5:$A$15,0))</f>
        <v>Seed</v>
      </c>
      <c r="D82" s="8" t="s">
        <v>298</v>
      </c>
      <c r="E82" s="11">
        <v>0.66268700000000003</v>
      </c>
      <c r="F82" s="7">
        <v>36</v>
      </c>
      <c r="G82" s="7" t="s">
        <v>198</v>
      </c>
      <c r="H82" s="9" t="s">
        <v>199</v>
      </c>
      <c r="I82" s="12" t="str">
        <f t="shared" si="2"/>
        <v>No</v>
      </c>
      <c r="J82" s="13"/>
      <c r="K82" s="14">
        <f>IF(OR(INDEX(Standardised!$B$5:$B$15,MATCH(A82,Standardised!$A$5:$A$15,0))="Complete",INDEX(Standardised!$B$5:$B$15,MATCH(A82,Standardised!$A$5:$A$15,0))="Truncated"),(E82-INDEX(Standardised!$D$5:$D$15,MATCH(A82,Standardised!$A$5:$A$15,0)))/INDEX(Standardised!$E$5:$E$15,MATCH(A82,Standardised!$A$5:$A$15,0)),"")</f>
        <v>-1.2176606514235597</v>
      </c>
    </row>
    <row r="83" spans="1:11" x14ac:dyDescent="0.35">
      <c r="A83" s="7" t="s">
        <v>68</v>
      </c>
      <c r="B83" s="10" t="str">
        <f>INDEX(Studies!$G$5:$G$15,MATCH(A83,Studies!$A$5:$A$15,0))</f>
        <v>India</v>
      </c>
      <c r="C83" s="10" t="str">
        <f>INDEX(Studies!$N$5:$N$15,MATCH(A83,Studies!$A$5:$A$15,0))</f>
        <v>Seed</v>
      </c>
      <c r="D83" s="8" t="s">
        <v>299</v>
      </c>
      <c r="E83" s="11">
        <v>0.65671599999999997</v>
      </c>
      <c r="F83" s="7">
        <v>37</v>
      </c>
      <c r="G83" s="7" t="s">
        <v>188</v>
      </c>
      <c r="H83" s="9" t="s">
        <v>176</v>
      </c>
      <c r="I83" s="12" t="str">
        <f t="shared" si="2"/>
        <v>Yes</v>
      </c>
      <c r="J83" s="13"/>
      <c r="K83" s="14">
        <f>IF(OR(INDEX(Standardised!$B$5:$B$15,MATCH(A83,Standardised!$A$5:$A$15,0))="Complete",INDEX(Standardised!$B$5:$B$15,MATCH(A83,Standardised!$A$5:$A$15,0))="Truncated"),(E83-INDEX(Standardised!$D$5:$D$15,MATCH(A83,Standardised!$A$5:$A$15,0)))/INDEX(Standardised!$E$5:$E$15,MATCH(A83,Standardised!$A$5:$A$15,0)),"")</f>
        <v>-1.3378920098896663</v>
      </c>
    </row>
    <row r="84" spans="1:11" x14ac:dyDescent="0.35">
      <c r="A84" s="7" t="s">
        <v>68</v>
      </c>
      <c r="B84" s="10" t="str">
        <f>INDEX(Studies!$G$5:$G$15,MATCH(A84,Studies!$A$5:$A$15,0))</f>
        <v>India</v>
      </c>
      <c r="C84" s="10" t="str">
        <f>INDEX(Studies!$N$5:$N$15,MATCH(A84,Studies!$A$5:$A$15,0))</f>
        <v>Seed</v>
      </c>
      <c r="D84" s="8" t="s">
        <v>300</v>
      </c>
      <c r="E84" s="11">
        <v>0.65671599999999997</v>
      </c>
      <c r="F84" s="7">
        <v>38</v>
      </c>
      <c r="G84" s="7" t="s">
        <v>296</v>
      </c>
      <c r="H84" s="9" t="s">
        <v>176</v>
      </c>
      <c r="I84" s="12" t="str">
        <f t="shared" si="2"/>
        <v>Yes</v>
      </c>
      <c r="J84" s="13"/>
      <c r="K84" s="14">
        <f>IF(OR(INDEX(Standardised!$B$5:$B$15,MATCH(A84,Standardised!$A$5:$A$15,0))="Complete",INDEX(Standardised!$B$5:$B$15,MATCH(A84,Standardised!$A$5:$A$15,0))="Truncated"),(E84-INDEX(Standardised!$D$5:$D$15,MATCH(A84,Standardised!$A$5:$A$15,0)))/INDEX(Standardised!$E$5:$E$15,MATCH(A84,Standardised!$A$5:$A$15,0)),"")</f>
        <v>-1.3378920098896663</v>
      </c>
    </row>
    <row r="85" spans="1:11" x14ac:dyDescent="0.35">
      <c r="A85" s="7" t="s">
        <v>68</v>
      </c>
      <c r="B85" s="10" t="str">
        <f>INDEX(Studies!$G$5:$G$15,MATCH(A85,Studies!$A$5:$A$15,0))</f>
        <v>India</v>
      </c>
      <c r="C85" s="10" t="str">
        <f>INDEX(Studies!$N$5:$N$15,MATCH(A85,Studies!$A$5:$A$15,0))</f>
        <v>Seed</v>
      </c>
      <c r="D85" s="8" t="s">
        <v>301</v>
      </c>
      <c r="E85" s="11">
        <v>0.641791</v>
      </c>
      <c r="F85" s="7">
        <v>39</v>
      </c>
      <c r="G85" s="7" t="s">
        <v>256</v>
      </c>
      <c r="H85" s="9" t="s">
        <v>199</v>
      </c>
      <c r="I85" s="12" t="str">
        <f t="shared" si="2"/>
        <v>No</v>
      </c>
      <c r="J85" s="13"/>
      <c r="K85" s="14">
        <f>IF(OR(INDEX(Standardised!$B$5:$B$15,MATCH(A85,Standardised!$A$5:$A$15,0))="Complete",INDEX(Standardised!$B$5:$B$15,MATCH(A85,Standardised!$A$5:$A$15,0))="Truncated"),(E85-INDEX(Standardised!$D$5:$D$15,MATCH(A85,Standardised!$A$5:$A$15,0)))/INDEX(Standardised!$E$5:$E$15,MATCH(A85,Standardised!$A$5:$A$15,0)),"")</f>
        <v>-1.6384200663469799</v>
      </c>
    </row>
    <row r="86" spans="1:11" x14ac:dyDescent="0.35">
      <c r="A86" s="7" t="s">
        <v>68</v>
      </c>
      <c r="B86" s="10" t="str">
        <f>INDEX(Studies!$G$5:$G$15,MATCH(A86,Studies!$A$5:$A$15,0))</f>
        <v>India</v>
      </c>
      <c r="C86" s="10" t="str">
        <f>INDEX(Studies!$N$5:$N$15,MATCH(A86,Studies!$A$5:$A$15,0))</f>
        <v>Seed</v>
      </c>
      <c r="D86" s="8" t="s">
        <v>302</v>
      </c>
      <c r="E86" s="11">
        <v>0.59402999999999995</v>
      </c>
      <c r="F86" s="7">
        <v>40</v>
      </c>
      <c r="G86" s="7" t="s">
        <v>303</v>
      </c>
      <c r="H86" s="9" t="s">
        <v>176</v>
      </c>
      <c r="I86" s="12" t="str">
        <f t="shared" si="2"/>
        <v>Yes</v>
      </c>
      <c r="J86" s="13"/>
      <c r="K86" s="14">
        <f>IF(OR(INDEX(Standardised!$B$5:$B$15,MATCH(A86,Standardised!$A$5:$A$15,0))="Complete",INDEX(Standardised!$B$5:$B$15,MATCH(A86,Standardised!$A$5:$A$15,0))="Truncated"),(E86-INDEX(Standardised!$D$5:$D$15,MATCH(A86,Standardised!$A$5:$A$15,0)))/INDEX(Standardised!$E$5:$E$15,MATCH(A86,Standardised!$A$5:$A$15,0)),"")</f>
        <v>-2.6001299828935664</v>
      </c>
    </row>
    <row r="87" spans="1:11" x14ac:dyDescent="0.35">
      <c r="A87" s="7" t="s">
        <v>79</v>
      </c>
      <c r="B87" s="10" t="str">
        <f>INDEX(Studies!$G$5:$G$15,MATCH(A87,Studies!$A$5:$A$15,0))</f>
        <v>Sri Lanka</v>
      </c>
      <c r="C87" s="10" t="str">
        <f>INDEX(Studies!$N$5:$N$15,MATCH(A87,Studies!$A$5:$A$15,0))</f>
        <v>Seed</v>
      </c>
      <c r="D87" s="8" t="s">
        <v>304</v>
      </c>
      <c r="E87" s="11">
        <v>0.82940000000000003</v>
      </c>
      <c r="F87" s="7">
        <v>1</v>
      </c>
      <c r="G87" s="7" t="s">
        <v>183</v>
      </c>
      <c r="H87" s="9" t="s">
        <v>199</v>
      </c>
      <c r="I87" s="12" t="str">
        <f t="shared" si="2"/>
        <v>No</v>
      </c>
      <c r="J87" s="13" t="s">
        <v>305</v>
      </c>
      <c r="K87" s="14" t="str">
        <f>IF(OR(INDEX(Standardised!$B$5:$B$15,MATCH(A87,Standardised!$A$5:$A$15,0))="Complete",INDEX(Standardised!$B$5:$B$15,MATCH(A87,Standardised!$A$5:$A$15,0))="Truncated"),(E87-INDEX(Standardised!$D$5:$D$15,MATCH(A87,Standardised!$A$5:$A$15,0)))/INDEX(Standardised!$E$5:$E$15,MATCH(A87,Standardised!$A$5:$A$15,0)),"")</f>
        <v/>
      </c>
    </row>
    <row r="88" spans="1:11" x14ac:dyDescent="0.35">
      <c r="A88" s="7" t="s">
        <v>79</v>
      </c>
      <c r="B88" s="10" t="str">
        <f>INDEX(Studies!$G$5:$G$15,MATCH(A88,Studies!$A$5:$A$15,0))</f>
        <v>Sri Lanka</v>
      </c>
      <c r="C88" s="10" t="str">
        <f>INDEX(Studies!$N$5:$N$15,MATCH(A88,Studies!$A$5:$A$15,0))</f>
        <v>Seed</v>
      </c>
      <c r="D88" s="8" t="s">
        <v>306</v>
      </c>
      <c r="E88" s="11">
        <v>0.82450000000000001</v>
      </c>
      <c r="F88" s="7">
        <v>2</v>
      </c>
      <c r="G88" s="7" t="s">
        <v>216</v>
      </c>
      <c r="H88" s="9" t="s">
        <v>176</v>
      </c>
      <c r="I88" s="12" t="str">
        <f t="shared" si="2"/>
        <v>Yes</v>
      </c>
      <c r="J88" s="13"/>
      <c r="K88" s="14" t="str">
        <f>IF(OR(INDEX(Standardised!$B$5:$B$15,MATCH(A88,Standardised!$A$5:$A$15,0))="Complete",INDEX(Standardised!$B$5:$B$15,MATCH(A88,Standardised!$A$5:$A$15,0))="Truncated"),(E88-INDEX(Standardised!$D$5:$D$15,MATCH(A88,Standardised!$A$5:$A$15,0)))/INDEX(Standardised!$E$5:$E$15,MATCH(A88,Standardised!$A$5:$A$15,0)),"")</f>
        <v/>
      </c>
    </row>
    <row r="89" spans="1:11" x14ac:dyDescent="0.35">
      <c r="A89" s="7" t="s">
        <v>79</v>
      </c>
      <c r="B89" s="10" t="str">
        <f>INDEX(Studies!$G$5:$G$15,MATCH(A89,Studies!$A$5:$A$15,0))</f>
        <v>Sri Lanka</v>
      </c>
      <c r="C89" s="10" t="str">
        <f>INDEX(Studies!$N$5:$N$15,MATCH(A89,Studies!$A$5:$A$15,0))</f>
        <v>Seed</v>
      </c>
      <c r="D89" s="8" t="s">
        <v>307</v>
      </c>
      <c r="E89" s="11">
        <v>0.80979999999999996</v>
      </c>
      <c r="F89" s="7">
        <v>4</v>
      </c>
      <c r="G89" s="7" t="s">
        <v>183</v>
      </c>
      <c r="H89" s="9" t="s">
        <v>176</v>
      </c>
      <c r="I89" s="12" t="str">
        <f t="shared" si="2"/>
        <v>Yes</v>
      </c>
      <c r="J89" s="13"/>
      <c r="K89" s="14" t="str">
        <f>IF(OR(INDEX(Standardised!$B$5:$B$15,MATCH(A89,Standardised!$A$5:$A$15,0))="Complete",INDEX(Standardised!$B$5:$B$15,MATCH(A89,Standardised!$A$5:$A$15,0))="Truncated"),(E89-INDEX(Standardised!$D$5:$D$15,MATCH(A89,Standardised!$A$5:$A$15,0)))/INDEX(Standardised!$E$5:$E$15,MATCH(A89,Standardised!$A$5:$A$15,0)),"")</f>
        <v/>
      </c>
    </row>
    <row r="90" spans="1:11" x14ac:dyDescent="0.35">
      <c r="A90" s="7" t="s">
        <v>79</v>
      </c>
      <c r="B90" s="10" t="str">
        <f>INDEX(Studies!$G$5:$G$15,MATCH(A90,Studies!$A$5:$A$15,0))</f>
        <v>Sri Lanka</v>
      </c>
      <c r="C90" s="10" t="str">
        <f>INDEX(Studies!$N$5:$N$15,MATCH(A90,Studies!$A$5:$A$15,0))</f>
        <v>Seed</v>
      </c>
      <c r="D90" s="8" t="s">
        <v>308</v>
      </c>
      <c r="E90" s="11">
        <v>0.78900000000000003</v>
      </c>
      <c r="F90" s="7">
        <v>6</v>
      </c>
      <c r="G90" s="7" t="s">
        <v>243</v>
      </c>
      <c r="H90" s="9" t="s">
        <v>176</v>
      </c>
      <c r="I90" s="12" t="str">
        <f t="shared" si="2"/>
        <v>Yes</v>
      </c>
      <c r="J90" s="13"/>
      <c r="K90" s="14" t="str">
        <f>IF(OR(INDEX(Standardised!$B$5:$B$15,MATCH(A90,Standardised!$A$5:$A$15,0))="Complete",INDEX(Standardised!$B$5:$B$15,MATCH(A90,Standardised!$A$5:$A$15,0))="Truncated"),(E90-INDEX(Standardised!$D$5:$D$15,MATCH(A90,Standardised!$A$5:$A$15,0)))/INDEX(Standardised!$E$5:$E$15,MATCH(A90,Standardised!$A$5:$A$15,0)),"")</f>
        <v/>
      </c>
    </row>
    <row r="91" spans="1:11" x14ac:dyDescent="0.35">
      <c r="A91" s="7" t="s">
        <v>79</v>
      </c>
      <c r="B91" s="10" t="str">
        <f>INDEX(Studies!$G$5:$G$15,MATCH(A91,Studies!$A$5:$A$15,0))</f>
        <v>Sri Lanka</v>
      </c>
      <c r="C91" s="10" t="str">
        <f>INDEX(Studies!$N$5:$N$15,MATCH(A91,Studies!$A$5:$A$15,0))</f>
        <v>Seed</v>
      </c>
      <c r="D91" s="8" t="s">
        <v>309</v>
      </c>
      <c r="E91" s="11">
        <v>0.65280000000000005</v>
      </c>
      <c r="F91" s="7">
        <v>30</v>
      </c>
      <c r="G91" s="7" t="s">
        <v>188</v>
      </c>
      <c r="H91" s="9" t="s">
        <v>176</v>
      </c>
      <c r="I91" s="12" t="str">
        <f t="shared" si="2"/>
        <v>Yes</v>
      </c>
      <c r="J91" s="13"/>
      <c r="K91" s="14" t="str">
        <f>IF(OR(INDEX(Standardised!$B$5:$B$15,MATCH(A91,Standardised!$A$5:$A$15,0))="Complete",INDEX(Standardised!$B$5:$B$15,MATCH(A91,Standardised!$A$5:$A$15,0))="Truncated"),(E91-INDEX(Standardised!$D$5:$D$15,MATCH(A91,Standardised!$A$5:$A$15,0)))/INDEX(Standardised!$E$5:$E$15,MATCH(A91,Standardised!$A$5:$A$15,0)),"")</f>
        <v/>
      </c>
    </row>
    <row r="92" spans="1:11" x14ac:dyDescent="0.35">
      <c r="A92" s="7" t="s">
        <v>91</v>
      </c>
      <c r="B92" s="10" t="str">
        <f>INDEX(Studies!$G$5:$G$15,MATCH(A92,Studies!$A$5:$A$15,0))</f>
        <v>Sri Lanka</v>
      </c>
      <c r="C92" s="10" t="str">
        <f>INDEX(Studies!$N$5:$N$15,MATCH(A92,Studies!$A$5:$A$15,0))</f>
        <v>Seed</v>
      </c>
      <c r="D92" s="8" t="s">
        <v>310</v>
      </c>
      <c r="E92" s="11">
        <v>0.82</v>
      </c>
      <c r="F92" s="7">
        <v>1</v>
      </c>
      <c r="G92" s="7" t="s">
        <v>190</v>
      </c>
      <c r="H92" s="9" t="s">
        <v>176</v>
      </c>
      <c r="I92" s="12" t="str">
        <f t="shared" si="2"/>
        <v>Yes</v>
      </c>
      <c r="J92" s="13"/>
      <c r="K92" s="14" t="str">
        <f>IF(OR(INDEX(Standardised!$B$5:$B$15,MATCH(A92,Standardised!$A$5:$A$15,0))="Complete",INDEX(Standardised!$B$5:$B$15,MATCH(A92,Standardised!$A$5:$A$15,0))="Truncated"),(E92-INDEX(Standardised!$D$5:$D$15,MATCH(A92,Standardised!$A$5:$A$15,0)))/INDEX(Standardised!$E$5:$E$15,MATCH(A92,Standardised!$A$5:$A$15,0)),"")</f>
        <v/>
      </c>
    </row>
    <row r="93" spans="1:11" x14ac:dyDescent="0.35">
      <c r="A93" s="7" t="s">
        <v>91</v>
      </c>
      <c r="B93" s="10" t="str">
        <f>INDEX(Studies!$G$5:$G$15,MATCH(A93,Studies!$A$5:$A$15,0))</f>
        <v>Sri Lanka</v>
      </c>
      <c r="C93" s="10" t="str">
        <f>INDEX(Studies!$N$5:$N$15,MATCH(A93,Studies!$A$5:$A$15,0))</f>
        <v>Seed</v>
      </c>
      <c r="D93" s="8" t="s">
        <v>311</v>
      </c>
      <c r="E93" s="11">
        <v>0.81</v>
      </c>
      <c r="F93" s="7">
        <v>2</v>
      </c>
      <c r="G93" s="7" t="s">
        <v>190</v>
      </c>
      <c r="H93" s="9" t="s">
        <v>199</v>
      </c>
      <c r="I93" s="12" t="str">
        <f t="shared" si="2"/>
        <v>No</v>
      </c>
      <c r="J93" s="13"/>
      <c r="K93" s="14" t="str">
        <f>IF(OR(INDEX(Standardised!$B$5:$B$15,MATCH(A93,Standardised!$A$5:$A$15,0))="Complete",INDEX(Standardised!$B$5:$B$15,MATCH(A93,Standardised!$A$5:$A$15,0))="Truncated"),(E93-INDEX(Standardised!$D$5:$D$15,MATCH(A93,Standardised!$A$5:$A$15,0)))/INDEX(Standardised!$E$5:$E$15,MATCH(A93,Standardised!$A$5:$A$15,0)),"")</f>
        <v/>
      </c>
    </row>
    <row r="94" spans="1:11" x14ac:dyDescent="0.35">
      <c r="A94" s="7" t="s">
        <v>91</v>
      </c>
      <c r="B94" s="10" t="str">
        <f>INDEX(Studies!$G$5:$G$15,MATCH(A94,Studies!$A$5:$A$15,0))</f>
        <v>Sri Lanka</v>
      </c>
      <c r="C94" s="10" t="str">
        <f>INDEX(Studies!$N$5:$N$15,MATCH(A94,Studies!$A$5:$A$15,0))</f>
        <v>Seed</v>
      </c>
      <c r="D94" s="8" t="s">
        <v>312</v>
      </c>
      <c r="E94" s="11">
        <v>0.8</v>
      </c>
      <c r="F94" s="7">
        <v>3</v>
      </c>
      <c r="G94" s="7" t="s">
        <v>190</v>
      </c>
      <c r="H94" s="9" t="s">
        <v>176</v>
      </c>
      <c r="I94" s="12" t="str">
        <f t="shared" si="2"/>
        <v>Yes</v>
      </c>
      <c r="J94" s="13"/>
      <c r="K94" s="14" t="str">
        <f>IF(OR(INDEX(Standardised!$B$5:$B$15,MATCH(A94,Standardised!$A$5:$A$15,0))="Complete",INDEX(Standardised!$B$5:$B$15,MATCH(A94,Standardised!$A$5:$A$15,0))="Truncated"),(E94-INDEX(Standardised!$D$5:$D$15,MATCH(A94,Standardised!$A$5:$A$15,0)))/INDEX(Standardised!$E$5:$E$15,MATCH(A94,Standardised!$A$5:$A$15,0)),"")</f>
        <v/>
      </c>
    </row>
    <row r="95" spans="1:11" x14ac:dyDescent="0.35">
      <c r="A95" s="7" t="s">
        <v>91</v>
      </c>
      <c r="B95" s="10" t="str">
        <f>INDEX(Studies!$G$5:$G$15,MATCH(A95,Studies!$A$5:$A$15,0))</f>
        <v>Sri Lanka</v>
      </c>
      <c r="C95" s="10" t="str">
        <f>INDEX(Studies!$N$5:$N$15,MATCH(A95,Studies!$A$5:$A$15,0))</f>
        <v>Seed</v>
      </c>
      <c r="D95" s="8" t="s">
        <v>313</v>
      </c>
      <c r="E95" s="11">
        <v>0.79</v>
      </c>
      <c r="F95" s="7">
        <v>4</v>
      </c>
      <c r="G95" s="7" t="s">
        <v>190</v>
      </c>
      <c r="H95" s="9" t="s">
        <v>176</v>
      </c>
      <c r="I95" s="12" t="str">
        <f t="shared" si="2"/>
        <v>Yes</v>
      </c>
      <c r="J95" s="13"/>
      <c r="K95" s="14" t="str">
        <f>IF(OR(INDEX(Standardised!$B$5:$B$15,MATCH(A95,Standardised!$A$5:$A$15,0))="Complete",INDEX(Standardised!$B$5:$B$15,MATCH(A95,Standardised!$A$5:$A$15,0))="Truncated"),(E95-INDEX(Standardised!$D$5:$D$15,MATCH(A95,Standardised!$A$5:$A$15,0)))/INDEX(Standardised!$E$5:$E$15,MATCH(A95,Standardised!$A$5:$A$15,0)),"")</f>
        <v/>
      </c>
    </row>
    <row r="96" spans="1:11" x14ac:dyDescent="0.35">
      <c r="A96" s="7" t="s">
        <v>91</v>
      </c>
      <c r="B96" s="10" t="str">
        <f>INDEX(Studies!$G$5:$G$15,MATCH(A96,Studies!$A$5:$A$15,0))</f>
        <v>Sri Lanka</v>
      </c>
      <c r="C96" s="10" t="str">
        <f>INDEX(Studies!$N$5:$N$15,MATCH(A96,Studies!$A$5:$A$15,0))</f>
        <v>Seed</v>
      </c>
      <c r="D96" s="8" t="s">
        <v>314</v>
      </c>
      <c r="E96" s="11">
        <v>0.79</v>
      </c>
      <c r="F96" s="7">
        <v>5</v>
      </c>
      <c r="G96" s="7" t="s">
        <v>203</v>
      </c>
      <c r="H96" s="9" t="s">
        <v>176</v>
      </c>
      <c r="I96" s="12" t="str">
        <f t="shared" si="2"/>
        <v>Yes</v>
      </c>
      <c r="J96" s="13"/>
      <c r="K96" s="14" t="str">
        <f>IF(OR(INDEX(Standardised!$B$5:$B$15,MATCH(A96,Standardised!$A$5:$A$15,0))="Complete",INDEX(Standardised!$B$5:$B$15,MATCH(A96,Standardised!$A$5:$A$15,0))="Truncated"),(E96-INDEX(Standardised!$D$5:$D$15,MATCH(A96,Standardised!$A$5:$A$15,0)))/INDEX(Standardised!$E$5:$E$15,MATCH(A96,Standardised!$A$5:$A$15,0)),"")</f>
        <v/>
      </c>
    </row>
    <row r="97" spans="1:11" x14ac:dyDescent="0.35">
      <c r="A97" s="7" t="s">
        <v>101</v>
      </c>
      <c r="B97" s="10" t="str">
        <f>INDEX(Studies!$G$5:$G$15,MATCH(A97,Studies!$A$5:$A$15,0))</f>
        <v>Middle East (10 studies: Malaysia, Palestine, Kuwait, Qatar, Saudi Arabia, Egypt, Bahrain, Oman, Yemen, Vietnam)</v>
      </c>
      <c r="C97" s="10" t="str">
        <f>INDEX(Studies!$N$5:$N$15,MATCH(A97,Studies!$A$5:$A$15,0))</f>
        <v>Validation</v>
      </c>
      <c r="D97" s="8" t="s">
        <v>315</v>
      </c>
      <c r="E97" s="11">
        <v>0.81599999999999995</v>
      </c>
      <c r="F97" s="7">
        <v>2</v>
      </c>
      <c r="G97" s="7" t="s">
        <v>192</v>
      </c>
      <c r="H97" s="9" t="s">
        <v>176</v>
      </c>
      <c r="I97" s="12" t="str">
        <f t="shared" si="2"/>
        <v>No</v>
      </c>
      <c r="J97" s="13"/>
      <c r="K97" s="14">
        <f>IF(OR(INDEX(Standardised!$B$5:$B$15,MATCH(A97,Standardised!$A$5:$A$15,0))="Complete",INDEX(Standardised!$B$5:$B$15,MATCH(A97,Standardised!$A$5:$A$15,0))="Truncated"),(E97-INDEX(Standardised!$D$5:$D$15,MATCH(A97,Standardised!$A$5:$A$15,0)))/INDEX(Standardised!$E$5:$E$15,MATCH(A97,Standardised!$A$5:$A$15,0)),"")</f>
        <v>1.4008212737897965</v>
      </c>
    </row>
    <row r="98" spans="1:11" x14ac:dyDescent="0.35">
      <c r="A98" s="7" t="s">
        <v>101</v>
      </c>
      <c r="B98" s="10" t="str">
        <f>INDEX(Studies!$G$5:$G$15,MATCH(A98,Studies!$A$5:$A$15,0))</f>
        <v>Middle East (10 studies: Malaysia, Palestine, Kuwait, Qatar, Saudi Arabia, Egypt, Bahrain, Oman, Yemen, Vietnam)</v>
      </c>
      <c r="C98" s="10" t="str">
        <f>INDEX(Studies!$N$5:$N$15,MATCH(A98,Studies!$A$5:$A$15,0))</f>
        <v>Validation</v>
      </c>
      <c r="D98" s="8" t="s">
        <v>316</v>
      </c>
      <c r="E98" s="11">
        <v>0.80100000000000005</v>
      </c>
      <c r="F98" s="7">
        <v>3</v>
      </c>
      <c r="G98" s="7" t="s">
        <v>190</v>
      </c>
      <c r="H98" s="9" t="s">
        <v>176</v>
      </c>
      <c r="I98" s="12" t="str">
        <f t="shared" si="2"/>
        <v>No</v>
      </c>
      <c r="J98" s="13"/>
      <c r="K98" s="14">
        <f>IF(OR(INDEX(Standardised!$B$5:$B$15,MATCH(A98,Standardised!$A$5:$A$15,0))="Complete",INDEX(Standardised!$B$5:$B$15,MATCH(A98,Standardised!$A$5:$A$15,0))="Truncated"),(E98-INDEX(Standardised!$D$5:$D$15,MATCH(A98,Standardised!$A$5:$A$15,0)))/INDEX(Standardised!$E$5:$E$15,MATCH(A98,Standardised!$A$5:$A$15,0)),"")</f>
        <v>1.2095367136447082</v>
      </c>
    </row>
    <row r="99" spans="1:11" x14ac:dyDescent="0.35">
      <c r="A99" s="7" t="s">
        <v>101</v>
      </c>
      <c r="B99" s="10" t="str">
        <f>INDEX(Studies!$G$5:$G$15,MATCH(A99,Studies!$A$5:$A$15,0))</f>
        <v>Middle East (10 studies: Malaysia, Palestine, Kuwait, Qatar, Saudi Arabia, Egypt, Bahrain, Oman, Yemen, Vietnam)</v>
      </c>
      <c r="C99" s="10" t="str">
        <f>INDEX(Studies!$N$5:$N$15,MATCH(A99,Studies!$A$5:$A$15,0))</f>
        <v>Validation</v>
      </c>
      <c r="D99" s="8" t="s">
        <v>317</v>
      </c>
      <c r="E99" s="11">
        <v>0.79300000000000004</v>
      </c>
      <c r="F99" s="7">
        <v>4</v>
      </c>
      <c r="G99" s="7" t="s">
        <v>213</v>
      </c>
      <c r="H99" s="9" t="s">
        <v>176</v>
      </c>
      <c r="I99" s="12" t="str">
        <f t="shared" si="2"/>
        <v>No</v>
      </c>
      <c r="J99" s="13"/>
      <c r="K99" s="14">
        <f>IF(OR(INDEX(Standardised!$B$5:$B$15,MATCH(A99,Standardised!$A$5:$A$15,0))="Complete",INDEX(Standardised!$B$5:$B$15,MATCH(A99,Standardised!$A$5:$A$15,0))="Truncated"),(E99-INDEX(Standardised!$D$5:$D$15,MATCH(A99,Standardised!$A$5:$A$15,0)))/INDEX(Standardised!$E$5:$E$15,MATCH(A99,Standardised!$A$5:$A$15,0)),"")</f>
        <v>1.1075182815673272</v>
      </c>
    </row>
    <row r="100" spans="1:11" x14ac:dyDescent="0.35">
      <c r="A100" s="7" t="s">
        <v>101</v>
      </c>
      <c r="B100" s="10" t="str">
        <f>INDEX(Studies!$G$5:$G$15,MATCH(A100,Studies!$A$5:$A$15,0))</f>
        <v>Middle East (10 studies: Malaysia, Palestine, Kuwait, Qatar, Saudi Arabia, Egypt, Bahrain, Oman, Yemen, Vietnam)</v>
      </c>
      <c r="C100" s="10" t="str">
        <f>INDEX(Studies!$N$5:$N$15,MATCH(A100,Studies!$A$5:$A$15,0))</f>
        <v>Validation</v>
      </c>
      <c r="D100" s="8" t="s">
        <v>318</v>
      </c>
      <c r="E100" s="11">
        <v>0.79100000000000004</v>
      </c>
      <c r="F100" s="7">
        <v>5</v>
      </c>
      <c r="G100" s="7" t="s">
        <v>213</v>
      </c>
      <c r="H100" s="9" t="s">
        <v>199</v>
      </c>
      <c r="I100" s="12" t="str">
        <f t="shared" si="2"/>
        <v>No</v>
      </c>
      <c r="J100" s="13" t="s">
        <v>319</v>
      </c>
      <c r="K100" s="14">
        <f>IF(OR(INDEX(Standardised!$B$5:$B$15,MATCH(A100,Standardised!$A$5:$A$15,0))="Complete",INDEX(Standardised!$B$5:$B$15,MATCH(A100,Standardised!$A$5:$A$15,0))="Truncated"),(E100-INDEX(Standardised!$D$5:$D$15,MATCH(A100,Standardised!$A$5:$A$15,0)))/INDEX(Standardised!$E$5:$E$15,MATCH(A100,Standardised!$A$5:$A$15,0)),"")</f>
        <v>1.0820136735479819</v>
      </c>
    </row>
    <row r="101" spans="1:11" x14ac:dyDescent="0.35">
      <c r="A101" s="7" t="s">
        <v>101</v>
      </c>
      <c r="B101" s="10" t="str">
        <f>INDEX(Studies!$G$5:$G$15,MATCH(A101,Studies!$A$5:$A$15,0))</f>
        <v>Middle East (10 studies: Malaysia, Palestine, Kuwait, Qatar, Saudi Arabia, Egypt, Bahrain, Oman, Yemen, Vietnam)</v>
      </c>
      <c r="C101" s="10" t="str">
        <f>INDEX(Studies!$N$5:$N$15,MATCH(A101,Studies!$A$5:$A$15,0))</f>
        <v>Validation</v>
      </c>
      <c r="D101" s="8" t="s">
        <v>320</v>
      </c>
      <c r="E101" s="11">
        <v>0.78500000000000003</v>
      </c>
      <c r="F101" s="7">
        <v>6</v>
      </c>
      <c r="G101" s="7" t="s">
        <v>213</v>
      </c>
      <c r="H101" s="9" t="s">
        <v>199</v>
      </c>
      <c r="I101" s="12" t="str">
        <f t="shared" ref="I101:I132" si="3">IF(AND(C101="Seed",H101="Direct",G101&lt;&gt;""),"Yes","No")</f>
        <v>No</v>
      </c>
      <c r="J101" s="13"/>
      <c r="K101" s="14">
        <f>IF(OR(INDEX(Standardised!$B$5:$B$15,MATCH(A101,Standardised!$A$5:$A$15,0))="Complete",INDEX(Standardised!$B$5:$B$15,MATCH(A101,Standardised!$A$5:$A$15,0))="Truncated"),(E101-INDEX(Standardised!$D$5:$D$15,MATCH(A101,Standardised!$A$5:$A$15,0)))/INDEX(Standardised!$E$5:$E$15,MATCH(A101,Standardised!$A$5:$A$15,0)),"")</f>
        <v>1.0054998494899461</v>
      </c>
    </row>
    <row r="102" spans="1:11" x14ac:dyDescent="0.35">
      <c r="A102" s="7" t="s">
        <v>101</v>
      </c>
      <c r="B102" s="10" t="str">
        <f>INDEX(Studies!$G$5:$G$15,MATCH(A102,Studies!$A$5:$A$15,0))</f>
        <v>Middle East (10 studies: Malaysia, Palestine, Kuwait, Qatar, Saudi Arabia, Egypt, Bahrain, Oman, Yemen, Vietnam)</v>
      </c>
      <c r="C102" s="10" t="str">
        <f>INDEX(Studies!$N$5:$N$15,MATCH(A102,Studies!$A$5:$A$15,0))</f>
        <v>Validation</v>
      </c>
      <c r="D102" s="8" t="s">
        <v>321</v>
      </c>
      <c r="E102" s="11">
        <v>0.78300000000000003</v>
      </c>
      <c r="F102" s="7">
        <v>7</v>
      </c>
      <c r="G102" s="7" t="s">
        <v>181</v>
      </c>
      <c r="H102" s="9" t="s">
        <v>176</v>
      </c>
      <c r="I102" s="12" t="str">
        <f t="shared" si="3"/>
        <v>No</v>
      </c>
      <c r="J102" s="13"/>
      <c r="K102" s="14">
        <f>IF(OR(INDEX(Standardised!$B$5:$B$15,MATCH(A102,Standardised!$A$5:$A$15,0))="Complete",INDEX(Standardised!$B$5:$B$15,MATCH(A102,Standardised!$A$5:$A$15,0))="Truncated"),(E102-INDEX(Standardised!$D$5:$D$15,MATCH(A102,Standardised!$A$5:$A$15,0)))/INDEX(Standardised!$E$5:$E$15,MATCH(A102,Standardised!$A$5:$A$15,0)),"")</f>
        <v>0.9799952414706008</v>
      </c>
    </row>
    <row r="103" spans="1:11" x14ac:dyDescent="0.35">
      <c r="A103" s="7" t="s">
        <v>101</v>
      </c>
      <c r="B103" s="10" t="str">
        <f>INDEX(Studies!$G$5:$G$15,MATCH(A103,Studies!$A$5:$A$15,0))</f>
        <v>Middle East (10 studies: Malaysia, Palestine, Kuwait, Qatar, Saudi Arabia, Egypt, Bahrain, Oman, Yemen, Vietnam)</v>
      </c>
      <c r="C103" s="10" t="str">
        <f>INDEX(Studies!$N$5:$N$15,MATCH(A103,Studies!$A$5:$A$15,0))</f>
        <v>Validation</v>
      </c>
      <c r="D103" s="8" t="s">
        <v>322</v>
      </c>
      <c r="E103" s="11">
        <v>0.77800000000000002</v>
      </c>
      <c r="F103" s="7">
        <v>8</v>
      </c>
      <c r="G103" s="7" t="s">
        <v>296</v>
      </c>
      <c r="H103" s="9" t="s">
        <v>176</v>
      </c>
      <c r="I103" s="12" t="str">
        <f t="shared" si="3"/>
        <v>No</v>
      </c>
      <c r="J103" s="13"/>
      <c r="K103" s="14">
        <f>IF(OR(INDEX(Standardised!$B$5:$B$15,MATCH(A103,Standardised!$A$5:$A$15,0))="Complete",INDEX(Standardised!$B$5:$B$15,MATCH(A103,Standardised!$A$5:$A$15,0))="Truncated"),(E103-INDEX(Standardised!$D$5:$D$15,MATCH(A103,Standardised!$A$5:$A$15,0)))/INDEX(Standardised!$E$5:$E$15,MATCH(A103,Standardised!$A$5:$A$15,0)),"")</f>
        <v>0.91623372142223758</v>
      </c>
    </row>
    <row r="104" spans="1:11" x14ac:dyDescent="0.35">
      <c r="A104" s="7" t="s">
        <v>101</v>
      </c>
      <c r="B104" s="10" t="str">
        <f>INDEX(Studies!$G$5:$G$15,MATCH(A104,Studies!$A$5:$A$15,0))</f>
        <v>Middle East (10 studies: Malaysia, Palestine, Kuwait, Qatar, Saudi Arabia, Egypt, Bahrain, Oman, Yemen, Vietnam)</v>
      </c>
      <c r="C104" s="10" t="str">
        <f>INDEX(Studies!$N$5:$N$15,MATCH(A104,Studies!$A$5:$A$15,0))</f>
        <v>Validation</v>
      </c>
      <c r="D104" s="8" t="s">
        <v>323</v>
      </c>
      <c r="E104" s="11">
        <v>0.77500000000000002</v>
      </c>
      <c r="F104" s="7">
        <v>9</v>
      </c>
      <c r="G104" s="7" t="s">
        <v>183</v>
      </c>
      <c r="H104" s="9" t="s">
        <v>176</v>
      </c>
      <c r="I104" s="12" t="str">
        <f t="shared" si="3"/>
        <v>No</v>
      </c>
      <c r="J104" s="13"/>
      <c r="K104" s="14">
        <f>IF(OR(INDEX(Standardised!$B$5:$B$15,MATCH(A104,Standardised!$A$5:$A$15,0))="Complete",INDEX(Standardised!$B$5:$B$15,MATCH(A104,Standardised!$A$5:$A$15,0))="Truncated"),(E104-INDEX(Standardised!$D$5:$D$15,MATCH(A104,Standardised!$A$5:$A$15,0)))/INDEX(Standardised!$E$5:$E$15,MATCH(A104,Standardised!$A$5:$A$15,0)),"")</f>
        <v>0.87797680939321965</v>
      </c>
    </row>
    <row r="105" spans="1:11" x14ac:dyDescent="0.35">
      <c r="A105" s="7" t="s">
        <v>101</v>
      </c>
      <c r="B105" s="10" t="str">
        <f>INDEX(Studies!$G$5:$G$15,MATCH(A105,Studies!$A$5:$A$15,0))</f>
        <v>Middle East (10 studies: Malaysia, Palestine, Kuwait, Qatar, Saudi Arabia, Egypt, Bahrain, Oman, Yemen, Vietnam)</v>
      </c>
      <c r="C105" s="10" t="str">
        <f>INDEX(Studies!$N$5:$N$15,MATCH(A105,Studies!$A$5:$A$15,0))</f>
        <v>Validation</v>
      </c>
      <c r="D105" s="8" t="s">
        <v>324</v>
      </c>
      <c r="E105" s="11">
        <v>0.76100000000000001</v>
      </c>
      <c r="F105" s="7">
        <v>10</v>
      </c>
      <c r="G105" s="7" t="s">
        <v>325</v>
      </c>
      <c r="H105" s="9" t="s">
        <v>176</v>
      </c>
      <c r="I105" s="12" t="str">
        <f t="shared" si="3"/>
        <v>No</v>
      </c>
      <c r="J105" s="13"/>
      <c r="K105" s="14">
        <f>IF(OR(INDEX(Standardised!$B$5:$B$15,MATCH(A105,Standardised!$A$5:$A$15,0))="Complete",INDEX(Standardised!$B$5:$B$15,MATCH(A105,Standardised!$A$5:$A$15,0))="Truncated"),(E105-INDEX(Standardised!$D$5:$D$15,MATCH(A105,Standardised!$A$5:$A$15,0)))/INDEX(Standardised!$E$5:$E$15,MATCH(A105,Standardised!$A$5:$A$15,0)),"")</f>
        <v>0.69944455325780264</v>
      </c>
    </row>
    <row r="106" spans="1:11" x14ac:dyDescent="0.35">
      <c r="A106" s="7" t="s">
        <v>101</v>
      </c>
      <c r="B106" s="10" t="str">
        <f>INDEX(Studies!$G$5:$G$15,MATCH(A106,Studies!$A$5:$A$15,0))</f>
        <v>Middle East (10 studies: Malaysia, Palestine, Kuwait, Qatar, Saudi Arabia, Egypt, Bahrain, Oman, Yemen, Vietnam)</v>
      </c>
      <c r="C106" s="10" t="str">
        <f>INDEX(Studies!$N$5:$N$15,MATCH(A106,Studies!$A$5:$A$15,0))</f>
        <v>Validation</v>
      </c>
      <c r="D106" s="8" t="s">
        <v>209</v>
      </c>
      <c r="E106" s="11">
        <v>0.76100000000000001</v>
      </c>
      <c r="F106" s="7">
        <v>10</v>
      </c>
      <c r="G106" s="7" t="s">
        <v>210</v>
      </c>
      <c r="H106" s="9" t="s">
        <v>176</v>
      </c>
      <c r="I106" s="12" t="str">
        <f t="shared" si="3"/>
        <v>No</v>
      </c>
      <c r="J106" s="13"/>
      <c r="K106" s="14">
        <f>IF(OR(INDEX(Standardised!$B$5:$B$15,MATCH(A106,Standardised!$A$5:$A$15,0))="Complete",INDEX(Standardised!$B$5:$B$15,MATCH(A106,Standardised!$A$5:$A$15,0))="Truncated"),(E106-INDEX(Standardised!$D$5:$D$15,MATCH(A106,Standardised!$A$5:$A$15,0)))/INDEX(Standardised!$E$5:$E$15,MATCH(A106,Standardised!$A$5:$A$15,0)),"")</f>
        <v>0.69944455325780264</v>
      </c>
    </row>
    <row r="107" spans="1:11" x14ac:dyDescent="0.35">
      <c r="A107" s="7" t="s">
        <v>101</v>
      </c>
      <c r="B107" s="10" t="str">
        <f>INDEX(Studies!$G$5:$G$15,MATCH(A107,Studies!$A$5:$A$15,0))</f>
        <v>Middle East (10 studies: Malaysia, Palestine, Kuwait, Qatar, Saudi Arabia, Egypt, Bahrain, Oman, Yemen, Vietnam)</v>
      </c>
      <c r="C107" s="10" t="str">
        <f>INDEX(Studies!$N$5:$N$15,MATCH(A107,Studies!$A$5:$A$15,0))</f>
        <v>Validation</v>
      </c>
      <c r="D107" s="8" t="s">
        <v>326</v>
      </c>
      <c r="E107" s="11">
        <v>0.75800000000000001</v>
      </c>
      <c r="F107" s="7">
        <v>12</v>
      </c>
      <c r="G107" s="7" t="s">
        <v>213</v>
      </c>
      <c r="H107" s="9" t="s">
        <v>176</v>
      </c>
      <c r="I107" s="12" t="str">
        <f t="shared" si="3"/>
        <v>No</v>
      </c>
      <c r="J107" s="13"/>
      <c r="K107" s="14">
        <f>IF(OR(INDEX(Standardised!$B$5:$B$15,MATCH(A107,Standardised!$A$5:$A$15,0))="Complete",INDEX(Standardised!$B$5:$B$15,MATCH(A107,Standardised!$A$5:$A$15,0))="Truncated"),(E107-INDEX(Standardised!$D$5:$D$15,MATCH(A107,Standardised!$A$5:$A$15,0)))/INDEX(Standardised!$E$5:$E$15,MATCH(A107,Standardised!$A$5:$A$15,0)),"")</f>
        <v>0.66118764122878471</v>
      </c>
    </row>
    <row r="108" spans="1:11" x14ac:dyDescent="0.35">
      <c r="A108" s="7" t="s">
        <v>101</v>
      </c>
      <c r="B108" s="10" t="str">
        <f>INDEX(Studies!$G$5:$G$15,MATCH(A108,Studies!$A$5:$A$15,0))</f>
        <v>Middle East (10 studies: Malaysia, Palestine, Kuwait, Qatar, Saudi Arabia, Egypt, Bahrain, Oman, Yemen, Vietnam)</v>
      </c>
      <c r="C108" s="10" t="str">
        <f>INDEX(Studies!$N$5:$N$15,MATCH(A108,Studies!$A$5:$A$15,0))</f>
        <v>Validation</v>
      </c>
      <c r="D108" s="8" t="s">
        <v>184</v>
      </c>
      <c r="E108" s="11">
        <v>0.751</v>
      </c>
      <c r="F108" s="7">
        <v>13</v>
      </c>
      <c r="G108" s="7" t="s">
        <v>185</v>
      </c>
      <c r="H108" s="9" t="s">
        <v>176</v>
      </c>
      <c r="I108" s="12" t="str">
        <f t="shared" si="3"/>
        <v>No</v>
      </c>
      <c r="J108" s="13"/>
      <c r="K108" s="14">
        <f>IF(OR(INDEX(Standardised!$B$5:$B$15,MATCH(A108,Standardised!$A$5:$A$15,0))="Complete",INDEX(Standardised!$B$5:$B$15,MATCH(A108,Standardised!$A$5:$A$15,0))="Truncated"),(E108-INDEX(Standardised!$D$5:$D$15,MATCH(A108,Standardised!$A$5:$A$15,0)))/INDEX(Standardised!$E$5:$E$15,MATCH(A108,Standardised!$A$5:$A$15,0)),"")</f>
        <v>0.57192151316107631</v>
      </c>
    </row>
    <row r="109" spans="1:11" x14ac:dyDescent="0.35">
      <c r="A109" s="7" t="s">
        <v>101</v>
      </c>
      <c r="B109" s="10" t="str">
        <f>INDEX(Studies!$G$5:$G$15,MATCH(A109,Studies!$A$5:$A$15,0))</f>
        <v>Middle East (10 studies: Malaysia, Palestine, Kuwait, Qatar, Saudi Arabia, Egypt, Bahrain, Oman, Yemen, Vietnam)</v>
      </c>
      <c r="C109" s="10" t="str">
        <f>INDEX(Studies!$N$5:$N$15,MATCH(A109,Studies!$A$5:$A$15,0))</f>
        <v>Validation</v>
      </c>
      <c r="D109" s="8" t="s">
        <v>327</v>
      </c>
      <c r="E109" s="11">
        <v>0.73799999999999999</v>
      </c>
      <c r="F109" s="7">
        <v>14</v>
      </c>
      <c r="G109" s="7" t="s">
        <v>181</v>
      </c>
      <c r="H109" s="9" t="s">
        <v>176</v>
      </c>
      <c r="I109" s="12" t="str">
        <f t="shared" si="3"/>
        <v>No</v>
      </c>
      <c r="J109" s="13"/>
      <c r="K109" s="14">
        <f>IF(OR(INDEX(Standardised!$B$5:$B$15,MATCH(A109,Standardised!$A$5:$A$15,0))="Complete",INDEX(Standardised!$B$5:$B$15,MATCH(A109,Standardised!$A$5:$A$15,0))="Truncated"),(E109-INDEX(Standardised!$D$5:$D$15,MATCH(A109,Standardised!$A$5:$A$15,0)))/INDEX(Standardised!$E$5:$E$15,MATCH(A109,Standardised!$A$5:$A$15,0)),"")</f>
        <v>0.406141561035332</v>
      </c>
    </row>
    <row r="110" spans="1:11" x14ac:dyDescent="0.35">
      <c r="A110" s="7" t="s">
        <v>101</v>
      </c>
      <c r="B110" s="10" t="str">
        <f>INDEX(Studies!$G$5:$G$15,MATCH(A110,Studies!$A$5:$A$15,0))</f>
        <v>Middle East (10 studies: Malaysia, Palestine, Kuwait, Qatar, Saudi Arabia, Egypt, Bahrain, Oman, Yemen, Vietnam)</v>
      </c>
      <c r="C110" s="10" t="str">
        <f>INDEX(Studies!$N$5:$N$15,MATCH(A110,Studies!$A$5:$A$15,0))</f>
        <v>Validation</v>
      </c>
      <c r="D110" s="8" t="s">
        <v>328</v>
      </c>
      <c r="E110" s="11">
        <v>0.73199999999999998</v>
      </c>
      <c r="F110" s="7">
        <v>15</v>
      </c>
      <c r="G110" s="7" t="s">
        <v>265</v>
      </c>
      <c r="H110" s="9" t="s">
        <v>176</v>
      </c>
      <c r="I110" s="12" t="str">
        <f t="shared" si="3"/>
        <v>No</v>
      </c>
      <c r="J110" s="13"/>
      <c r="K110" s="14">
        <f>IF(OR(INDEX(Standardised!$B$5:$B$15,MATCH(A110,Standardised!$A$5:$A$15,0))="Complete",INDEX(Standardised!$B$5:$B$15,MATCH(A110,Standardised!$A$5:$A$15,0))="Truncated"),(E110-INDEX(Standardised!$D$5:$D$15,MATCH(A110,Standardised!$A$5:$A$15,0)))/INDEX(Standardised!$E$5:$E$15,MATCH(A110,Standardised!$A$5:$A$15,0)),"")</f>
        <v>0.32962773697729614</v>
      </c>
    </row>
    <row r="111" spans="1:11" x14ac:dyDescent="0.35">
      <c r="A111" s="7" t="s">
        <v>101</v>
      </c>
      <c r="B111" s="10" t="str">
        <f>INDEX(Studies!$G$5:$G$15,MATCH(A111,Studies!$A$5:$A$15,0))</f>
        <v>Middle East (10 studies: Malaysia, Palestine, Kuwait, Qatar, Saudi Arabia, Egypt, Bahrain, Oman, Yemen, Vietnam)</v>
      </c>
      <c r="C111" s="10" t="str">
        <f>INDEX(Studies!$N$5:$N$15,MATCH(A111,Studies!$A$5:$A$15,0))</f>
        <v>Validation</v>
      </c>
      <c r="D111" s="8" t="s">
        <v>329</v>
      </c>
      <c r="E111" s="11">
        <v>0.72299999999999998</v>
      </c>
      <c r="F111" s="7">
        <v>16</v>
      </c>
      <c r="G111" s="7" t="s">
        <v>229</v>
      </c>
      <c r="H111" s="9" t="s">
        <v>176</v>
      </c>
      <c r="I111" s="12" t="str">
        <f t="shared" si="3"/>
        <v>No</v>
      </c>
      <c r="J111" s="13"/>
      <c r="K111" s="14">
        <f>IF(OR(INDEX(Standardised!$B$5:$B$15,MATCH(A111,Standardised!$A$5:$A$15,0))="Complete",INDEX(Standardised!$B$5:$B$15,MATCH(A111,Standardised!$A$5:$A$15,0))="Truncated"),(E111-INDEX(Standardised!$D$5:$D$15,MATCH(A111,Standardised!$A$5:$A$15,0)))/INDEX(Standardised!$E$5:$E$15,MATCH(A111,Standardised!$A$5:$A$15,0)),"")</f>
        <v>0.2148570008902424</v>
      </c>
    </row>
    <row r="112" spans="1:11" x14ac:dyDescent="0.35">
      <c r="A112" s="7" t="s">
        <v>101</v>
      </c>
      <c r="B112" s="10" t="str">
        <f>INDEX(Studies!$G$5:$G$15,MATCH(A112,Studies!$A$5:$A$15,0))</f>
        <v>Middle East (10 studies: Malaysia, Palestine, Kuwait, Qatar, Saudi Arabia, Egypt, Bahrain, Oman, Yemen, Vietnam)</v>
      </c>
      <c r="C112" s="10" t="str">
        <f>INDEX(Studies!$N$5:$N$15,MATCH(A112,Studies!$A$5:$A$15,0))</f>
        <v>Validation</v>
      </c>
      <c r="D112" s="8" t="s">
        <v>330</v>
      </c>
      <c r="E112" s="11">
        <v>0.71499999999999997</v>
      </c>
      <c r="F112" s="7">
        <v>17</v>
      </c>
      <c r="G112" s="7" t="s">
        <v>188</v>
      </c>
      <c r="H112" s="9" t="s">
        <v>176</v>
      </c>
      <c r="I112" s="12" t="str">
        <f t="shared" si="3"/>
        <v>No</v>
      </c>
      <c r="J112" s="13"/>
      <c r="K112" s="14">
        <f>IF(OR(INDEX(Standardised!$B$5:$B$15,MATCH(A112,Standardised!$A$5:$A$15,0))="Complete",INDEX(Standardised!$B$5:$B$15,MATCH(A112,Standardised!$A$5:$A$15,0))="Truncated"),(E112-INDEX(Standardised!$D$5:$D$15,MATCH(A112,Standardised!$A$5:$A$15,0)))/INDEX(Standardised!$E$5:$E$15,MATCH(A112,Standardised!$A$5:$A$15,0)),"")</f>
        <v>0.11283856881286128</v>
      </c>
    </row>
    <row r="113" spans="1:11" x14ac:dyDescent="0.35">
      <c r="A113" s="7" t="s">
        <v>101</v>
      </c>
      <c r="B113" s="10" t="str">
        <f>INDEX(Studies!$G$5:$G$15,MATCH(A113,Studies!$A$5:$A$15,0))</f>
        <v>Middle East (10 studies: Malaysia, Palestine, Kuwait, Qatar, Saudi Arabia, Egypt, Bahrain, Oman, Yemen, Vietnam)</v>
      </c>
      <c r="C113" s="10" t="str">
        <f>INDEX(Studies!$N$5:$N$15,MATCH(A113,Studies!$A$5:$A$15,0))</f>
        <v>Validation</v>
      </c>
      <c r="D113" s="8" t="s">
        <v>331</v>
      </c>
      <c r="E113" s="11">
        <v>0.70899999999999996</v>
      </c>
      <c r="F113" s="7">
        <v>18</v>
      </c>
      <c r="G113" s="7" t="s">
        <v>208</v>
      </c>
      <c r="H113" s="9" t="s">
        <v>176</v>
      </c>
      <c r="I113" s="12" t="str">
        <f t="shared" si="3"/>
        <v>No</v>
      </c>
      <c r="J113" s="13"/>
      <c r="K113" s="14">
        <f>IF(OR(INDEX(Standardised!$B$5:$B$15,MATCH(A113,Standardised!$A$5:$A$15,0))="Complete",INDEX(Standardised!$B$5:$B$15,MATCH(A113,Standardised!$A$5:$A$15,0))="Truncated"),(E113-INDEX(Standardised!$D$5:$D$15,MATCH(A113,Standardised!$A$5:$A$15,0)))/INDEX(Standardised!$E$5:$E$15,MATCH(A113,Standardised!$A$5:$A$15,0)),"")</f>
        <v>3.6324744754825437E-2</v>
      </c>
    </row>
    <row r="114" spans="1:11" x14ac:dyDescent="0.35">
      <c r="A114" s="7" t="s">
        <v>101</v>
      </c>
      <c r="B114" s="10" t="str">
        <f>INDEX(Studies!$G$5:$G$15,MATCH(A114,Studies!$A$5:$A$15,0))</f>
        <v>Middle East (10 studies: Malaysia, Palestine, Kuwait, Qatar, Saudi Arabia, Egypt, Bahrain, Oman, Yemen, Vietnam)</v>
      </c>
      <c r="C114" s="10" t="str">
        <f>INDEX(Studies!$N$5:$N$15,MATCH(A114,Studies!$A$5:$A$15,0))</f>
        <v>Validation</v>
      </c>
      <c r="D114" s="8" t="s">
        <v>332</v>
      </c>
      <c r="E114" s="11">
        <v>0.69799999999999995</v>
      </c>
      <c r="F114" s="7">
        <v>19</v>
      </c>
      <c r="G114" s="7" t="s">
        <v>178</v>
      </c>
      <c r="H114" s="9" t="s">
        <v>176</v>
      </c>
      <c r="I114" s="12" t="str">
        <f t="shared" si="3"/>
        <v>No</v>
      </c>
      <c r="J114" s="13"/>
      <c r="K114" s="14">
        <f>IF(OR(INDEX(Standardised!$B$5:$B$15,MATCH(A114,Standardised!$A$5:$A$15,0))="Complete",INDEX(Standardised!$B$5:$B$15,MATCH(A114,Standardised!$A$5:$A$15,0))="Truncated"),(E114-INDEX(Standardised!$D$5:$D$15,MATCH(A114,Standardised!$A$5:$A$15,0)))/INDEX(Standardised!$E$5:$E$15,MATCH(A114,Standardised!$A$5:$A$15,0)),"")</f>
        <v>-0.10395059935157359</v>
      </c>
    </row>
    <row r="115" spans="1:11" x14ac:dyDescent="0.35">
      <c r="A115" s="7" t="s">
        <v>101</v>
      </c>
      <c r="B115" s="10" t="str">
        <f>INDEX(Studies!$G$5:$G$15,MATCH(A115,Studies!$A$5:$A$15,0))</f>
        <v>Middle East (10 studies: Malaysia, Palestine, Kuwait, Qatar, Saudi Arabia, Egypt, Bahrain, Oman, Yemen, Vietnam)</v>
      </c>
      <c r="C115" s="10" t="str">
        <f>INDEX(Studies!$N$5:$N$15,MATCH(A115,Studies!$A$5:$A$15,0))</f>
        <v>Validation</v>
      </c>
      <c r="D115" s="8" t="s">
        <v>333</v>
      </c>
      <c r="E115" s="11">
        <v>0.69799999999999995</v>
      </c>
      <c r="F115" s="7">
        <v>19</v>
      </c>
      <c r="G115" s="7" t="s">
        <v>334</v>
      </c>
      <c r="H115" s="9" t="s">
        <v>176</v>
      </c>
      <c r="I115" s="12" t="str">
        <f t="shared" si="3"/>
        <v>No</v>
      </c>
      <c r="J115" s="13"/>
      <c r="K115" s="14">
        <f>IF(OR(INDEX(Standardised!$B$5:$B$15,MATCH(A115,Standardised!$A$5:$A$15,0))="Complete",INDEX(Standardised!$B$5:$B$15,MATCH(A115,Standardised!$A$5:$A$15,0))="Truncated"),(E115-INDEX(Standardised!$D$5:$D$15,MATCH(A115,Standardised!$A$5:$A$15,0)))/INDEX(Standardised!$E$5:$E$15,MATCH(A115,Standardised!$A$5:$A$15,0)),"")</f>
        <v>-0.10395059935157359</v>
      </c>
    </row>
    <row r="116" spans="1:11" x14ac:dyDescent="0.35">
      <c r="A116" s="7" t="s">
        <v>101</v>
      </c>
      <c r="B116" s="10" t="str">
        <f>INDEX(Studies!$G$5:$G$15,MATCH(A116,Studies!$A$5:$A$15,0))</f>
        <v>Middle East (10 studies: Malaysia, Palestine, Kuwait, Qatar, Saudi Arabia, Egypt, Bahrain, Oman, Yemen, Vietnam)</v>
      </c>
      <c r="C116" s="10" t="str">
        <f>INDEX(Studies!$N$5:$N$15,MATCH(A116,Studies!$A$5:$A$15,0))</f>
        <v>Validation</v>
      </c>
      <c r="D116" s="8" t="s">
        <v>335</v>
      </c>
      <c r="E116" s="11">
        <v>0.69599999999999995</v>
      </c>
      <c r="F116" s="7">
        <v>21</v>
      </c>
      <c r="G116" s="7" t="s">
        <v>178</v>
      </c>
      <c r="H116" s="9" t="s">
        <v>199</v>
      </c>
      <c r="I116" s="12" t="str">
        <f t="shared" si="3"/>
        <v>No</v>
      </c>
      <c r="J116" s="13" t="s">
        <v>336</v>
      </c>
      <c r="K116" s="14">
        <f>IF(OR(INDEX(Standardised!$B$5:$B$15,MATCH(A116,Standardised!$A$5:$A$15,0))="Complete",INDEX(Standardised!$B$5:$B$15,MATCH(A116,Standardised!$A$5:$A$15,0))="Truncated"),(E116-INDEX(Standardised!$D$5:$D$15,MATCH(A116,Standardised!$A$5:$A$15,0)))/INDEX(Standardised!$E$5:$E$15,MATCH(A116,Standardised!$A$5:$A$15,0)),"")</f>
        <v>-0.12945520737091887</v>
      </c>
    </row>
    <row r="117" spans="1:11" x14ac:dyDescent="0.35">
      <c r="A117" s="7" t="s">
        <v>101</v>
      </c>
      <c r="B117" s="10" t="str">
        <f>INDEX(Studies!$G$5:$G$15,MATCH(A117,Studies!$A$5:$A$15,0))</f>
        <v>Middle East (10 studies: Malaysia, Palestine, Kuwait, Qatar, Saudi Arabia, Egypt, Bahrain, Oman, Yemen, Vietnam)</v>
      </c>
      <c r="C117" s="10" t="str">
        <f>INDEX(Studies!$N$5:$N$15,MATCH(A117,Studies!$A$5:$A$15,0))</f>
        <v>Validation</v>
      </c>
      <c r="D117" s="8" t="s">
        <v>337</v>
      </c>
      <c r="E117" s="11">
        <v>0.69599999999999995</v>
      </c>
      <c r="F117" s="7">
        <v>21</v>
      </c>
      <c r="G117" s="7" t="s">
        <v>205</v>
      </c>
      <c r="H117" s="9" t="s">
        <v>176</v>
      </c>
      <c r="I117" s="12" t="str">
        <f t="shared" si="3"/>
        <v>No</v>
      </c>
      <c r="J117" s="13"/>
      <c r="K117" s="14">
        <f>IF(OR(INDEX(Standardised!$B$5:$B$15,MATCH(A117,Standardised!$A$5:$A$15,0))="Complete",INDEX(Standardised!$B$5:$B$15,MATCH(A117,Standardised!$A$5:$A$15,0))="Truncated"),(E117-INDEX(Standardised!$D$5:$D$15,MATCH(A117,Standardised!$A$5:$A$15,0)))/INDEX(Standardised!$E$5:$E$15,MATCH(A117,Standardised!$A$5:$A$15,0)),"")</f>
        <v>-0.12945520737091887</v>
      </c>
    </row>
    <row r="118" spans="1:11" x14ac:dyDescent="0.35">
      <c r="A118" s="7" t="s">
        <v>101</v>
      </c>
      <c r="B118" s="10" t="str">
        <f>INDEX(Studies!$G$5:$G$15,MATCH(A118,Studies!$A$5:$A$15,0))</f>
        <v>Middle East (10 studies: Malaysia, Palestine, Kuwait, Qatar, Saudi Arabia, Egypt, Bahrain, Oman, Yemen, Vietnam)</v>
      </c>
      <c r="C118" s="10" t="str">
        <f>INDEX(Studies!$N$5:$N$15,MATCH(A118,Studies!$A$5:$A$15,0))</f>
        <v>Validation</v>
      </c>
      <c r="D118" s="8" t="s">
        <v>338</v>
      </c>
      <c r="E118" s="11">
        <v>0.69099999999999995</v>
      </c>
      <c r="F118" s="7">
        <v>23</v>
      </c>
      <c r="G118" s="7" t="s">
        <v>201</v>
      </c>
      <c r="H118" s="9" t="s">
        <v>176</v>
      </c>
      <c r="I118" s="12" t="str">
        <f t="shared" si="3"/>
        <v>No</v>
      </c>
      <c r="J118" s="13"/>
      <c r="K118" s="14">
        <f>IF(OR(INDEX(Standardised!$B$5:$B$15,MATCH(A118,Standardised!$A$5:$A$15,0))="Complete",INDEX(Standardised!$B$5:$B$15,MATCH(A118,Standardised!$A$5:$A$15,0))="Truncated"),(E118-INDEX(Standardised!$D$5:$D$15,MATCH(A118,Standardised!$A$5:$A$15,0)))/INDEX(Standardised!$E$5:$E$15,MATCH(A118,Standardised!$A$5:$A$15,0)),"")</f>
        <v>-0.19321672741928206</v>
      </c>
    </row>
    <row r="119" spans="1:11" x14ac:dyDescent="0.35">
      <c r="A119" s="7" t="s">
        <v>101</v>
      </c>
      <c r="B119" s="10" t="str">
        <f>INDEX(Studies!$G$5:$G$15,MATCH(A119,Studies!$A$5:$A$15,0))</f>
        <v>Middle East (10 studies: Malaysia, Palestine, Kuwait, Qatar, Saudi Arabia, Egypt, Bahrain, Oman, Yemen, Vietnam)</v>
      </c>
      <c r="C119" s="10" t="str">
        <f>INDEX(Studies!$N$5:$N$15,MATCH(A119,Studies!$A$5:$A$15,0))</f>
        <v>Validation</v>
      </c>
      <c r="D119" s="8" t="s">
        <v>339</v>
      </c>
      <c r="E119" s="11">
        <v>0.68200000000000005</v>
      </c>
      <c r="F119" s="7">
        <v>24</v>
      </c>
      <c r="G119" s="7" t="s">
        <v>198</v>
      </c>
      <c r="H119" s="9" t="s">
        <v>176</v>
      </c>
      <c r="I119" s="12" t="str">
        <f t="shared" si="3"/>
        <v>No</v>
      </c>
      <c r="J119" s="13"/>
      <c r="K119" s="14">
        <f>IF(OR(INDEX(Standardised!$B$5:$B$15,MATCH(A119,Standardised!$A$5:$A$15,0))="Complete",INDEX(Standardised!$B$5:$B$15,MATCH(A119,Standardised!$A$5:$A$15,0))="Truncated"),(E119-INDEX(Standardised!$D$5:$D$15,MATCH(A119,Standardised!$A$5:$A$15,0)))/INDEX(Standardised!$E$5:$E$15,MATCH(A119,Standardised!$A$5:$A$15,0)),"")</f>
        <v>-0.30798746350633438</v>
      </c>
    </row>
    <row r="120" spans="1:11" x14ac:dyDescent="0.35">
      <c r="A120" s="7" t="s">
        <v>101</v>
      </c>
      <c r="B120" s="10" t="str">
        <f>INDEX(Studies!$G$5:$G$15,MATCH(A120,Studies!$A$5:$A$15,0))</f>
        <v>Middle East (10 studies: Malaysia, Palestine, Kuwait, Qatar, Saudi Arabia, Egypt, Bahrain, Oman, Yemen, Vietnam)</v>
      </c>
      <c r="C120" s="10" t="str">
        <f>INDEX(Studies!$N$5:$N$15,MATCH(A120,Studies!$A$5:$A$15,0))</f>
        <v>Validation</v>
      </c>
      <c r="D120" s="8" t="s">
        <v>340</v>
      </c>
      <c r="E120" s="11">
        <v>0.68</v>
      </c>
      <c r="F120" s="7">
        <v>25</v>
      </c>
      <c r="G120" s="7" t="s">
        <v>241</v>
      </c>
      <c r="H120" s="9" t="s">
        <v>176</v>
      </c>
      <c r="I120" s="12" t="str">
        <f t="shared" si="3"/>
        <v>No</v>
      </c>
      <c r="J120" s="13"/>
      <c r="K120" s="14">
        <f>IF(OR(INDEX(Standardised!$B$5:$B$15,MATCH(A120,Standardised!$A$5:$A$15,0))="Complete",INDEX(Standardised!$B$5:$B$15,MATCH(A120,Standardised!$A$5:$A$15,0))="Truncated"),(E120-INDEX(Standardised!$D$5:$D$15,MATCH(A120,Standardised!$A$5:$A$15,0)))/INDEX(Standardised!$E$5:$E$15,MATCH(A120,Standardised!$A$5:$A$15,0)),"")</f>
        <v>-0.33349207152567967</v>
      </c>
    </row>
    <row r="121" spans="1:11" x14ac:dyDescent="0.35">
      <c r="A121" s="7" t="s">
        <v>101</v>
      </c>
      <c r="B121" s="10" t="str">
        <f>INDEX(Studies!$G$5:$G$15,MATCH(A121,Studies!$A$5:$A$15,0))</f>
        <v>Middle East (10 studies: Malaysia, Palestine, Kuwait, Qatar, Saudi Arabia, Egypt, Bahrain, Oman, Yemen, Vietnam)</v>
      </c>
      <c r="C121" s="10" t="str">
        <f>INDEX(Studies!$N$5:$N$15,MATCH(A121,Studies!$A$5:$A$15,0))</f>
        <v>Validation</v>
      </c>
      <c r="D121" s="8" t="s">
        <v>341</v>
      </c>
      <c r="E121" s="11">
        <v>0.66800000000000004</v>
      </c>
      <c r="F121" s="7">
        <v>26</v>
      </c>
      <c r="G121" s="7" t="s">
        <v>224</v>
      </c>
      <c r="H121" s="9" t="s">
        <v>176</v>
      </c>
      <c r="I121" s="12" t="str">
        <f t="shared" si="3"/>
        <v>No</v>
      </c>
      <c r="J121" s="13"/>
      <c r="K121" s="14">
        <f>IF(OR(INDEX(Standardised!$B$5:$B$15,MATCH(A121,Standardised!$A$5:$A$15,0))="Complete",INDEX(Standardised!$B$5:$B$15,MATCH(A121,Standardised!$A$5:$A$15,0))="Truncated"),(E121-INDEX(Standardised!$D$5:$D$15,MATCH(A121,Standardised!$A$5:$A$15,0)))/INDEX(Standardised!$E$5:$E$15,MATCH(A121,Standardised!$A$5:$A$15,0)),"")</f>
        <v>-0.48651971964175134</v>
      </c>
    </row>
    <row r="122" spans="1:11" x14ac:dyDescent="0.35">
      <c r="A122" s="7" t="s">
        <v>101</v>
      </c>
      <c r="B122" s="10" t="str">
        <f>INDEX(Studies!$G$5:$G$15,MATCH(A122,Studies!$A$5:$A$15,0))</f>
        <v>Middle East (10 studies: Malaysia, Palestine, Kuwait, Qatar, Saudi Arabia, Egypt, Bahrain, Oman, Yemen, Vietnam)</v>
      </c>
      <c r="C122" s="10" t="str">
        <f>INDEX(Studies!$N$5:$N$15,MATCH(A122,Studies!$A$5:$A$15,0))</f>
        <v>Validation</v>
      </c>
      <c r="D122" s="8" t="s">
        <v>342</v>
      </c>
      <c r="E122" s="11">
        <v>0.66600000000000004</v>
      </c>
      <c r="F122" s="7">
        <v>27</v>
      </c>
      <c r="G122" s="7" t="s">
        <v>224</v>
      </c>
      <c r="H122" s="9" t="s">
        <v>176</v>
      </c>
      <c r="I122" s="12" t="str">
        <f t="shared" si="3"/>
        <v>No</v>
      </c>
      <c r="J122" s="13"/>
      <c r="K122" s="14">
        <f>IF(OR(INDEX(Standardised!$B$5:$B$15,MATCH(A122,Standardised!$A$5:$A$15,0))="Complete",INDEX(Standardised!$B$5:$B$15,MATCH(A122,Standardised!$A$5:$A$15,0))="Truncated"),(E122-INDEX(Standardised!$D$5:$D$15,MATCH(A122,Standardised!$A$5:$A$15,0)))/INDEX(Standardised!$E$5:$E$15,MATCH(A122,Standardised!$A$5:$A$15,0)),"")</f>
        <v>-0.51202432766109662</v>
      </c>
    </row>
    <row r="123" spans="1:11" x14ac:dyDescent="0.35">
      <c r="A123" s="7" t="s">
        <v>101</v>
      </c>
      <c r="B123" s="10" t="str">
        <f>INDEX(Studies!$G$5:$G$15,MATCH(A123,Studies!$A$5:$A$15,0))</f>
        <v>Middle East (10 studies: Malaysia, Palestine, Kuwait, Qatar, Saudi Arabia, Egypt, Bahrain, Oman, Yemen, Vietnam)</v>
      </c>
      <c r="C123" s="10" t="str">
        <f>INDEX(Studies!$N$5:$N$15,MATCH(A123,Studies!$A$5:$A$15,0))</f>
        <v>Validation</v>
      </c>
      <c r="D123" s="8" t="s">
        <v>227</v>
      </c>
      <c r="E123" s="11">
        <v>0.66</v>
      </c>
      <c r="F123" s="7">
        <v>28</v>
      </c>
      <c r="G123" s="7" t="s">
        <v>216</v>
      </c>
      <c r="H123" s="9" t="s">
        <v>176</v>
      </c>
      <c r="I123" s="12" t="str">
        <f t="shared" si="3"/>
        <v>No</v>
      </c>
      <c r="J123" s="13"/>
      <c r="K123" s="14">
        <f>IF(OR(INDEX(Standardised!$B$5:$B$15,MATCH(A123,Standardised!$A$5:$A$15,0))="Complete",INDEX(Standardised!$B$5:$B$15,MATCH(A123,Standardised!$A$5:$A$15,0))="Truncated"),(E123-INDEX(Standardised!$D$5:$D$15,MATCH(A123,Standardised!$A$5:$A$15,0)))/INDEX(Standardised!$E$5:$E$15,MATCH(A123,Standardised!$A$5:$A$15,0)),"")</f>
        <v>-0.58853815171913249</v>
      </c>
    </row>
    <row r="124" spans="1:11" x14ac:dyDescent="0.35">
      <c r="A124" s="7" t="s">
        <v>101</v>
      </c>
      <c r="B124" s="10" t="str">
        <f>INDEX(Studies!$G$5:$G$15,MATCH(A124,Studies!$A$5:$A$15,0))</f>
        <v>Middle East (10 studies: Malaysia, Palestine, Kuwait, Qatar, Saudi Arabia, Egypt, Bahrain, Oman, Yemen, Vietnam)</v>
      </c>
      <c r="C124" s="10" t="str">
        <f>INDEX(Studies!$N$5:$N$15,MATCH(A124,Studies!$A$5:$A$15,0))</f>
        <v>Validation</v>
      </c>
      <c r="D124" s="8" t="s">
        <v>343</v>
      </c>
      <c r="E124" s="11">
        <v>0.65900000000000003</v>
      </c>
      <c r="F124" s="7">
        <v>29</v>
      </c>
      <c r="G124" s="7" t="s">
        <v>239</v>
      </c>
      <c r="H124" s="9" t="s">
        <v>199</v>
      </c>
      <c r="I124" s="12" t="str">
        <f t="shared" si="3"/>
        <v>No</v>
      </c>
      <c r="J124" s="13"/>
      <c r="K124" s="14">
        <f>IF(OR(INDEX(Standardised!$B$5:$B$15,MATCH(A124,Standardised!$A$5:$A$15,0))="Complete",INDEX(Standardised!$B$5:$B$15,MATCH(A124,Standardised!$A$5:$A$15,0))="Truncated"),(E124-INDEX(Standardised!$D$5:$D$15,MATCH(A124,Standardised!$A$5:$A$15,0)))/INDEX(Standardised!$E$5:$E$15,MATCH(A124,Standardised!$A$5:$A$15,0)),"")</f>
        <v>-0.60129045572880513</v>
      </c>
    </row>
    <row r="125" spans="1:11" x14ac:dyDescent="0.35">
      <c r="A125" s="7" t="s">
        <v>101</v>
      </c>
      <c r="B125" s="10" t="str">
        <f>INDEX(Studies!$G$5:$G$15,MATCH(A125,Studies!$A$5:$A$15,0))</f>
        <v>Middle East (10 studies: Malaysia, Palestine, Kuwait, Qatar, Saudi Arabia, Egypt, Bahrain, Oman, Yemen, Vietnam)</v>
      </c>
      <c r="C125" s="10" t="str">
        <f>INDEX(Studies!$N$5:$N$15,MATCH(A125,Studies!$A$5:$A$15,0))</f>
        <v>Validation</v>
      </c>
      <c r="D125" s="8" t="s">
        <v>344</v>
      </c>
      <c r="E125" s="11">
        <v>0.63800000000000001</v>
      </c>
      <c r="F125" s="7">
        <v>30</v>
      </c>
      <c r="G125" s="7" t="s">
        <v>265</v>
      </c>
      <c r="H125" s="9" t="s">
        <v>176</v>
      </c>
      <c r="I125" s="12" t="str">
        <f t="shared" si="3"/>
        <v>No</v>
      </c>
      <c r="J125" s="13"/>
      <c r="K125" s="14">
        <f>IF(OR(INDEX(Standardised!$B$5:$B$15,MATCH(A125,Standardised!$A$5:$A$15,0))="Complete",INDEX(Standardised!$B$5:$B$15,MATCH(A125,Standardised!$A$5:$A$15,0))="Truncated"),(E125-INDEX(Standardised!$D$5:$D$15,MATCH(A125,Standardised!$A$5:$A$15,0)))/INDEX(Standardised!$E$5:$E$15,MATCH(A125,Standardised!$A$5:$A$15,0)),"")</f>
        <v>-0.86908883993193053</v>
      </c>
    </row>
    <row r="126" spans="1:11" x14ac:dyDescent="0.35">
      <c r="A126" s="7" t="s">
        <v>101</v>
      </c>
      <c r="B126" s="10" t="str">
        <f>INDEX(Studies!$G$5:$G$15,MATCH(A126,Studies!$A$5:$A$15,0))</f>
        <v>Middle East (10 studies: Malaysia, Palestine, Kuwait, Qatar, Saudi Arabia, Egypt, Bahrain, Oman, Yemen, Vietnam)</v>
      </c>
      <c r="C126" s="10" t="str">
        <f>INDEX(Studies!$N$5:$N$15,MATCH(A126,Studies!$A$5:$A$15,0))</f>
        <v>Validation</v>
      </c>
      <c r="D126" s="8" t="s">
        <v>345</v>
      </c>
      <c r="E126" s="11">
        <v>0.63200000000000001</v>
      </c>
      <c r="F126" s="7">
        <v>31</v>
      </c>
      <c r="G126" s="7" t="s">
        <v>195</v>
      </c>
      <c r="H126" s="9" t="s">
        <v>176</v>
      </c>
      <c r="I126" s="12" t="str">
        <f t="shared" si="3"/>
        <v>No</v>
      </c>
      <c r="J126" s="13" t="s">
        <v>346</v>
      </c>
      <c r="K126" s="14">
        <f>IF(OR(INDEX(Standardised!$B$5:$B$15,MATCH(A126,Standardised!$A$5:$A$15,0))="Complete",INDEX(Standardised!$B$5:$B$15,MATCH(A126,Standardised!$A$5:$A$15,0))="Truncated"),(E126-INDEX(Standardised!$D$5:$D$15,MATCH(A126,Standardised!$A$5:$A$15,0)))/INDEX(Standardised!$E$5:$E$15,MATCH(A126,Standardised!$A$5:$A$15,0)),"")</f>
        <v>-0.9456026639899664</v>
      </c>
    </row>
    <row r="127" spans="1:11" x14ac:dyDescent="0.35">
      <c r="A127" s="7" t="s">
        <v>101</v>
      </c>
      <c r="B127" s="10" t="str">
        <f>INDEX(Studies!$G$5:$G$15,MATCH(A127,Studies!$A$5:$A$15,0))</f>
        <v>Middle East (10 studies: Malaysia, Palestine, Kuwait, Qatar, Saudi Arabia, Egypt, Bahrain, Oman, Yemen, Vietnam)</v>
      </c>
      <c r="C127" s="10" t="str">
        <f>INDEX(Studies!$N$5:$N$15,MATCH(A127,Studies!$A$5:$A$15,0))</f>
        <v>Validation</v>
      </c>
      <c r="D127" s="8" t="s">
        <v>347</v>
      </c>
      <c r="E127" s="11">
        <v>0.55500000000000005</v>
      </c>
      <c r="F127" s="7">
        <v>33</v>
      </c>
      <c r="G127" s="7" t="s">
        <v>208</v>
      </c>
      <c r="H127" s="9" t="s">
        <v>199</v>
      </c>
      <c r="I127" s="12" t="str">
        <f t="shared" si="3"/>
        <v>No</v>
      </c>
      <c r="J127" s="13"/>
      <c r="K127" s="14">
        <f>IF(OR(INDEX(Standardised!$B$5:$B$15,MATCH(A127,Standardised!$A$5:$A$15,0))="Complete",INDEX(Standardised!$B$5:$B$15,MATCH(A127,Standardised!$A$5:$A$15,0))="Truncated"),(E127-INDEX(Standardised!$D$5:$D$15,MATCH(A127,Standardised!$A$5:$A$15,0)))/INDEX(Standardised!$E$5:$E$15,MATCH(A127,Standardised!$A$5:$A$15,0)),"")</f>
        <v>-1.9275300727347582</v>
      </c>
    </row>
    <row r="128" spans="1:11" x14ac:dyDescent="0.35">
      <c r="A128" s="7" t="s">
        <v>101</v>
      </c>
      <c r="B128" s="10" t="str">
        <f>INDEX(Studies!$G$5:$G$15,MATCH(A128,Studies!$A$5:$A$15,0))</f>
        <v>Middle East (10 studies: Malaysia, Palestine, Kuwait, Qatar, Saudi Arabia, Egypt, Bahrain, Oman, Yemen, Vietnam)</v>
      </c>
      <c r="C128" s="10" t="str">
        <f>INDEX(Studies!$N$5:$N$15,MATCH(A128,Studies!$A$5:$A$15,0))</f>
        <v>Validation</v>
      </c>
      <c r="D128" s="8" t="s">
        <v>348</v>
      </c>
      <c r="E128" s="11">
        <v>0.55500000000000005</v>
      </c>
      <c r="F128" s="7">
        <v>33</v>
      </c>
      <c r="G128" s="7" t="s">
        <v>239</v>
      </c>
      <c r="H128" s="9" t="s">
        <v>199</v>
      </c>
      <c r="I128" s="12" t="str">
        <f t="shared" si="3"/>
        <v>No</v>
      </c>
      <c r="J128" s="13"/>
      <c r="K128" s="14">
        <f>IF(OR(INDEX(Standardised!$B$5:$B$15,MATCH(A128,Standardised!$A$5:$A$15,0))="Complete",INDEX(Standardised!$B$5:$B$15,MATCH(A128,Standardised!$A$5:$A$15,0))="Truncated"),(E128-INDEX(Standardised!$D$5:$D$15,MATCH(A128,Standardised!$A$5:$A$15,0)))/INDEX(Standardised!$E$5:$E$15,MATCH(A128,Standardised!$A$5:$A$15,0)),"")</f>
        <v>-1.9275300727347582</v>
      </c>
    </row>
    <row r="129" spans="1:11" x14ac:dyDescent="0.35">
      <c r="A129" s="7" t="s">
        <v>101</v>
      </c>
      <c r="B129" s="10" t="str">
        <f>INDEX(Studies!$G$5:$G$15,MATCH(A129,Studies!$A$5:$A$15,0))</f>
        <v>Middle East (10 studies: Malaysia, Palestine, Kuwait, Qatar, Saudi Arabia, Egypt, Bahrain, Oman, Yemen, Vietnam)</v>
      </c>
      <c r="C129" s="10" t="str">
        <f>INDEX(Studies!$N$5:$N$15,MATCH(A129,Studies!$A$5:$A$15,0))</f>
        <v>Validation</v>
      </c>
      <c r="D129" s="8" t="s">
        <v>349</v>
      </c>
      <c r="E129" s="11">
        <v>0.45900000000000002</v>
      </c>
      <c r="F129" s="7">
        <v>35</v>
      </c>
      <c r="G129" s="7" t="s">
        <v>350</v>
      </c>
      <c r="H129" s="9" t="s">
        <v>176</v>
      </c>
      <c r="I129" s="12" t="str">
        <f t="shared" si="3"/>
        <v>No</v>
      </c>
      <c r="J129" s="13"/>
      <c r="K129" s="14">
        <f>IF(OR(INDEX(Standardised!$B$5:$B$15,MATCH(A129,Standardised!$A$5:$A$15,0))="Complete",INDEX(Standardised!$B$5:$B$15,MATCH(A129,Standardised!$A$5:$A$15,0))="Truncated"),(E129-INDEX(Standardised!$D$5:$D$15,MATCH(A129,Standardised!$A$5:$A$15,0)))/INDEX(Standardised!$E$5:$E$15,MATCH(A129,Standardised!$A$5:$A$15,0)),"")</f>
        <v>-3.1517512576633306</v>
      </c>
    </row>
    <row r="130" spans="1:11" x14ac:dyDescent="0.35">
      <c r="A130" s="7" t="s">
        <v>113</v>
      </c>
      <c r="B130" s="10" t="str">
        <f>INDEX(Studies!$G$5:$G$15,MATCH(A130,Studies!$A$5:$A$15,0))</f>
        <v>Brazil (Brasilia)</v>
      </c>
      <c r="C130" s="10" t="str">
        <f>INDEX(Studies!$N$5:$N$15,MATCH(A130,Studies!$A$5:$A$15,0))</f>
        <v>Validation</v>
      </c>
      <c r="D130" s="8" t="s">
        <v>209</v>
      </c>
      <c r="E130" s="11">
        <v>0.75</v>
      </c>
      <c r="F130" s="7">
        <v>1</v>
      </c>
      <c r="G130" s="7" t="s">
        <v>210</v>
      </c>
      <c r="H130" s="9" t="s">
        <v>176</v>
      </c>
      <c r="I130" s="12" t="str">
        <f t="shared" si="3"/>
        <v>No</v>
      </c>
      <c r="J130" s="13"/>
      <c r="K130" s="14">
        <f>IF(OR(INDEX(Standardised!$B$5:$B$15,MATCH(A130,Standardised!$A$5:$A$15,0))="Complete",INDEX(Standardised!$B$5:$B$15,MATCH(A130,Standardised!$A$5:$A$15,0))="Truncated"),(E130-INDEX(Standardised!$D$5:$D$15,MATCH(A130,Standardised!$A$5:$A$15,0)))/INDEX(Standardised!$E$5:$E$15,MATCH(A130,Standardised!$A$5:$A$15,0)),"")</f>
        <v>1.4373035690125766</v>
      </c>
    </row>
    <row r="131" spans="1:11" x14ac:dyDescent="0.35">
      <c r="A131" s="7" t="s">
        <v>113</v>
      </c>
      <c r="B131" s="10" t="str">
        <f>INDEX(Studies!$G$5:$G$15,MATCH(A131,Studies!$A$5:$A$15,0))</f>
        <v>Brazil (Brasilia)</v>
      </c>
      <c r="C131" s="10" t="str">
        <f>INDEX(Studies!$N$5:$N$15,MATCH(A131,Studies!$A$5:$A$15,0))</f>
        <v>Validation</v>
      </c>
      <c r="D131" s="8" t="s">
        <v>351</v>
      </c>
      <c r="E131" s="11">
        <v>0.73</v>
      </c>
      <c r="F131" s="7">
        <v>2</v>
      </c>
      <c r="G131" s="7" t="s">
        <v>352</v>
      </c>
      <c r="H131" s="9" t="s">
        <v>176</v>
      </c>
      <c r="I131" s="12" t="str">
        <f t="shared" si="3"/>
        <v>No</v>
      </c>
      <c r="J131" s="13"/>
      <c r="K131" s="14">
        <f>IF(OR(INDEX(Standardised!$B$5:$B$15,MATCH(A131,Standardised!$A$5:$A$15,0))="Complete",INDEX(Standardised!$B$5:$B$15,MATCH(A131,Standardised!$A$5:$A$15,0))="Truncated"),(E131-INDEX(Standardised!$D$5:$D$15,MATCH(A131,Standardised!$A$5:$A$15,0)))/INDEX(Standardised!$E$5:$E$15,MATCH(A131,Standardised!$A$5:$A$15,0)),"")</f>
        <v>1.254110336637102</v>
      </c>
    </row>
    <row r="132" spans="1:11" x14ac:dyDescent="0.35">
      <c r="A132" s="7" t="s">
        <v>113</v>
      </c>
      <c r="B132" s="10" t="str">
        <f>INDEX(Studies!$G$5:$G$15,MATCH(A132,Studies!$A$5:$A$15,0))</f>
        <v>Brazil (Brasilia)</v>
      </c>
      <c r="C132" s="10" t="str">
        <f>INDEX(Studies!$N$5:$N$15,MATCH(A132,Studies!$A$5:$A$15,0))</f>
        <v>Validation</v>
      </c>
      <c r="D132" s="8" t="s">
        <v>353</v>
      </c>
      <c r="E132" s="11">
        <v>0.72499999999999998</v>
      </c>
      <c r="F132" s="7">
        <v>3</v>
      </c>
      <c r="G132" s="7" t="s">
        <v>190</v>
      </c>
      <c r="H132" s="9" t="s">
        <v>176</v>
      </c>
      <c r="I132" s="12" t="str">
        <f t="shared" si="3"/>
        <v>No</v>
      </c>
      <c r="J132" s="13"/>
      <c r="K132" s="14">
        <f>IF(OR(INDEX(Standardised!$B$5:$B$15,MATCH(A132,Standardised!$A$5:$A$15,0))="Complete",INDEX(Standardised!$B$5:$B$15,MATCH(A132,Standardised!$A$5:$A$15,0))="Truncated"),(E132-INDEX(Standardised!$D$5:$D$15,MATCH(A132,Standardised!$A$5:$A$15,0)))/INDEX(Standardised!$E$5:$E$15,MATCH(A132,Standardised!$A$5:$A$15,0)),"")</f>
        <v>1.2083120285432334</v>
      </c>
    </row>
    <row r="133" spans="1:11" x14ac:dyDescent="0.35">
      <c r="A133" s="7" t="s">
        <v>113</v>
      </c>
      <c r="B133" s="10" t="str">
        <f>INDEX(Studies!$G$5:$G$15,MATCH(A133,Studies!$A$5:$A$15,0))</f>
        <v>Brazil (Brasilia)</v>
      </c>
      <c r="C133" s="10" t="str">
        <f>INDEX(Studies!$N$5:$N$15,MATCH(A133,Studies!$A$5:$A$15,0))</f>
        <v>Validation</v>
      </c>
      <c r="D133" s="8" t="s">
        <v>354</v>
      </c>
      <c r="E133" s="11">
        <v>0.70499999999999996</v>
      </c>
      <c r="F133" s="7">
        <v>4</v>
      </c>
      <c r="G133" s="7" t="s">
        <v>190</v>
      </c>
      <c r="H133" s="9" t="s">
        <v>176</v>
      </c>
      <c r="I133" s="12" t="str">
        <f t="shared" ref="I133:I164" si="4">IF(AND(C133="Seed",H133="Direct",G133&lt;&gt;""),"Yes","No")</f>
        <v>No</v>
      </c>
      <c r="J133" s="13"/>
      <c r="K133" s="14">
        <f>IF(OR(INDEX(Standardised!$B$5:$B$15,MATCH(A133,Standardised!$A$5:$A$15,0))="Complete",INDEX(Standardised!$B$5:$B$15,MATCH(A133,Standardised!$A$5:$A$15,0))="Truncated"),(E133-INDEX(Standardised!$D$5:$D$15,MATCH(A133,Standardised!$A$5:$A$15,0)))/INDEX(Standardised!$E$5:$E$15,MATCH(A133,Standardised!$A$5:$A$15,0)),"")</f>
        <v>1.0251187961677588</v>
      </c>
    </row>
    <row r="134" spans="1:11" x14ac:dyDescent="0.35">
      <c r="A134" s="7" t="s">
        <v>113</v>
      </c>
      <c r="B134" s="10" t="str">
        <f>INDEX(Studies!$G$5:$G$15,MATCH(A134,Studies!$A$5:$A$15,0))</f>
        <v>Brazil (Brasilia)</v>
      </c>
      <c r="C134" s="10" t="str">
        <f>INDEX(Studies!$N$5:$N$15,MATCH(A134,Studies!$A$5:$A$15,0))</f>
        <v>Validation</v>
      </c>
      <c r="D134" s="8" t="s">
        <v>355</v>
      </c>
      <c r="E134" s="11">
        <v>0.69499999999999995</v>
      </c>
      <c r="F134" s="7">
        <v>5</v>
      </c>
      <c r="G134" s="7" t="s">
        <v>213</v>
      </c>
      <c r="H134" s="9" t="s">
        <v>176</v>
      </c>
      <c r="I134" s="12" t="str">
        <f t="shared" si="4"/>
        <v>No</v>
      </c>
      <c r="J134" s="13"/>
      <c r="K134" s="14">
        <f>IF(OR(INDEX(Standardised!$B$5:$B$15,MATCH(A134,Standardised!$A$5:$A$15,0))="Complete",INDEX(Standardised!$B$5:$B$15,MATCH(A134,Standardised!$A$5:$A$15,0))="Truncated"),(E134-INDEX(Standardised!$D$5:$D$15,MATCH(A134,Standardised!$A$5:$A$15,0)))/INDEX(Standardised!$E$5:$E$15,MATCH(A134,Standardised!$A$5:$A$15,0)),"")</f>
        <v>0.93352217998002163</v>
      </c>
    </row>
    <row r="135" spans="1:11" x14ac:dyDescent="0.35">
      <c r="A135" s="7" t="s">
        <v>113</v>
      </c>
      <c r="B135" s="10" t="str">
        <f>INDEX(Studies!$G$5:$G$15,MATCH(A135,Studies!$A$5:$A$15,0))</f>
        <v>Brazil (Brasilia)</v>
      </c>
      <c r="C135" s="10" t="str">
        <f>INDEX(Studies!$N$5:$N$15,MATCH(A135,Studies!$A$5:$A$15,0))</f>
        <v>Validation</v>
      </c>
      <c r="D135" s="8" t="s">
        <v>356</v>
      </c>
      <c r="E135" s="11">
        <v>0.69</v>
      </c>
      <c r="F135" s="7">
        <v>6</v>
      </c>
      <c r="G135" s="7" t="s">
        <v>178</v>
      </c>
      <c r="H135" s="9" t="s">
        <v>199</v>
      </c>
      <c r="I135" s="12" t="str">
        <f t="shared" si="4"/>
        <v>No</v>
      </c>
      <c r="J135" s="13" t="s">
        <v>357</v>
      </c>
      <c r="K135" s="14">
        <f>IF(OR(INDEX(Standardised!$B$5:$B$15,MATCH(A135,Standardised!$A$5:$A$15,0))="Complete",INDEX(Standardised!$B$5:$B$15,MATCH(A135,Standardised!$A$5:$A$15,0))="Truncated"),(E135-INDEX(Standardised!$D$5:$D$15,MATCH(A135,Standardised!$A$5:$A$15,0)))/INDEX(Standardised!$E$5:$E$15,MATCH(A135,Standardised!$A$5:$A$15,0)),"")</f>
        <v>0.88772387188615298</v>
      </c>
    </row>
    <row r="136" spans="1:11" x14ac:dyDescent="0.35">
      <c r="A136" s="7" t="s">
        <v>113</v>
      </c>
      <c r="B136" s="10" t="str">
        <f>INDEX(Studies!$G$5:$G$15,MATCH(A136,Studies!$A$5:$A$15,0))</f>
        <v>Brazil (Brasilia)</v>
      </c>
      <c r="C136" s="10" t="str">
        <f>INDEX(Studies!$N$5:$N$15,MATCH(A136,Studies!$A$5:$A$15,0))</f>
        <v>Validation</v>
      </c>
      <c r="D136" s="8" t="s">
        <v>358</v>
      </c>
      <c r="E136" s="11">
        <v>0.69</v>
      </c>
      <c r="F136" s="7">
        <v>6</v>
      </c>
      <c r="G136" s="7" t="s">
        <v>213</v>
      </c>
      <c r="H136" s="9" t="s">
        <v>176</v>
      </c>
      <c r="I136" s="12" t="str">
        <f t="shared" si="4"/>
        <v>No</v>
      </c>
      <c r="J136" s="13"/>
      <c r="K136" s="14">
        <f>IF(OR(INDEX(Standardised!$B$5:$B$15,MATCH(A136,Standardised!$A$5:$A$15,0))="Complete",INDEX(Standardised!$B$5:$B$15,MATCH(A136,Standardised!$A$5:$A$15,0))="Truncated"),(E136-INDEX(Standardised!$D$5:$D$15,MATCH(A136,Standardised!$A$5:$A$15,0)))/INDEX(Standardised!$E$5:$E$15,MATCH(A136,Standardised!$A$5:$A$15,0)),"")</f>
        <v>0.88772387188615298</v>
      </c>
    </row>
    <row r="137" spans="1:11" x14ac:dyDescent="0.35">
      <c r="A137" s="7" t="s">
        <v>113</v>
      </c>
      <c r="B137" s="10" t="str">
        <f>INDEX(Studies!$G$5:$G$15,MATCH(A137,Studies!$A$5:$A$15,0))</f>
        <v>Brazil (Brasilia)</v>
      </c>
      <c r="C137" s="10" t="str">
        <f>INDEX(Studies!$N$5:$N$15,MATCH(A137,Studies!$A$5:$A$15,0))</f>
        <v>Validation</v>
      </c>
      <c r="D137" s="8" t="s">
        <v>359</v>
      </c>
      <c r="E137" s="11">
        <v>0.67</v>
      </c>
      <c r="F137" s="7">
        <v>8</v>
      </c>
      <c r="G137" s="7" t="s">
        <v>213</v>
      </c>
      <c r="H137" s="9" t="s">
        <v>199</v>
      </c>
      <c r="I137" s="12" t="str">
        <f t="shared" si="4"/>
        <v>No</v>
      </c>
      <c r="J137" s="13" t="s">
        <v>360</v>
      </c>
      <c r="K137" s="14">
        <f>IF(OR(INDEX(Standardised!$B$5:$B$15,MATCH(A137,Standardised!$A$5:$A$15,0))="Complete",INDEX(Standardised!$B$5:$B$15,MATCH(A137,Standardised!$A$5:$A$15,0))="Truncated"),(E137-INDEX(Standardised!$D$5:$D$15,MATCH(A137,Standardised!$A$5:$A$15,0)))/INDEX(Standardised!$E$5:$E$15,MATCH(A137,Standardised!$A$5:$A$15,0)),"")</f>
        <v>0.7045306395106794</v>
      </c>
    </row>
    <row r="138" spans="1:11" x14ac:dyDescent="0.35">
      <c r="A138" s="7" t="s">
        <v>113</v>
      </c>
      <c r="B138" s="10" t="str">
        <f>INDEX(Studies!$G$5:$G$15,MATCH(A138,Studies!$A$5:$A$15,0))</f>
        <v>Brazil (Brasilia)</v>
      </c>
      <c r="C138" s="10" t="str">
        <f>INDEX(Studies!$N$5:$N$15,MATCH(A138,Studies!$A$5:$A$15,0))</f>
        <v>Validation</v>
      </c>
      <c r="D138" s="8" t="s">
        <v>361</v>
      </c>
      <c r="E138" s="11">
        <v>0.65</v>
      </c>
      <c r="F138" s="7">
        <v>9</v>
      </c>
      <c r="G138" s="7" t="s">
        <v>222</v>
      </c>
      <c r="H138" s="9" t="s">
        <v>199</v>
      </c>
      <c r="I138" s="12" t="str">
        <f t="shared" si="4"/>
        <v>No</v>
      </c>
      <c r="J138" s="13"/>
      <c r="K138" s="14">
        <f>IF(OR(INDEX(Standardised!$B$5:$B$15,MATCH(A138,Standardised!$A$5:$A$15,0))="Complete",INDEX(Standardised!$B$5:$B$15,MATCH(A138,Standardised!$A$5:$A$15,0))="Truncated"),(E138-INDEX(Standardised!$D$5:$D$15,MATCH(A138,Standardised!$A$5:$A$15,0)))/INDEX(Standardised!$E$5:$E$15,MATCH(A138,Standardised!$A$5:$A$15,0)),"")</f>
        <v>0.52133740713520482</v>
      </c>
    </row>
    <row r="139" spans="1:11" x14ac:dyDescent="0.35">
      <c r="A139" s="7" t="s">
        <v>113</v>
      </c>
      <c r="B139" s="10" t="str">
        <f>INDEX(Studies!$G$5:$G$15,MATCH(A139,Studies!$A$5:$A$15,0))</f>
        <v>Brazil (Brasilia)</v>
      </c>
      <c r="C139" s="10" t="str">
        <f>INDEX(Studies!$N$5:$N$15,MATCH(A139,Studies!$A$5:$A$15,0))</f>
        <v>Validation</v>
      </c>
      <c r="D139" s="8" t="s">
        <v>362</v>
      </c>
      <c r="E139" s="11">
        <v>0.65</v>
      </c>
      <c r="F139" s="7">
        <v>9</v>
      </c>
      <c r="G139" s="7" t="s">
        <v>183</v>
      </c>
      <c r="H139" s="9" t="s">
        <v>176</v>
      </c>
      <c r="I139" s="12" t="str">
        <f t="shared" si="4"/>
        <v>No</v>
      </c>
      <c r="J139" s="13"/>
      <c r="K139" s="14">
        <f>IF(OR(INDEX(Standardised!$B$5:$B$15,MATCH(A139,Standardised!$A$5:$A$15,0))="Complete",INDEX(Standardised!$B$5:$B$15,MATCH(A139,Standardised!$A$5:$A$15,0))="Truncated"),(E139-INDEX(Standardised!$D$5:$D$15,MATCH(A139,Standardised!$A$5:$A$15,0)))/INDEX(Standardised!$E$5:$E$15,MATCH(A139,Standardised!$A$5:$A$15,0)),"")</f>
        <v>0.52133740713520482</v>
      </c>
    </row>
    <row r="140" spans="1:11" x14ac:dyDescent="0.35">
      <c r="A140" s="7" t="s">
        <v>113</v>
      </c>
      <c r="B140" s="10" t="str">
        <f>INDEX(Studies!$G$5:$G$15,MATCH(A140,Studies!$A$5:$A$15,0))</f>
        <v>Brazil (Brasilia)</v>
      </c>
      <c r="C140" s="10" t="str">
        <f>INDEX(Studies!$N$5:$N$15,MATCH(A140,Studies!$A$5:$A$15,0))</f>
        <v>Validation</v>
      </c>
      <c r="D140" s="8" t="s">
        <v>363</v>
      </c>
      <c r="E140" s="11">
        <v>0.64</v>
      </c>
      <c r="F140" s="7">
        <v>11</v>
      </c>
      <c r="G140" s="7" t="s">
        <v>178</v>
      </c>
      <c r="H140" s="9" t="s">
        <v>176</v>
      </c>
      <c r="I140" s="12" t="str">
        <f t="shared" si="4"/>
        <v>No</v>
      </c>
      <c r="J140" s="13"/>
      <c r="K140" s="14">
        <f>IF(OR(INDEX(Standardised!$B$5:$B$15,MATCH(A140,Standardised!$A$5:$A$15,0))="Complete",INDEX(Standardised!$B$5:$B$15,MATCH(A140,Standardised!$A$5:$A$15,0))="Truncated"),(E140-INDEX(Standardised!$D$5:$D$15,MATCH(A140,Standardised!$A$5:$A$15,0)))/INDEX(Standardised!$E$5:$E$15,MATCH(A140,Standardised!$A$5:$A$15,0)),"")</f>
        <v>0.42974079094746753</v>
      </c>
    </row>
    <row r="141" spans="1:11" x14ac:dyDescent="0.35">
      <c r="A141" s="7" t="s">
        <v>113</v>
      </c>
      <c r="B141" s="10" t="str">
        <f>INDEX(Studies!$G$5:$G$15,MATCH(A141,Studies!$A$5:$A$15,0))</f>
        <v>Brazil (Brasilia)</v>
      </c>
      <c r="C141" s="10" t="str">
        <f>INDEX(Studies!$N$5:$N$15,MATCH(A141,Studies!$A$5:$A$15,0))</f>
        <v>Validation</v>
      </c>
      <c r="D141" s="8" t="s">
        <v>364</v>
      </c>
      <c r="E141" s="11">
        <v>0.63</v>
      </c>
      <c r="F141" s="7">
        <v>12</v>
      </c>
      <c r="G141" s="7" t="s">
        <v>178</v>
      </c>
      <c r="H141" s="9" t="s">
        <v>199</v>
      </c>
      <c r="I141" s="12" t="str">
        <f t="shared" si="4"/>
        <v>No</v>
      </c>
      <c r="J141" s="13" t="s">
        <v>365</v>
      </c>
      <c r="K141" s="14">
        <f>IF(OR(INDEX(Standardised!$B$5:$B$15,MATCH(A141,Standardised!$A$5:$A$15,0))="Complete",INDEX(Standardised!$B$5:$B$15,MATCH(A141,Standardised!$A$5:$A$15,0))="Truncated"),(E141-INDEX(Standardised!$D$5:$D$15,MATCH(A141,Standardised!$A$5:$A$15,0)))/INDEX(Standardised!$E$5:$E$15,MATCH(A141,Standardised!$A$5:$A$15,0)),"")</f>
        <v>0.33814417475973024</v>
      </c>
    </row>
    <row r="142" spans="1:11" x14ac:dyDescent="0.35">
      <c r="A142" s="7" t="s">
        <v>113</v>
      </c>
      <c r="B142" s="10" t="str">
        <f>INDEX(Studies!$G$5:$G$15,MATCH(A142,Studies!$A$5:$A$15,0))</f>
        <v>Brazil (Brasilia)</v>
      </c>
      <c r="C142" s="10" t="str">
        <f>INDEX(Studies!$N$5:$N$15,MATCH(A142,Studies!$A$5:$A$15,0))</f>
        <v>Validation</v>
      </c>
      <c r="D142" s="8" t="s">
        <v>366</v>
      </c>
      <c r="E142" s="11">
        <v>0.61499999999999999</v>
      </c>
      <c r="F142" s="7">
        <v>13</v>
      </c>
      <c r="G142" s="7" t="s">
        <v>183</v>
      </c>
      <c r="H142" s="9" t="s">
        <v>176</v>
      </c>
      <c r="I142" s="12" t="str">
        <f t="shared" si="4"/>
        <v>No</v>
      </c>
      <c r="J142" s="13"/>
      <c r="K142" s="14">
        <f>IF(OR(INDEX(Standardised!$B$5:$B$15,MATCH(A142,Standardised!$A$5:$A$15,0))="Complete",INDEX(Standardised!$B$5:$B$15,MATCH(A142,Standardised!$A$5:$A$15,0))="Truncated"),(E142-INDEX(Standardised!$D$5:$D$15,MATCH(A142,Standardised!$A$5:$A$15,0)))/INDEX(Standardised!$E$5:$E$15,MATCH(A142,Standardised!$A$5:$A$15,0)),"")</f>
        <v>0.20074925047812431</v>
      </c>
    </row>
    <row r="143" spans="1:11" x14ac:dyDescent="0.35">
      <c r="A143" s="7" t="s">
        <v>113</v>
      </c>
      <c r="B143" s="10" t="str">
        <f>INDEX(Studies!$G$5:$G$15,MATCH(A143,Studies!$A$5:$A$15,0))</f>
        <v>Brazil (Brasilia)</v>
      </c>
      <c r="C143" s="10" t="str">
        <f>INDEX(Studies!$N$5:$N$15,MATCH(A143,Studies!$A$5:$A$15,0))</f>
        <v>Validation</v>
      </c>
      <c r="D143" s="8" t="s">
        <v>367</v>
      </c>
      <c r="E143" s="11">
        <v>0.61</v>
      </c>
      <c r="F143" s="7">
        <v>14</v>
      </c>
      <c r="G143" s="7" t="s">
        <v>254</v>
      </c>
      <c r="H143" s="9" t="s">
        <v>176</v>
      </c>
      <c r="I143" s="12" t="str">
        <f t="shared" si="4"/>
        <v>No</v>
      </c>
      <c r="J143" s="13"/>
      <c r="K143" s="14">
        <f>IF(OR(INDEX(Standardised!$B$5:$B$15,MATCH(A143,Standardised!$A$5:$A$15,0))="Complete",INDEX(Standardised!$B$5:$B$15,MATCH(A143,Standardised!$A$5:$A$15,0))="Truncated"),(E143-INDEX(Standardised!$D$5:$D$15,MATCH(A143,Standardised!$A$5:$A$15,0)))/INDEX(Standardised!$E$5:$E$15,MATCH(A143,Standardised!$A$5:$A$15,0)),"")</f>
        <v>0.15495094238425566</v>
      </c>
    </row>
    <row r="144" spans="1:11" ht="25" x14ac:dyDescent="0.35">
      <c r="A144" s="7" t="s">
        <v>113</v>
      </c>
      <c r="B144" s="10" t="str">
        <f>INDEX(Studies!$G$5:$G$15,MATCH(A144,Studies!$A$5:$A$15,0))</f>
        <v>Brazil (Brasilia)</v>
      </c>
      <c r="C144" s="10" t="str">
        <f>INDEX(Studies!$N$5:$N$15,MATCH(A144,Studies!$A$5:$A$15,0))</f>
        <v>Validation</v>
      </c>
      <c r="D144" s="8" t="s">
        <v>368</v>
      </c>
      <c r="E144" s="11">
        <v>0.59</v>
      </c>
      <c r="F144" s="7">
        <v>15</v>
      </c>
      <c r="G144" s="7" t="s">
        <v>183</v>
      </c>
      <c r="H144" s="9" t="s">
        <v>199</v>
      </c>
      <c r="I144" s="12" t="str">
        <f t="shared" si="4"/>
        <v>No</v>
      </c>
      <c r="J144" s="13" t="s">
        <v>369</v>
      </c>
      <c r="K144" s="14">
        <f>IF(OR(INDEX(Standardised!$B$5:$B$15,MATCH(A144,Standardised!$A$5:$A$15,0))="Complete",INDEX(Standardised!$B$5:$B$15,MATCH(A144,Standardised!$A$5:$A$15,0))="Truncated"),(E144-INDEX(Standardised!$D$5:$D$15,MATCH(A144,Standardised!$A$5:$A$15,0)))/INDEX(Standardised!$E$5:$E$15,MATCH(A144,Standardised!$A$5:$A$15,0)),"")</f>
        <v>-2.8242289991218913E-2</v>
      </c>
    </row>
    <row r="145" spans="1:11" x14ac:dyDescent="0.35">
      <c r="A145" s="7" t="s">
        <v>113</v>
      </c>
      <c r="B145" s="10" t="str">
        <f>INDEX(Studies!$G$5:$G$15,MATCH(A145,Studies!$A$5:$A$15,0))</f>
        <v>Brazil (Brasilia)</v>
      </c>
      <c r="C145" s="10" t="str">
        <f>INDEX(Studies!$N$5:$N$15,MATCH(A145,Studies!$A$5:$A$15,0))</f>
        <v>Validation</v>
      </c>
      <c r="D145" s="8" t="s">
        <v>370</v>
      </c>
      <c r="E145" s="11">
        <v>0.52</v>
      </c>
      <c r="F145" s="7">
        <v>16</v>
      </c>
      <c r="G145" s="7" t="s">
        <v>222</v>
      </c>
      <c r="H145" s="9" t="s">
        <v>176</v>
      </c>
      <c r="I145" s="12" t="str">
        <f t="shared" si="4"/>
        <v>No</v>
      </c>
      <c r="J145" s="13"/>
      <c r="K145" s="14">
        <f>IF(OR(INDEX(Standardised!$B$5:$B$15,MATCH(A145,Standardised!$A$5:$A$15,0))="Complete",INDEX(Standardised!$B$5:$B$15,MATCH(A145,Standardised!$A$5:$A$15,0))="Truncated"),(E145-INDEX(Standardised!$D$5:$D$15,MATCH(A145,Standardised!$A$5:$A$15,0)))/INDEX(Standardised!$E$5:$E$15,MATCH(A145,Standardised!$A$5:$A$15,0)),"")</f>
        <v>-0.66941860330537895</v>
      </c>
    </row>
    <row r="146" spans="1:11" x14ac:dyDescent="0.35">
      <c r="A146" s="7" t="s">
        <v>113</v>
      </c>
      <c r="B146" s="10" t="str">
        <f>INDEX(Studies!$G$5:$G$15,MATCH(A146,Studies!$A$5:$A$15,0))</f>
        <v>Brazil (Brasilia)</v>
      </c>
      <c r="C146" s="10" t="str">
        <f>INDEX(Studies!$N$5:$N$15,MATCH(A146,Studies!$A$5:$A$15,0))</f>
        <v>Validation</v>
      </c>
      <c r="D146" s="8" t="s">
        <v>371</v>
      </c>
      <c r="E146" s="11">
        <v>0.51</v>
      </c>
      <c r="F146" s="7">
        <v>17</v>
      </c>
      <c r="G146" s="7" t="s">
        <v>201</v>
      </c>
      <c r="H146" s="9" t="s">
        <v>199</v>
      </c>
      <c r="I146" s="12" t="str">
        <f t="shared" si="4"/>
        <v>No</v>
      </c>
      <c r="J146" s="13" t="s">
        <v>372</v>
      </c>
      <c r="K146" s="14">
        <f>IF(OR(INDEX(Standardised!$B$5:$B$15,MATCH(A146,Standardised!$A$5:$A$15,0))="Complete",INDEX(Standardised!$B$5:$B$15,MATCH(A146,Standardised!$A$5:$A$15,0))="Truncated"),(E146-INDEX(Standardised!$D$5:$D$15,MATCH(A146,Standardised!$A$5:$A$15,0)))/INDEX(Standardised!$E$5:$E$15,MATCH(A146,Standardised!$A$5:$A$15,0)),"")</f>
        <v>-0.76101521949311624</v>
      </c>
    </row>
    <row r="147" spans="1:11" x14ac:dyDescent="0.35">
      <c r="A147" s="7" t="s">
        <v>113</v>
      </c>
      <c r="B147" s="10" t="str">
        <f>INDEX(Studies!$G$5:$G$15,MATCH(A147,Studies!$A$5:$A$15,0))</f>
        <v>Brazil (Brasilia)</v>
      </c>
      <c r="C147" s="10" t="str">
        <f>INDEX(Studies!$N$5:$N$15,MATCH(A147,Studies!$A$5:$A$15,0))</f>
        <v>Validation</v>
      </c>
      <c r="D147" s="8" t="s">
        <v>373</v>
      </c>
      <c r="E147" s="11">
        <v>0.48499999999999999</v>
      </c>
      <c r="F147" s="7">
        <v>18</v>
      </c>
      <c r="G147" s="7" t="s">
        <v>374</v>
      </c>
      <c r="H147" s="9" t="s">
        <v>176</v>
      </c>
      <c r="I147" s="12" t="str">
        <f t="shared" si="4"/>
        <v>No</v>
      </c>
      <c r="J147" s="13" t="s">
        <v>375</v>
      </c>
      <c r="K147" s="14">
        <f>IF(OR(INDEX(Standardised!$B$5:$B$15,MATCH(A147,Standardised!$A$5:$A$15,0))="Complete",INDEX(Standardised!$B$5:$B$15,MATCH(A147,Standardised!$A$5:$A$15,0))="Truncated"),(E147-INDEX(Standardised!$D$5:$D$15,MATCH(A147,Standardised!$A$5:$A$15,0)))/INDEX(Standardised!$E$5:$E$15,MATCH(A147,Standardised!$A$5:$A$15,0)),"")</f>
        <v>-0.99000675996245946</v>
      </c>
    </row>
    <row r="148" spans="1:11" x14ac:dyDescent="0.35">
      <c r="A148" s="7" t="s">
        <v>113</v>
      </c>
      <c r="B148" s="10" t="str">
        <f>INDEX(Studies!$G$5:$G$15,MATCH(A148,Studies!$A$5:$A$15,0))</f>
        <v>Brazil (Brasilia)</v>
      </c>
      <c r="C148" s="10" t="str">
        <f>INDEX(Studies!$N$5:$N$15,MATCH(A148,Studies!$A$5:$A$15,0))</f>
        <v>Validation</v>
      </c>
      <c r="D148" s="8" t="s">
        <v>376</v>
      </c>
      <c r="E148" s="11">
        <v>0.47499999999999998</v>
      </c>
      <c r="F148" s="7">
        <v>19</v>
      </c>
      <c r="G148" s="7" t="s">
        <v>188</v>
      </c>
      <c r="H148" s="9" t="s">
        <v>176</v>
      </c>
      <c r="I148" s="12" t="str">
        <f t="shared" si="4"/>
        <v>No</v>
      </c>
      <c r="J148" s="13"/>
      <c r="K148" s="14">
        <f>IF(OR(INDEX(Standardised!$B$5:$B$15,MATCH(A148,Standardised!$A$5:$A$15,0))="Complete",INDEX(Standardised!$B$5:$B$15,MATCH(A148,Standardised!$A$5:$A$15,0))="Truncated"),(E148-INDEX(Standardised!$D$5:$D$15,MATCH(A148,Standardised!$A$5:$A$15,0)))/INDEX(Standardised!$E$5:$E$15,MATCH(A148,Standardised!$A$5:$A$15,0)),"")</f>
        <v>-1.0816033761501966</v>
      </c>
    </row>
    <row r="149" spans="1:11" x14ac:dyDescent="0.35">
      <c r="A149" s="7" t="s">
        <v>113</v>
      </c>
      <c r="B149" s="10" t="str">
        <f>INDEX(Studies!$G$5:$G$15,MATCH(A149,Studies!$A$5:$A$15,0))</f>
        <v>Brazil (Brasilia)</v>
      </c>
      <c r="C149" s="10" t="str">
        <f>INDEX(Studies!$N$5:$N$15,MATCH(A149,Studies!$A$5:$A$15,0))</f>
        <v>Validation</v>
      </c>
      <c r="D149" s="8" t="s">
        <v>377</v>
      </c>
      <c r="E149" s="11">
        <v>0.45500000000000002</v>
      </c>
      <c r="F149" s="7">
        <v>20</v>
      </c>
      <c r="G149" s="7" t="s">
        <v>201</v>
      </c>
      <c r="H149" s="9" t="s">
        <v>176</v>
      </c>
      <c r="I149" s="12" t="str">
        <f t="shared" si="4"/>
        <v>No</v>
      </c>
      <c r="J149" s="13"/>
      <c r="K149" s="14">
        <f>IF(OR(INDEX(Standardised!$B$5:$B$15,MATCH(A149,Standardised!$A$5:$A$15,0))="Complete",INDEX(Standardised!$B$5:$B$15,MATCH(A149,Standardised!$A$5:$A$15,0))="Truncated"),(E149-INDEX(Standardised!$D$5:$D$15,MATCH(A149,Standardised!$A$5:$A$15,0)))/INDEX(Standardised!$E$5:$E$15,MATCH(A149,Standardised!$A$5:$A$15,0)),"")</f>
        <v>-1.2647966085256708</v>
      </c>
    </row>
    <row r="150" spans="1:11" x14ac:dyDescent="0.35">
      <c r="A150" s="7" t="s">
        <v>113</v>
      </c>
      <c r="B150" s="10" t="str">
        <f>INDEX(Studies!$G$5:$G$15,MATCH(A150,Studies!$A$5:$A$15,0))</f>
        <v>Brazil (Brasilia)</v>
      </c>
      <c r="C150" s="10" t="str">
        <f>INDEX(Studies!$N$5:$N$15,MATCH(A150,Studies!$A$5:$A$15,0))</f>
        <v>Validation</v>
      </c>
      <c r="D150" s="8" t="s">
        <v>378</v>
      </c>
      <c r="E150" s="11">
        <v>0.45500000000000002</v>
      </c>
      <c r="F150" s="7">
        <v>20</v>
      </c>
      <c r="G150" s="7" t="s">
        <v>195</v>
      </c>
      <c r="H150" s="9" t="s">
        <v>176</v>
      </c>
      <c r="I150" s="12" t="str">
        <f t="shared" si="4"/>
        <v>No</v>
      </c>
      <c r="J150" s="13" t="s">
        <v>346</v>
      </c>
      <c r="K150" s="14">
        <f>IF(OR(INDEX(Standardised!$B$5:$B$15,MATCH(A150,Standardised!$A$5:$A$15,0))="Complete",INDEX(Standardised!$B$5:$B$15,MATCH(A150,Standardised!$A$5:$A$15,0))="Truncated"),(E150-INDEX(Standardised!$D$5:$D$15,MATCH(A150,Standardised!$A$5:$A$15,0)))/INDEX(Standardised!$E$5:$E$15,MATCH(A150,Standardised!$A$5:$A$15,0)),"")</f>
        <v>-1.2647966085256708</v>
      </c>
    </row>
    <row r="151" spans="1:11" x14ac:dyDescent="0.35">
      <c r="A151" s="7" t="s">
        <v>113</v>
      </c>
      <c r="B151" s="10" t="str">
        <f>INDEX(Studies!$G$5:$G$15,MATCH(A151,Studies!$A$5:$A$15,0))</f>
        <v>Brazil (Brasilia)</v>
      </c>
      <c r="C151" s="10" t="str">
        <f>INDEX(Studies!$N$5:$N$15,MATCH(A151,Studies!$A$5:$A$15,0))</f>
        <v>Validation</v>
      </c>
      <c r="D151" s="8" t="s">
        <v>379</v>
      </c>
      <c r="E151" s="11">
        <v>0.44400000000000001</v>
      </c>
      <c r="F151" s="7">
        <v>22</v>
      </c>
      <c r="G151" s="7" t="s">
        <v>224</v>
      </c>
      <c r="H151" s="9" t="s">
        <v>176</v>
      </c>
      <c r="I151" s="12" t="str">
        <f t="shared" si="4"/>
        <v>No</v>
      </c>
      <c r="J151" s="13"/>
      <c r="K151" s="14">
        <f>IF(OR(INDEX(Standardised!$B$5:$B$15,MATCH(A151,Standardised!$A$5:$A$15,0))="Complete",INDEX(Standardised!$B$5:$B$15,MATCH(A151,Standardised!$A$5:$A$15,0))="Truncated"),(E151-INDEX(Standardised!$D$5:$D$15,MATCH(A151,Standardised!$A$5:$A$15,0)))/INDEX(Standardised!$E$5:$E$15,MATCH(A151,Standardised!$A$5:$A$15,0)),"")</f>
        <v>-1.3655528863321817</v>
      </c>
    </row>
    <row r="152" spans="1:11" x14ac:dyDescent="0.35">
      <c r="A152" s="7" t="s">
        <v>113</v>
      </c>
      <c r="B152" s="10" t="str">
        <f>INDEX(Studies!$G$5:$G$15,MATCH(A152,Studies!$A$5:$A$15,0))</f>
        <v>Brazil (Brasilia)</v>
      </c>
      <c r="C152" s="10" t="str">
        <f>INDEX(Studies!$N$5:$N$15,MATCH(A152,Studies!$A$5:$A$15,0))</f>
        <v>Validation</v>
      </c>
      <c r="D152" s="8" t="s">
        <v>380</v>
      </c>
      <c r="E152" s="11">
        <v>0.435</v>
      </c>
      <c r="F152" s="7">
        <v>23</v>
      </c>
      <c r="G152" s="7" t="s">
        <v>183</v>
      </c>
      <c r="H152" s="9" t="s">
        <v>176</v>
      </c>
      <c r="I152" s="12" t="str">
        <f t="shared" si="4"/>
        <v>No</v>
      </c>
      <c r="J152" s="13"/>
      <c r="K152" s="14">
        <f>IF(OR(INDEX(Standardised!$B$5:$B$15,MATCH(A152,Standardised!$A$5:$A$15,0))="Complete",INDEX(Standardised!$B$5:$B$15,MATCH(A152,Standardised!$A$5:$A$15,0))="Truncated"),(E152-INDEX(Standardised!$D$5:$D$15,MATCH(A152,Standardised!$A$5:$A$15,0)))/INDEX(Standardised!$E$5:$E$15,MATCH(A152,Standardised!$A$5:$A$15,0)),"")</f>
        <v>-1.4479898409011454</v>
      </c>
    </row>
    <row r="153" spans="1:11" x14ac:dyDescent="0.35">
      <c r="A153" s="7" t="s">
        <v>113</v>
      </c>
      <c r="B153" s="10" t="str">
        <f>INDEX(Studies!$G$5:$G$15,MATCH(A153,Studies!$A$5:$A$15,0))</f>
        <v>Brazil (Brasilia)</v>
      </c>
      <c r="C153" s="10" t="str">
        <f>INDEX(Studies!$N$5:$N$15,MATCH(A153,Studies!$A$5:$A$15,0))</f>
        <v>Validation</v>
      </c>
      <c r="D153" s="8" t="s">
        <v>381</v>
      </c>
      <c r="E153" s="11">
        <v>0.41499999999999998</v>
      </c>
      <c r="F153" s="7">
        <v>24</v>
      </c>
      <c r="G153" s="7" t="s">
        <v>201</v>
      </c>
      <c r="H153" s="9" t="s">
        <v>176</v>
      </c>
      <c r="I153" s="12" t="str">
        <f t="shared" si="4"/>
        <v>No</v>
      </c>
      <c r="J153" s="13"/>
      <c r="K153" s="14">
        <f>IF(OR(INDEX(Standardised!$B$5:$B$15,MATCH(A153,Standardised!$A$5:$A$15,0))="Complete",INDEX(Standardised!$B$5:$B$15,MATCH(A153,Standardised!$A$5:$A$15,0))="Truncated"),(E153-INDEX(Standardised!$D$5:$D$15,MATCH(A153,Standardised!$A$5:$A$15,0)))/INDEX(Standardised!$E$5:$E$15,MATCH(A153,Standardised!$A$5:$A$15,0)),"")</f>
        <v>-1.6311830732766199</v>
      </c>
    </row>
    <row r="154" spans="1:11" x14ac:dyDescent="0.35">
      <c r="A154" s="7" t="s">
        <v>123</v>
      </c>
      <c r="B154" s="10" t="str">
        <f>INDEX(Studies!$G$5:$G$15,MATCH(A154,Studies!$A$5:$A$15,0))</f>
        <v>Indonesia (East Java)</v>
      </c>
      <c r="C154" s="10" t="str">
        <f>INDEX(Studies!$N$5:$N$15,MATCH(A154,Studies!$A$5:$A$15,0))</f>
        <v>Validation</v>
      </c>
      <c r="D154" s="8" t="s">
        <v>382</v>
      </c>
      <c r="E154" s="11">
        <v>0.73499999999999999</v>
      </c>
      <c r="F154" s="7">
        <v>1</v>
      </c>
      <c r="G154" s="7" t="s">
        <v>181</v>
      </c>
      <c r="H154" s="9" t="s">
        <v>176</v>
      </c>
      <c r="I154" s="12" t="str">
        <f t="shared" si="4"/>
        <v>No</v>
      </c>
      <c r="J154" s="13"/>
      <c r="K154" s="14">
        <f>IF(OR(INDEX(Standardised!$B$5:$B$15,MATCH(A154,Standardised!$A$5:$A$15,0))="Complete",INDEX(Standardised!$B$5:$B$15,MATCH(A154,Standardised!$A$5:$A$15,0))="Truncated"),(E154-INDEX(Standardised!$D$5:$D$15,MATCH(A154,Standardised!$A$5:$A$15,0)))/INDEX(Standardised!$E$5:$E$15,MATCH(A154,Standardised!$A$5:$A$15,0)),"")</f>
        <v>1.3831459502321684</v>
      </c>
    </row>
    <row r="155" spans="1:11" x14ac:dyDescent="0.35">
      <c r="A155" s="7" t="s">
        <v>123</v>
      </c>
      <c r="B155" s="10" t="str">
        <f>INDEX(Studies!$G$5:$G$15,MATCH(A155,Studies!$A$5:$A$15,0))</f>
        <v>Indonesia (East Java)</v>
      </c>
      <c r="C155" s="10" t="str">
        <f>INDEX(Studies!$N$5:$N$15,MATCH(A155,Studies!$A$5:$A$15,0))</f>
        <v>Validation</v>
      </c>
      <c r="D155" s="8" t="s">
        <v>383</v>
      </c>
      <c r="E155" s="11">
        <v>0.72</v>
      </c>
      <c r="F155" s="7">
        <v>2</v>
      </c>
      <c r="G155" s="7" t="s">
        <v>192</v>
      </c>
      <c r="H155" s="9" t="s">
        <v>176</v>
      </c>
      <c r="I155" s="12" t="str">
        <f t="shared" si="4"/>
        <v>No</v>
      </c>
      <c r="J155" s="13"/>
      <c r="K155" s="14">
        <f>IF(OR(INDEX(Standardised!$B$5:$B$15,MATCH(A155,Standardised!$A$5:$A$15,0))="Complete",INDEX(Standardised!$B$5:$B$15,MATCH(A155,Standardised!$A$5:$A$15,0))="Truncated"),(E155-INDEX(Standardised!$D$5:$D$15,MATCH(A155,Standardised!$A$5:$A$15,0)))/INDEX(Standardised!$E$5:$E$15,MATCH(A155,Standardised!$A$5:$A$15,0)),"")</f>
        <v>1.2433728533282145</v>
      </c>
    </row>
    <row r="156" spans="1:11" x14ac:dyDescent="0.35">
      <c r="A156" s="7" t="s">
        <v>123</v>
      </c>
      <c r="B156" s="10" t="str">
        <f>INDEX(Studies!$G$5:$G$15,MATCH(A156,Studies!$A$5:$A$15,0))</f>
        <v>Indonesia (East Java)</v>
      </c>
      <c r="C156" s="10" t="str">
        <f>INDEX(Studies!$N$5:$N$15,MATCH(A156,Studies!$A$5:$A$15,0))</f>
        <v>Validation</v>
      </c>
      <c r="D156" s="8" t="s">
        <v>384</v>
      </c>
      <c r="E156" s="11">
        <v>0.71599999999999997</v>
      </c>
      <c r="F156" s="7">
        <v>3</v>
      </c>
      <c r="G156" s="7" t="s">
        <v>181</v>
      </c>
      <c r="H156" s="9" t="s">
        <v>176</v>
      </c>
      <c r="I156" s="12" t="str">
        <f t="shared" si="4"/>
        <v>No</v>
      </c>
      <c r="J156" s="13"/>
      <c r="K156" s="14">
        <f>IF(OR(INDEX(Standardised!$B$5:$B$15,MATCH(A156,Standardised!$A$5:$A$15,0))="Complete",INDEX(Standardised!$B$5:$B$15,MATCH(A156,Standardised!$A$5:$A$15,0))="Truncated"),(E156-INDEX(Standardised!$D$5:$D$15,MATCH(A156,Standardised!$A$5:$A$15,0)))/INDEX(Standardised!$E$5:$E$15,MATCH(A156,Standardised!$A$5:$A$15,0)),"")</f>
        <v>1.2061000274871601</v>
      </c>
    </row>
    <row r="157" spans="1:11" x14ac:dyDescent="0.35">
      <c r="A157" s="7" t="s">
        <v>123</v>
      </c>
      <c r="B157" s="10" t="str">
        <f>INDEX(Studies!$G$5:$G$15,MATCH(A157,Studies!$A$5:$A$15,0))</f>
        <v>Indonesia (East Java)</v>
      </c>
      <c r="C157" s="10" t="str">
        <f>INDEX(Studies!$N$5:$N$15,MATCH(A157,Studies!$A$5:$A$15,0))</f>
        <v>Validation</v>
      </c>
      <c r="D157" s="8" t="s">
        <v>385</v>
      </c>
      <c r="E157" s="11">
        <v>0.71599999999999997</v>
      </c>
      <c r="F157" s="7">
        <v>4</v>
      </c>
      <c r="G157" s="7" t="s">
        <v>185</v>
      </c>
      <c r="H157" s="9" t="s">
        <v>176</v>
      </c>
      <c r="I157" s="12" t="str">
        <f t="shared" si="4"/>
        <v>No</v>
      </c>
      <c r="J157" s="13"/>
      <c r="K157" s="14">
        <f>IF(OR(INDEX(Standardised!$B$5:$B$15,MATCH(A157,Standardised!$A$5:$A$15,0))="Complete",INDEX(Standardised!$B$5:$B$15,MATCH(A157,Standardised!$A$5:$A$15,0))="Truncated"),(E157-INDEX(Standardised!$D$5:$D$15,MATCH(A157,Standardised!$A$5:$A$15,0)))/INDEX(Standardised!$E$5:$E$15,MATCH(A157,Standardised!$A$5:$A$15,0)),"")</f>
        <v>1.2061000274871601</v>
      </c>
    </row>
    <row r="158" spans="1:11" x14ac:dyDescent="0.35">
      <c r="A158" s="7" t="s">
        <v>123</v>
      </c>
      <c r="B158" s="10" t="str">
        <f>INDEX(Studies!$G$5:$G$15,MATCH(A158,Studies!$A$5:$A$15,0))</f>
        <v>Indonesia (East Java)</v>
      </c>
      <c r="C158" s="10" t="str">
        <f>INDEX(Studies!$N$5:$N$15,MATCH(A158,Studies!$A$5:$A$15,0))</f>
        <v>Validation</v>
      </c>
      <c r="D158" s="8" t="s">
        <v>233</v>
      </c>
      <c r="E158" s="11">
        <v>0.71099999999999997</v>
      </c>
      <c r="F158" s="7">
        <v>5</v>
      </c>
      <c r="G158" s="7" t="s">
        <v>229</v>
      </c>
      <c r="H158" s="9" t="s">
        <v>176</v>
      </c>
      <c r="I158" s="12" t="str">
        <f t="shared" si="4"/>
        <v>No</v>
      </c>
      <c r="J158" s="13"/>
      <c r="K158" s="14">
        <f>IF(OR(INDEX(Standardised!$B$5:$B$15,MATCH(A158,Standardised!$A$5:$A$15,0))="Complete",INDEX(Standardised!$B$5:$B$15,MATCH(A158,Standardised!$A$5:$A$15,0))="Truncated"),(E158-INDEX(Standardised!$D$5:$D$15,MATCH(A158,Standardised!$A$5:$A$15,0)))/INDEX(Standardised!$E$5:$E$15,MATCH(A158,Standardised!$A$5:$A$15,0)),"")</f>
        <v>1.1595089951858422</v>
      </c>
    </row>
    <row r="159" spans="1:11" x14ac:dyDescent="0.35">
      <c r="A159" s="7" t="s">
        <v>123</v>
      </c>
      <c r="B159" s="10" t="str">
        <f>INDEX(Studies!$G$5:$G$15,MATCH(A159,Studies!$A$5:$A$15,0))</f>
        <v>Indonesia (East Java)</v>
      </c>
      <c r="C159" s="10" t="str">
        <f>INDEX(Studies!$N$5:$N$15,MATCH(A159,Studies!$A$5:$A$15,0))</f>
        <v>Validation</v>
      </c>
      <c r="D159" s="8" t="s">
        <v>386</v>
      </c>
      <c r="E159" s="11">
        <v>0.70099999999999996</v>
      </c>
      <c r="F159" s="7">
        <v>6</v>
      </c>
      <c r="G159" s="7" t="s">
        <v>208</v>
      </c>
      <c r="H159" s="9" t="s">
        <v>199</v>
      </c>
      <c r="I159" s="12" t="str">
        <f t="shared" si="4"/>
        <v>No</v>
      </c>
      <c r="J159" s="13"/>
      <c r="K159" s="14">
        <f>IF(OR(INDEX(Standardised!$B$5:$B$15,MATCH(A159,Standardised!$A$5:$A$15,0))="Complete",INDEX(Standardised!$B$5:$B$15,MATCH(A159,Standardised!$A$5:$A$15,0))="Truncated"),(E159-INDEX(Standardised!$D$5:$D$15,MATCH(A159,Standardised!$A$5:$A$15,0)))/INDEX(Standardised!$E$5:$E$15,MATCH(A159,Standardised!$A$5:$A$15,0)),"")</f>
        <v>1.0663269305832062</v>
      </c>
    </row>
    <row r="160" spans="1:11" x14ac:dyDescent="0.35">
      <c r="A160" s="7" t="s">
        <v>123</v>
      </c>
      <c r="B160" s="10" t="str">
        <f>INDEX(Studies!$G$5:$G$15,MATCH(A160,Studies!$A$5:$A$15,0))</f>
        <v>Indonesia (East Java)</v>
      </c>
      <c r="C160" s="10" t="str">
        <f>INDEX(Studies!$N$5:$N$15,MATCH(A160,Studies!$A$5:$A$15,0))</f>
        <v>Validation</v>
      </c>
      <c r="D160" s="8" t="s">
        <v>387</v>
      </c>
      <c r="E160" s="11">
        <v>0.68899999999999995</v>
      </c>
      <c r="F160" s="7">
        <v>7</v>
      </c>
      <c r="G160" s="7" t="s">
        <v>201</v>
      </c>
      <c r="H160" s="9" t="s">
        <v>176</v>
      </c>
      <c r="I160" s="12" t="str">
        <f t="shared" si="4"/>
        <v>No</v>
      </c>
      <c r="J160" s="13"/>
      <c r="K160" s="14">
        <f>IF(OR(INDEX(Standardised!$B$5:$B$15,MATCH(A160,Standardised!$A$5:$A$15,0))="Complete",INDEX(Standardised!$B$5:$B$15,MATCH(A160,Standardised!$A$5:$A$15,0))="Truncated"),(E160-INDEX(Standardised!$D$5:$D$15,MATCH(A160,Standardised!$A$5:$A$15,0)))/INDEX(Standardised!$E$5:$E$15,MATCH(A160,Standardised!$A$5:$A$15,0)),"")</f>
        <v>0.95450845306004306</v>
      </c>
    </row>
    <row r="161" spans="1:11" x14ac:dyDescent="0.35">
      <c r="A161" s="7" t="s">
        <v>123</v>
      </c>
      <c r="B161" s="10" t="str">
        <f>INDEX(Studies!$G$5:$G$15,MATCH(A161,Studies!$A$5:$A$15,0))</f>
        <v>Indonesia (East Java)</v>
      </c>
      <c r="C161" s="10" t="str">
        <f>INDEX(Studies!$N$5:$N$15,MATCH(A161,Studies!$A$5:$A$15,0))</f>
        <v>Validation</v>
      </c>
      <c r="D161" s="8" t="s">
        <v>388</v>
      </c>
      <c r="E161" s="11">
        <v>0.66</v>
      </c>
      <c r="F161" s="7">
        <v>8</v>
      </c>
      <c r="G161" s="7" t="s">
        <v>224</v>
      </c>
      <c r="H161" s="9" t="s">
        <v>199</v>
      </c>
      <c r="I161" s="12" t="str">
        <f t="shared" si="4"/>
        <v>No</v>
      </c>
      <c r="J161" s="13"/>
      <c r="K161" s="14">
        <f>IF(OR(INDEX(Standardised!$B$5:$B$15,MATCH(A161,Standardised!$A$5:$A$15,0))="Complete",INDEX(Standardised!$B$5:$B$15,MATCH(A161,Standardised!$A$5:$A$15,0))="Truncated"),(E161-INDEX(Standardised!$D$5:$D$15,MATCH(A161,Standardised!$A$5:$A$15,0)))/INDEX(Standardised!$E$5:$E$15,MATCH(A161,Standardised!$A$5:$A$15,0)),"")</f>
        <v>0.68428046571239975</v>
      </c>
    </row>
    <row r="162" spans="1:11" x14ac:dyDescent="0.35">
      <c r="A162" s="7" t="s">
        <v>123</v>
      </c>
      <c r="B162" s="10" t="str">
        <f>INDEX(Studies!$G$5:$G$15,MATCH(A162,Studies!$A$5:$A$15,0))</f>
        <v>Indonesia (East Java)</v>
      </c>
      <c r="C162" s="10" t="str">
        <f>INDEX(Studies!$N$5:$N$15,MATCH(A162,Studies!$A$5:$A$15,0))</f>
        <v>Validation</v>
      </c>
      <c r="D162" s="8" t="s">
        <v>389</v>
      </c>
      <c r="E162" s="11">
        <v>0.66</v>
      </c>
      <c r="F162" s="7">
        <v>9</v>
      </c>
      <c r="G162" s="7" t="s">
        <v>325</v>
      </c>
      <c r="H162" s="9" t="s">
        <v>176</v>
      </c>
      <c r="I162" s="12" t="str">
        <f t="shared" si="4"/>
        <v>No</v>
      </c>
      <c r="J162" s="13"/>
      <c r="K162" s="14">
        <f>IF(OR(INDEX(Standardised!$B$5:$B$15,MATCH(A162,Standardised!$A$5:$A$15,0))="Complete",INDEX(Standardised!$B$5:$B$15,MATCH(A162,Standardised!$A$5:$A$15,0))="Truncated"),(E162-INDEX(Standardised!$D$5:$D$15,MATCH(A162,Standardised!$A$5:$A$15,0)))/INDEX(Standardised!$E$5:$E$15,MATCH(A162,Standardised!$A$5:$A$15,0)),"")</f>
        <v>0.68428046571239975</v>
      </c>
    </row>
    <row r="163" spans="1:11" x14ac:dyDescent="0.35">
      <c r="A163" s="7" t="s">
        <v>123</v>
      </c>
      <c r="B163" s="10" t="str">
        <f>INDEX(Studies!$G$5:$G$15,MATCH(A163,Studies!$A$5:$A$15,0))</f>
        <v>Indonesia (East Java)</v>
      </c>
      <c r="C163" s="10" t="str">
        <f>INDEX(Studies!$N$5:$N$15,MATCH(A163,Studies!$A$5:$A$15,0))</f>
        <v>Validation</v>
      </c>
      <c r="D163" s="8" t="s">
        <v>390</v>
      </c>
      <c r="E163" s="11">
        <v>0.64300000000000002</v>
      </c>
      <c r="F163" s="7">
        <v>10</v>
      </c>
      <c r="G163" s="7" t="s">
        <v>188</v>
      </c>
      <c r="H163" s="9" t="s">
        <v>176</v>
      </c>
      <c r="I163" s="12" t="str">
        <f t="shared" si="4"/>
        <v>No</v>
      </c>
      <c r="J163" s="13"/>
      <c r="K163" s="14">
        <f>IF(OR(INDEX(Standardised!$B$5:$B$15,MATCH(A163,Standardised!$A$5:$A$15,0))="Complete",INDEX(Standardised!$B$5:$B$15,MATCH(A163,Standardised!$A$5:$A$15,0))="Truncated"),(E163-INDEX(Standardised!$D$5:$D$15,MATCH(A163,Standardised!$A$5:$A$15,0)))/INDEX(Standardised!$E$5:$E$15,MATCH(A163,Standardised!$A$5:$A$15,0)),"")</f>
        <v>0.52587095588791866</v>
      </c>
    </row>
    <row r="164" spans="1:11" x14ac:dyDescent="0.35">
      <c r="A164" s="7" t="s">
        <v>123</v>
      </c>
      <c r="B164" s="10" t="str">
        <f>INDEX(Studies!$G$5:$G$15,MATCH(A164,Studies!$A$5:$A$15,0))</f>
        <v>Indonesia (East Java)</v>
      </c>
      <c r="C164" s="10" t="str">
        <f>INDEX(Studies!$N$5:$N$15,MATCH(A164,Studies!$A$5:$A$15,0))</f>
        <v>Validation</v>
      </c>
      <c r="D164" s="8" t="s">
        <v>391</v>
      </c>
      <c r="E164" s="11">
        <v>0.61199999999999999</v>
      </c>
      <c r="F164" s="7">
        <v>11</v>
      </c>
      <c r="G164" s="7" t="s">
        <v>229</v>
      </c>
      <c r="H164" s="9" t="s">
        <v>176</v>
      </c>
      <c r="I164" s="12" t="str">
        <f t="shared" si="4"/>
        <v>No</v>
      </c>
      <c r="J164" s="13"/>
      <c r="K164" s="14">
        <f>IF(OR(INDEX(Standardised!$B$5:$B$15,MATCH(A164,Standardised!$A$5:$A$15,0))="Complete",INDEX(Standardised!$B$5:$B$15,MATCH(A164,Standardised!$A$5:$A$15,0))="Truncated"),(E164-INDEX(Standardised!$D$5:$D$15,MATCH(A164,Standardised!$A$5:$A$15,0)))/INDEX(Standardised!$E$5:$E$15,MATCH(A164,Standardised!$A$5:$A$15,0)),"")</f>
        <v>0.23700655561974715</v>
      </c>
    </row>
    <row r="165" spans="1:11" x14ac:dyDescent="0.35">
      <c r="A165" s="7" t="s">
        <v>123</v>
      </c>
      <c r="B165" s="10" t="str">
        <f>INDEX(Studies!$G$5:$G$15,MATCH(A165,Studies!$A$5:$A$15,0))</f>
        <v>Indonesia (East Java)</v>
      </c>
      <c r="C165" s="10" t="str">
        <f>INDEX(Studies!$N$5:$N$15,MATCH(A165,Studies!$A$5:$A$15,0))</f>
        <v>Validation</v>
      </c>
      <c r="D165" s="8" t="s">
        <v>392</v>
      </c>
      <c r="E165" s="11">
        <v>0.59799999999999998</v>
      </c>
      <c r="F165" s="7">
        <v>12</v>
      </c>
      <c r="G165" s="7"/>
      <c r="H165" s="9"/>
      <c r="I165" s="12" t="str">
        <f t="shared" ref="I165:I196" si="5">IF(AND(C165="Seed",H165="Direct",G165&lt;&gt;""),"Yes","No")</f>
        <v>No</v>
      </c>
      <c r="J165" s="13"/>
      <c r="K165" s="14">
        <f>IF(OR(INDEX(Standardised!$B$5:$B$15,MATCH(A165,Standardised!$A$5:$A$15,0))="Complete",INDEX(Standardised!$B$5:$B$15,MATCH(A165,Standardised!$A$5:$A$15,0))="Truncated"),(E165-INDEX(Standardised!$D$5:$D$15,MATCH(A165,Standardised!$A$5:$A$15,0)))/INDEX(Standardised!$E$5:$E$15,MATCH(A165,Standardised!$A$5:$A$15,0)),"")</f>
        <v>0.1065516651760568</v>
      </c>
    </row>
    <row r="166" spans="1:11" x14ac:dyDescent="0.35">
      <c r="A166" s="7" t="s">
        <v>123</v>
      </c>
      <c r="B166" s="10" t="str">
        <f>INDEX(Studies!$G$5:$G$15,MATCH(A166,Studies!$A$5:$A$15,0))</f>
        <v>Indonesia (East Java)</v>
      </c>
      <c r="C166" s="10" t="str">
        <f>INDEX(Studies!$N$5:$N$15,MATCH(A166,Studies!$A$5:$A$15,0))</f>
        <v>Validation</v>
      </c>
      <c r="D166" s="8" t="s">
        <v>393</v>
      </c>
      <c r="E166" s="11">
        <v>0.52300000000000002</v>
      </c>
      <c r="F166" s="7">
        <v>13</v>
      </c>
      <c r="G166" s="7" t="s">
        <v>190</v>
      </c>
      <c r="H166" s="9" t="s">
        <v>176</v>
      </c>
      <c r="I166" s="12" t="str">
        <f t="shared" si="5"/>
        <v>No</v>
      </c>
      <c r="J166" s="13"/>
      <c r="K166" s="14">
        <f>IF(OR(INDEX(Standardised!$B$5:$B$15,MATCH(A166,Standardised!$A$5:$A$15,0))="Complete",INDEX(Standardised!$B$5:$B$15,MATCH(A166,Standardised!$A$5:$A$15,0))="Truncated"),(E166-INDEX(Standardised!$D$5:$D$15,MATCH(A166,Standardised!$A$5:$A$15,0)))/INDEX(Standardised!$E$5:$E$15,MATCH(A166,Standardised!$A$5:$A$15,0)),"")</f>
        <v>-0.59231381934371186</v>
      </c>
    </row>
    <row r="167" spans="1:11" x14ac:dyDescent="0.35">
      <c r="A167" s="7" t="s">
        <v>123</v>
      </c>
      <c r="B167" s="10" t="str">
        <f>INDEX(Studies!$G$5:$G$15,MATCH(A167,Studies!$A$5:$A$15,0))</f>
        <v>Indonesia (East Java)</v>
      </c>
      <c r="C167" s="10" t="str">
        <f>INDEX(Studies!$N$5:$N$15,MATCH(A167,Studies!$A$5:$A$15,0))</f>
        <v>Validation</v>
      </c>
      <c r="D167" s="8" t="s">
        <v>394</v>
      </c>
      <c r="E167" s="11">
        <v>0.51800000000000002</v>
      </c>
      <c r="F167" s="7">
        <v>14</v>
      </c>
      <c r="G167" s="7" t="s">
        <v>198</v>
      </c>
      <c r="H167" s="9" t="s">
        <v>176</v>
      </c>
      <c r="I167" s="12" t="str">
        <f t="shared" si="5"/>
        <v>No</v>
      </c>
      <c r="J167" s="13"/>
      <c r="K167" s="14">
        <f>IF(OR(INDEX(Standardised!$B$5:$B$15,MATCH(A167,Standardised!$A$5:$A$15,0))="Complete",INDEX(Standardised!$B$5:$B$15,MATCH(A167,Standardised!$A$5:$A$15,0))="Truncated"),(E167-INDEX(Standardised!$D$5:$D$15,MATCH(A167,Standardised!$A$5:$A$15,0)))/INDEX(Standardised!$E$5:$E$15,MATCH(A167,Standardised!$A$5:$A$15,0)),"")</f>
        <v>-0.63890485164502986</v>
      </c>
    </row>
    <row r="168" spans="1:11" x14ac:dyDescent="0.35">
      <c r="A168" s="7" t="s">
        <v>123</v>
      </c>
      <c r="B168" s="10" t="str">
        <f>INDEX(Studies!$G$5:$G$15,MATCH(A168,Studies!$A$5:$A$15,0))</f>
        <v>Indonesia (East Java)</v>
      </c>
      <c r="C168" s="10" t="str">
        <f>INDEX(Studies!$N$5:$N$15,MATCH(A168,Studies!$A$5:$A$15,0))</f>
        <v>Validation</v>
      </c>
      <c r="D168" s="8" t="s">
        <v>395</v>
      </c>
      <c r="E168" s="11">
        <v>0.50800000000000001</v>
      </c>
      <c r="F168" s="7">
        <v>15</v>
      </c>
      <c r="G168" s="7" t="s">
        <v>183</v>
      </c>
      <c r="H168" s="9" t="s">
        <v>176</v>
      </c>
      <c r="I168" s="12" t="str">
        <f t="shared" si="5"/>
        <v>No</v>
      </c>
      <c r="J168" s="13"/>
      <c r="K168" s="14">
        <f>IF(OR(INDEX(Standardised!$B$5:$B$15,MATCH(A168,Standardised!$A$5:$A$15,0))="Complete",INDEX(Standardised!$B$5:$B$15,MATCH(A168,Standardised!$A$5:$A$15,0))="Truncated"),(E168-INDEX(Standardised!$D$5:$D$15,MATCH(A168,Standardised!$A$5:$A$15,0)))/INDEX(Standardised!$E$5:$E$15,MATCH(A168,Standardised!$A$5:$A$15,0)),"")</f>
        <v>-0.73208691624766586</v>
      </c>
    </row>
    <row r="169" spans="1:11" x14ac:dyDescent="0.35">
      <c r="A169" s="7" t="s">
        <v>123</v>
      </c>
      <c r="B169" s="10" t="str">
        <f>INDEX(Studies!$G$5:$G$15,MATCH(A169,Studies!$A$5:$A$15,0))</f>
        <v>Indonesia (East Java)</v>
      </c>
      <c r="C169" s="10" t="str">
        <f>INDEX(Studies!$N$5:$N$15,MATCH(A169,Studies!$A$5:$A$15,0))</f>
        <v>Validation</v>
      </c>
      <c r="D169" s="8" t="s">
        <v>348</v>
      </c>
      <c r="E169" s="11">
        <v>0.50800000000000001</v>
      </c>
      <c r="F169" s="7">
        <v>16</v>
      </c>
      <c r="G169" s="7" t="s">
        <v>239</v>
      </c>
      <c r="H169" s="9" t="s">
        <v>199</v>
      </c>
      <c r="I169" s="12" t="str">
        <f t="shared" si="5"/>
        <v>No</v>
      </c>
      <c r="J169" s="13"/>
      <c r="K169" s="14">
        <f>IF(OR(INDEX(Standardised!$B$5:$B$15,MATCH(A169,Standardised!$A$5:$A$15,0))="Complete",INDEX(Standardised!$B$5:$B$15,MATCH(A169,Standardised!$A$5:$A$15,0))="Truncated"),(E169-INDEX(Standardised!$D$5:$D$15,MATCH(A169,Standardised!$A$5:$A$15,0)))/INDEX(Standardised!$E$5:$E$15,MATCH(A169,Standardised!$A$5:$A$15,0)),"")</f>
        <v>-0.73208691624766586</v>
      </c>
    </row>
    <row r="170" spans="1:11" x14ac:dyDescent="0.35">
      <c r="A170" s="7" t="s">
        <v>123</v>
      </c>
      <c r="B170" s="10" t="str">
        <f>INDEX(Studies!$G$5:$G$15,MATCH(A170,Studies!$A$5:$A$15,0))</f>
        <v>Indonesia (East Java)</v>
      </c>
      <c r="C170" s="10" t="str">
        <f>INDEX(Studies!$N$5:$N$15,MATCH(A170,Studies!$A$5:$A$15,0))</f>
        <v>Validation</v>
      </c>
      <c r="D170" s="8" t="s">
        <v>396</v>
      </c>
      <c r="E170" s="11">
        <v>0.504</v>
      </c>
      <c r="F170" s="7">
        <v>17</v>
      </c>
      <c r="G170" s="7" t="s">
        <v>178</v>
      </c>
      <c r="H170" s="9" t="s">
        <v>199</v>
      </c>
      <c r="I170" s="12" t="str">
        <f t="shared" si="5"/>
        <v>No</v>
      </c>
      <c r="J170" s="13" t="s">
        <v>397</v>
      </c>
      <c r="K170" s="14">
        <f>IF(OR(INDEX(Standardised!$B$5:$B$15,MATCH(A170,Standardised!$A$5:$A$15,0))="Complete",INDEX(Standardised!$B$5:$B$15,MATCH(A170,Standardised!$A$5:$A$15,0))="Truncated"),(E170-INDEX(Standardised!$D$5:$D$15,MATCH(A170,Standardised!$A$5:$A$15,0)))/INDEX(Standardised!$E$5:$E$15,MATCH(A170,Standardised!$A$5:$A$15,0)),"")</f>
        <v>-0.76935974208872027</v>
      </c>
    </row>
    <row r="171" spans="1:11" x14ac:dyDescent="0.35">
      <c r="A171" s="7" t="s">
        <v>123</v>
      </c>
      <c r="B171" s="10" t="str">
        <f>INDEX(Studies!$G$5:$G$15,MATCH(A171,Studies!$A$5:$A$15,0))</f>
        <v>Indonesia (East Java)</v>
      </c>
      <c r="C171" s="10" t="str">
        <f>INDEX(Studies!$N$5:$N$15,MATCH(A171,Studies!$A$5:$A$15,0))</f>
        <v>Validation</v>
      </c>
      <c r="D171" s="8" t="s">
        <v>398</v>
      </c>
      <c r="E171" s="11">
        <v>0.504</v>
      </c>
      <c r="F171" s="7">
        <v>18</v>
      </c>
      <c r="G171" s="7" t="s">
        <v>224</v>
      </c>
      <c r="H171" s="9" t="s">
        <v>176</v>
      </c>
      <c r="I171" s="12" t="str">
        <f t="shared" si="5"/>
        <v>No</v>
      </c>
      <c r="J171" s="13"/>
      <c r="K171" s="14">
        <f>IF(OR(INDEX(Standardised!$B$5:$B$15,MATCH(A171,Standardised!$A$5:$A$15,0))="Complete",INDEX(Standardised!$B$5:$B$15,MATCH(A171,Standardised!$A$5:$A$15,0))="Truncated"),(E171-INDEX(Standardised!$D$5:$D$15,MATCH(A171,Standardised!$A$5:$A$15,0)))/INDEX(Standardised!$E$5:$E$15,MATCH(A171,Standardised!$A$5:$A$15,0)),"")</f>
        <v>-0.76935974208872027</v>
      </c>
    </row>
    <row r="172" spans="1:11" x14ac:dyDescent="0.35">
      <c r="A172" s="7" t="s">
        <v>123</v>
      </c>
      <c r="B172" s="10" t="str">
        <f>INDEX(Studies!$G$5:$G$15,MATCH(A172,Studies!$A$5:$A$15,0))</f>
        <v>Indonesia (East Java)</v>
      </c>
      <c r="C172" s="10" t="str">
        <f>INDEX(Studies!$N$5:$N$15,MATCH(A172,Studies!$A$5:$A$15,0))</f>
        <v>Validation</v>
      </c>
      <c r="D172" s="8" t="s">
        <v>399</v>
      </c>
      <c r="E172" s="11">
        <v>0.47499999999999998</v>
      </c>
      <c r="F172" s="7">
        <v>19</v>
      </c>
      <c r="G172" s="7" t="s">
        <v>178</v>
      </c>
      <c r="H172" s="9" t="s">
        <v>176</v>
      </c>
      <c r="I172" s="12" t="str">
        <f t="shared" si="5"/>
        <v>No</v>
      </c>
      <c r="J172" s="13"/>
      <c r="K172" s="14">
        <f>IF(OR(INDEX(Standardised!$B$5:$B$15,MATCH(A172,Standardised!$A$5:$A$15,0))="Complete",INDEX(Standardised!$B$5:$B$15,MATCH(A172,Standardised!$A$5:$A$15,0))="Truncated"),(E172-INDEX(Standardised!$D$5:$D$15,MATCH(A172,Standardised!$A$5:$A$15,0)))/INDEX(Standardised!$E$5:$E$15,MATCH(A172,Standardised!$A$5:$A$15,0)),"")</f>
        <v>-1.0395877294363645</v>
      </c>
    </row>
    <row r="173" spans="1:11" x14ac:dyDescent="0.35">
      <c r="A173" s="7" t="s">
        <v>123</v>
      </c>
      <c r="B173" s="10" t="str">
        <f>INDEX(Studies!$G$5:$G$15,MATCH(A173,Studies!$A$5:$A$15,0))</f>
        <v>Indonesia (East Java)</v>
      </c>
      <c r="C173" s="10" t="str">
        <f>INDEX(Studies!$N$5:$N$15,MATCH(A173,Studies!$A$5:$A$15,0))</f>
        <v>Validation</v>
      </c>
      <c r="D173" s="8" t="s">
        <v>400</v>
      </c>
      <c r="E173" s="11">
        <v>0.46</v>
      </c>
      <c r="F173" s="7">
        <v>20</v>
      </c>
      <c r="G173" s="7" t="s">
        <v>208</v>
      </c>
      <c r="H173" s="9" t="s">
        <v>176</v>
      </c>
      <c r="I173" s="12" t="str">
        <f t="shared" si="5"/>
        <v>No</v>
      </c>
      <c r="J173" s="13"/>
      <c r="K173" s="14">
        <f>IF(OR(INDEX(Standardised!$B$5:$B$15,MATCH(A173,Standardised!$A$5:$A$15,0))="Complete",INDEX(Standardised!$B$5:$B$15,MATCH(A173,Standardised!$A$5:$A$15,0))="Truncated"),(E173-INDEX(Standardised!$D$5:$D$15,MATCH(A173,Standardised!$A$5:$A$15,0)))/INDEX(Standardised!$E$5:$E$15,MATCH(A173,Standardised!$A$5:$A$15,0)),"")</f>
        <v>-1.1793608263403179</v>
      </c>
    </row>
    <row r="174" spans="1:11" x14ac:dyDescent="0.35">
      <c r="A174" s="7" t="s">
        <v>123</v>
      </c>
      <c r="B174" s="10" t="str">
        <f>INDEX(Studies!$G$5:$G$15,MATCH(A174,Studies!$A$5:$A$15,0))</f>
        <v>Indonesia (East Java)</v>
      </c>
      <c r="C174" s="10" t="str">
        <f>INDEX(Studies!$N$5:$N$15,MATCH(A174,Studies!$A$5:$A$15,0))</f>
        <v>Validation</v>
      </c>
      <c r="D174" s="8" t="s">
        <v>401</v>
      </c>
      <c r="E174" s="11">
        <v>0.46</v>
      </c>
      <c r="F174" s="7">
        <v>21</v>
      </c>
      <c r="G174" s="7" t="s">
        <v>175</v>
      </c>
      <c r="H174" s="9" t="s">
        <v>176</v>
      </c>
      <c r="I174" s="12" t="str">
        <f t="shared" si="5"/>
        <v>No</v>
      </c>
      <c r="J174" s="13"/>
      <c r="K174" s="14">
        <f>IF(OR(INDEX(Standardised!$B$5:$B$15,MATCH(A174,Standardised!$A$5:$A$15,0))="Complete",INDEX(Standardised!$B$5:$B$15,MATCH(A174,Standardised!$A$5:$A$15,0))="Truncated"),(E174-INDEX(Standardised!$D$5:$D$15,MATCH(A174,Standardised!$A$5:$A$15,0)))/INDEX(Standardised!$E$5:$E$15,MATCH(A174,Standardised!$A$5:$A$15,0)),"")</f>
        <v>-1.1793608263403179</v>
      </c>
    </row>
    <row r="175" spans="1:11" x14ac:dyDescent="0.35">
      <c r="A175" s="7" t="s">
        <v>123</v>
      </c>
      <c r="B175" s="10" t="str">
        <f>INDEX(Studies!$G$5:$G$15,MATCH(A175,Studies!$A$5:$A$15,0))</f>
        <v>Indonesia (East Java)</v>
      </c>
      <c r="C175" s="10" t="str">
        <f>INDEX(Studies!$N$5:$N$15,MATCH(A175,Studies!$A$5:$A$15,0))</f>
        <v>Validation</v>
      </c>
      <c r="D175" s="8" t="s">
        <v>402</v>
      </c>
      <c r="E175" s="11">
        <v>0.45800000000000002</v>
      </c>
      <c r="F175" s="7">
        <v>22</v>
      </c>
      <c r="G175" s="7" t="s">
        <v>208</v>
      </c>
      <c r="H175" s="9" t="s">
        <v>176</v>
      </c>
      <c r="I175" s="12" t="str">
        <f t="shared" si="5"/>
        <v>No</v>
      </c>
      <c r="J175" s="13"/>
      <c r="K175" s="14">
        <f>IF(OR(INDEX(Standardised!$B$5:$B$15,MATCH(A175,Standardised!$A$5:$A$15,0))="Complete",INDEX(Standardised!$B$5:$B$15,MATCH(A175,Standardised!$A$5:$A$15,0))="Truncated"),(E175-INDEX(Standardised!$D$5:$D$15,MATCH(A175,Standardised!$A$5:$A$15,0)))/INDEX(Standardised!$E$5:$E$15,MATCH(A175,Standardised!$A$5:$A$15,0)),"")</f>
        <v>-1.1979972392608451</v>
      </c>
    </row>
    <row r="176" spans="1:11" x14ac:dyDescent="0.35">
      <c r="A176" s="7" t="s">
        <v>123</v>
      </c>
      <c r="B176" s="10" t="str">
        <f>INDEX(Studies!$G$5:$G$15,MATCH(A176,Studies!$A$5:$A$15,0))</f>
        <v>Indonesia (East Java)</v>
      </c>
      <c r="C176" s="10" t="str">
        <f>INDEX(Studies!$N$5:$N$15,MATCH(A176,Studies!$A$5:$A$15,0))</f>
        <v>Validation</v>
      </c>
      <c r="D176" s="8" t="s">
        <v>403</v>
      </c>
      <c r="E176" s="11">
        <v>0.41199999999999998</v>
      </c>
      <c r="F176" s="7">
        <v>23</v>
      </c>
      <c r="G176" s="7" t="s">
        <v>280</v>
      </c>
      <c r="H176" s="9" t="s">
        <v>176</v>
      </c>
      <c r="I176" s="12" t="str">
        <f t="shared" si="5"/>
        <v>No</v>
      </c>
      <c r="J176" s="13"/>
      <c r="K176" s="14">
        <f>IF(OR(INDEX(Standardised!$B$5:$B$15,MATCH(A176,Standardised!$A$5:$A$15,0))="Complete",INDEX(Standardised!$B$5:$B$15,MATCH(A176,Standardised!$A$5:$A$15,0))="Truncated"),(E176-INDEX(Standardised!$D$5:$D$15,MATCH(A176,Standardised!$A$5:$A$15,0)))/INDEX(Standardised!$E$5:$E$15,MATCH(A176,Standardised!$A$5:$A$15,0)),"")</f>
        <v>-1.6266347364329705</v>
      </c>
    </row>
    <row r="177" spans="1:11" x14ac:dyDescent="0.35">
      <c r="A177" s="7" t="s">
        <v>133</v>
      </c>
      <c r="B177" s="10" t="str">
        <f>INDEX(Studies!$G$5:$G$15,MATCH(A177,Studies!$A$5:$A$15,0))</f>
        <v>India</v>
      </c>
      <c r="C177" s="10" t="str">
        <f>INDEX(Studies!$N$5:$N$15,MATCH(A177,Studies!$A$5:$A$15,0))</f>
        <v>Validation</v>
      </c>
      <c r="D177" s="8" t="s">
        <v>404</v>
      </c>
      <c r="E177" s="11">
        <v>0.65200000000000002</v>
      </c>
      <c r="F177" s="7"/>
      <c r="G177" s="7" t="s">
        <v>183</v>
      </c>
      <c r="H177" s="9" t="s">
        <v>176</v>
      </c>
      <c r="I177" s="12" t="str">
        <f t="shared" si="5"/>
        <v>No</v>
      </c>
      <c r="J177" s="13"/>
      <c r="K177" s="14" t="str">
        <f>IF(OR(INDEX(Standardised!$B$5:$B$15,MATCH(A177,Standardised!$A$5:$A$15,0))="Complete",INDEX(Standardised!$B$5:$B$15,MATCH(A177,Standardised!$A$5:$A$15,0))="Truncated"),(E177-INDEX(Standardised!$D$5:$D$15,MATCH(A177,Standardised!$A$5:$A$15,0)))/INDEX(Standardised!$E$5:$E$15,MATCH(A177,Standardised!$A$5:$A$15,0)),"")</f>
        <v/>
      </c>
    </row>
    <row r="178" spans="1:11" x14ac:dyDescent="0.35">
      <c r="A178" s="7" t="s">
        <v>133</v>
      </c>
      <c r="B178" s="10" t="str">
        <f>INDEX(Studies!$G$5:$G$15,MATCH(A178,Studies!$A$5:$A$15,0))</f>
        <v>India</v>
      </c>
      <c r="C178" s="10" t="str">
        <f>INDEX(Studies!$N$5:$N$15,MATCH(A178,Studies!$A$5:$A$15,0))</f>
        <v>Validation</v>
      </c>
      <c r="D178" s="8" t="s">
        <v>182</v>
      </c>
      <c r="E178" s="11">
        <v>0.61899999999999999</v>
      </c>
      <c r="F178" s="7"/>
      <c r="G178" s="7" t="s">
        <v>183</v>
      </c>
      <c r="H178" s="9" t="s">
        <v>176</v>
      </c>
      <c r="I178" s="12" t="str">
        <f t="shared" si="5"/>
        <v>No</v>
      </c>
      <c r="J178" s="13"/>
      <c r="K178" s="14" t="str">
        <f>IF(OR(INDEX(Standardised!$B$5:$B$15,MATCH(A178,Standardised!$A$5:$A$15,0))="Complete",INDEX(Standardised!$B$5:$B$15,MATCH(A178,Standardised!$A$5:$A$15,0))="Truncated"),(E178-INDEX(Standardised!$D$5:$D$15,MATCH(A178,Standardised!$A$5:$A$15,0)))/INDEX(Standardised!$E$5:$E$15,MATCH(A178,Standardised!$A$5:$A$15,0)),"")</f>
        <v/>
      </c>
    </row>
    <row r="179" spans="1:11" x14ac:dyDescent="0.35">
      <c r="A179" s="7" t="s">
        <v>133</v>
      </c>
      <c r="B179" s="10" t="str">
        <f>INDEX(Studies!$G$5:$G$15,MATCH(A179,Studies!$A$5:$A$15,0))</f>
        <v>India</v>
      </c>
      <c r="C179" s="10" t="str">
        <f>INDEX(Studies!$N$5:$N$15,MATCH(A179,Studies!$A$5:$A$15,0))</f>
        <v>Validation</v>
      </c>
      <c r="D179" s="8" t="s">
        <v>405</v>
      </c>
      <c r="E179" s="11">
        <v>0.61599999999999999</v>
      </c>
      <c r="F179" s="7"/>
      <c r="G179" s="7" t="s">
        <v>188</v>
      </c>
      <c r="H179" s="9" t="s">
        <v>176</v>
      </c>
      <c r="I179" s="12" t="str">
        <f t="shared" si="5"/>
        <v>No</v>
      </c>
      <c r="J179" s="13"/>
      <c r="K179" s="14" t="str">
        <f>IF(OR(INDEX(Standardised!$B$5:$B$15,MATCH(A179,Standardised!$A$5:$A$15,0))="Complete",INDEX(Standardised!$B$5:$B$15,MATCH(A179,Standardised!$A$5:$A$15,0))="Truncated"),(E179-INDEX(Standardised!$D$5:$D$15,MATCH(A179,Standardised!$A$5:$A$15,0)))/INDEX(Standardised!$E$5:$E$15,MATCH(A179,Standardised!$A$5:$A$15,0)),"")</f>
        <v/>
      </c>
    </row>
    <row r="180" spans="1:11" x14ac:dyDescent="0.35">
      <c r="A180" s="7" t="s">
        <v>133</v>
      </c>
      <c r="B180" s="10" t="str">
        <f>INDEX(Studies!$G$5:$G$15,MATCH(A180,Studies!$A$5:$A$15,0))</f>
        <v>India</v>
      </c>
      <c r="C180" s="10" t="str">
        <f>INDEX(Studies!$N$5:$N$15,MATCH(A180,Studies!$A$5:$A$15,0))</f>
        <v>Validation</v>
      </c>
      <c r="D180" s="8" t="s">
        <v>406</v>
      </c>
      <c r="E180" s="11">
        <v>0.56200000000000006</v>
      </c>
      <c r="F180" s="7">
        <v>1</v>
      </c>
      <c r="G180" s="7"/>
      <c r="H180" s="9"/>
      <c r="I180" s="12" t="str">
        <f t="shared" si="5"/>
        <v>No</v>
      </c>
      <c r="J180" s="13" t="s">
        <v>407</v>
      </c>
      <c r="K180" s="14" t="str">
        <f>IF(OR(INDEX(Standardised!$B$5:$B$15,MATCH(A180,Standardised!$A$5:$A$15,0))="Complete",INDEX(Standardised!$B$5:$B$15,MATCH(A180,Standardised!$A$5:$A$15,0))="Truncated"),(E180-INDEX(Standardised!$D$5:$D$15,MATCH(A180,Standardised!$A$5:$A$15,0)))/INDEX(Standardised!$E$5:$E$15,MATCH(A180,Standardised!$A$5:$A$15,0)),"")</f>
        <v/>
      </c>
    </row>
    <row r="181" spans="1:11" x14ac:dyDescent="0.35">
      <c r="A181" s="7" t="s">
        <v>133</v>
      </c>
      <c r="B181" s="10" t="str">
        <f>INDEX(Studies!$G$5:$G$15,MATCH(A181,Studies!$A$5:$A$15,0))</f>
        <v>India</v>
      </c>
      <c r="C181" s="10" t="str">
        <f>INDEX(Studies!$N$5:$N$15,MATCH(A181,Studies!$A$5:$A$15,0))</f>
        <v>Validation</v>
      </c>
      <c r="D181" s="8" t="s">
        <v>408</v>
      </c>
      <c r="E181" s="11">
        <v>0.55500000000000005</v>
      </c>
      <c r="F181" s="7"/>
      <c r="G181" s="7"/>
      <c r="H181" s="9"/>
      <c r="I181" s="12" t="str">
        <f t="shared" si="5"/>
        <v>No</v>
      </c>
      <c r="J181" s="13" t="s">
        <v>407</v>
      </c>
      <c r="K181" s="14" t="str">
        <f>IF(OR(INDEX(Standardised!$B$5:$B$15,MATCH(A181,Standardised!$A$5:$A$15,0))="Complete",INDEX(Standardised!$B$5:$B$15,MATCH(A181,Standardised!$A$5:$A$15,0))="Truncated"),(E181-INDEX(Standardised!$D$5:$D$15,MATCH(A181,Standardised!$A$5:$A$15,0)))/INDEX(Standardised!$E$5:$E$15,MATCH(A181,Standardised!$A$5:$A$15,0)),"")</f>
        <v/>
      </c>
    </row>
    <row r="182" spans="1:11" x14ac:dyDescent="0.35">
      <c r="A182" s="7" t="s">
        <v>133</v>
      </c>
      <c r="B182" s="10" t="str">
        <f>INDEX(Studies!$G$5:$G$15,MATCH(A182,Studies!$A$5:$A$15,0))</f>
        <v>India</v>
      </c>
      <c r="C182" s="10" t="str">
        <f>INDEX(Studies!$N$5:$N$15,MATCH(A182,Studies!$A$5:$A$15,0))</f>
        <v>Validation</v>
      </c>
      <c r="D182" s="8" t="s">
        <v>409</v>
      </c>
      <c r="E182" s="11">
        <v>0.50600000000000001</v>
      </c>
      <c r="F182" s="7"/>
      <c r="G182" s="7"/>
      <c r="H182" s="9"/>
      <c r="I182" s="12" t="str">
        <f t="shared" si="5"/>
        <v>No</v>
      </c>
      <c r="J182" s="13" t="s">
        <v>407</v>
      </c>
      <c r="K182" s="14" t="str">
        <f>IF(OR(INDEX(Standardised!$B$5:$B$15,MATCH(A182,Standardised!$A$5:$A$15,0))="Complete",INDEX(Standardised!$B$5:$B$15,MATCH(A182,Standardised!$A$5:$A$15,0))="Truncated"),(E182-INDEX(Standardised!$D$5:$D$15,MATCH(A182,Standardised!$A$5:$A$15,0)))/INDEX(Standardised!$E$5:$E$15,MATCH(A182,Standardised!$A$5:$A$15,0)),"")</f>
        <v/>
      </c>
    </row>
    <row r="183" spans="1:11" x14ac:dyDescent="0.35">
      <c r="A183" s="7" t="s">
        <v>143</v>
      </c>
      <c r="B183" s="10" t="str">
        <f>INDEX(Studies!$G$5:$G$15,MATCH(A183,Studies!$A$5:$A$15,0))</f>
        <v>Thailand</v>
      </c>
      <c r="C183" s="10" t="str">
        <f>INDEX(Studies!$N$5:$N$15,MATCH(A183,Studies!$A$5:$A$15,0))</f>
        <v>Validation</v>
      </c>
      <c r="D183" s="8" t="s">
        <v>410</v>
      </c>
      <c r="E183" s="11">
        <v>0.77700000000000002</v>
      </c>
      <c r="F183" s="7">
        <v>1</v>
      </c>
      <c r="G183" s="7" t="s">
        <v>411</v>
      </c>
      <c r="H183" s="9" t="s">
        <v>176</v>
      </c>
      <c r="I183" s="12" t="str">
        <f t="shared" si="5"/>
        <v>No</v>
      </c>
      <c r="J183" s="13" t="s">
        <v>412</v>
      </c>
      <c r="K183" s="14" t="str">
        <f>IF(OR(INDEX(Standardised!$B$5:$B$15,MATCH(A183,Standardised!$A$5:$A$15,0))="Complete",INDEX(Standardised!$B$5:$B$15,MATCH(A183,Standardised!$A$5:$A$15,0))="Truncated"),(E183-INDEX(Standardised!$D$5:$D$15,MATCH(A183,Standardised!$A$5:$A$15,0)))/INDEX(Standardised!$E$5:$E$15,MATCH(A183,Standardised!$A$5:$A$15,0)),"")</f>
        <v/>
      </c>
    </row>
    <row r="184" spans="1:11" x14ac:dyDescent="0.35">
      <c r="A184" s="7" t="s">
        <v>143</v>
      </c>
      <c r="B184" s="10" t="str">
        <f>INDEX(Studies!$G$5:$G$15,MATCH(A184,Studies!$A$5:$A$15,0))</f>
        <v>Thailand</v>
      </c>
      <c r="C184" s="10" t="str">
        <f>INDEX(Studies!$N$5:$N$15,MATCH(A184,Studies!$A$5:$A$15,0))</f>
        <v>Validation</v>
      </c>
      <c r="D184" s="8" t="s">
        <v>413</v>
      </c>
      <c r="E184" s="11">
        <v>0.73299999999999998</v>
      </c>
      <c r="F184" s="7">
        <v>2</v>
      </c>
      <c r="G184" s="7" t="s">
        <v>216</v>
      </c>
      <c r="H184" s="9" t="s">
        <v>176</v>
      </c>
      <c r="I184" s="12" t="str">
        <f t="shared" si="5"/>
        <v>No</v>
      </c>
      <c r="J184" s="13" t="s">
        <v>414</v>
      </c>
      <c r="K184" s="14" t="str">
        <f>IF(OR(INDEX(Standardised!$B$5:$B$15,MATCH(A184,Standardised!$A$5:$A$15,0))="Complete",INDEX(Standardised!$B$5:$B$15,MATCH(A184,Standardised!$A$5:$A$15,0))="Truncated"),(E184-INDEX(Standardised!$D$5:$D$15,MATCH(A184,Standardised!$A$5:$A$15,0)))/INDEX(Standardised!$E$5:$E$15,MATCH(A184,Standardised!$A$5:$A$15,0)),"")</f>
        <v/>
      </c>
    </row>
    <row r="185" spans="1:11" x14ac:dyDescent="0.35">
      <c r="A185" s="7" t="s">
        <v>154</v>
      </c>
      <c r="B185" s="10" t="str">
        <f>INDEX(Studies!$G$5:$G$15,MATCH(A185,Studies!$A$5:$A$15,0))</f>
        <v>Iraq</v>
      </c>
      <c r="C185" s="10" t="str">
        <f>INDEX(Studies!$N$5:$N$15,MATCH(A185,Studies!$A$5:$A$15,0))</f>
        <v>Validation</v>
      </c>
      <c r="D185" s="8" t="s">
        <v>415</v>
      </c>
      <c r="E185" s="11">
        <v>0.874</v>
      </c>
      <c r="F185" s="7"/>
      <c r="G185" s="7" t="s">
        <v>178</v>
      </c>
      <c r="H185" s="9" t="s">
        <v>176</v>
      </c>
      <c r="I185" s="12" t="str">
        <f t="shared" si="5"/>
        <v>No</v>
      </c>
      <c r="J185" s="13"/>
      <c r="K185" s="14" t="str">
        <f>IF(OR(INDEX(Standardised!$B$5:$B$15,MATCH(A185,Standardised!$A$5:$A$15,0))="Complete",INDEX(Standardised!$B$5:$B$15,MATCH(A185,Standardised!$A$5:$A$15,0))="Truncated"),(E185-INDEX(Standardised!$D$5:$D$15,MATCH(A185,Standardised!$A$5:$A$15,0)))/INDEX(Standardised!$E$5:$E$15,MATCH(A185,Standardised!$A$5:$A$15,0)),"")</f>
        <v/>
      </c>
    </row>
    <row r="186" spans="1:11" x14ac:dyDescent="0.35">
      <c r="A186" s="7" t="s">
        <v>154</v>
      </c>
      <c r="B186" s="10" t="str">
        <f>INDEX(Studies!$G$5:$G$15,MATCH(A186,Studies!$A$5:$A$15,0))</f>
        <v>Iraq</v>
      </c>
      <c r="C186" s="10" t="str">
        <f>INDEX(Studies!$N$5:$N$15,MATCH(A186,Studies!$A$5:$A$15,0))</f>
        <v>Validation</v>
      </c>
      <c r="D186" s="8" t="s">
        <v>416</v>
      </c>
      <c r="E186" s="11">
        <v>0.85599999999999998</v>
      </c>
      <c r="F186" s="7"/>
      <c r="G186" s="7" t="s">
        <v>216</v>
      </c>
      <c r="H186" s="9" t="s">
        <v>199</v>
      </c>
      <c r="I186" s="12" t="str">
        <f t="shared" si="5"/>
        <v>No</v>
      </c>
      <c r="J186" s="13" t="s">
        <v>417</v>
      </c>
      <c r="K186" s="14" t="str">
        <f>IF(OR(INDEX(Standardised!$B$5:$B$15,MATCH(A186,Standardised!$A$5:$A$15,0))="Complete",INDEX(Standardised!$B$5:$B$15,MATCH(A186,Standardised!$A$5:$A$15,0))="Truncated"),(E186-INDEX(Standardised!$D$5:$D$15,MATCH(A186,Standardised!$A$5:$A$15,0)))/INDEX(Standardised!$E$5:$E$15,MATCH(A186,Standardised!$A$5:$A$15,0)),"")</f>
        <v/>
      </c>
    </row>
  </sheetData>
  <autoFilter ref="A4:K186" xr:uid="{00000000-0009-0000-0000-000002000000}"/>
  <conditionalFormatting sqref="I5:I186">
    <cfRule type="cellIs" dxfId="0" priority="1" operator="equal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2" width="44" customWidth="1"/>
    <col min="3" max="7" width="9" customWidth="1"/>
    <col min="8" max="8" width="10" customWidth="1"/>
    <col min="9" max="9" width="11" customWidth="1"/>
    <col min="10" max="10" width="7" customWidth="1"/>
    <col min="11" max="11" width="9" customWidth="1"/>
    <col min="12" max="12" width="14" customWidth="1"/>
    <col min="13" max="13" width="11" customWidth="1"/>
  </cols>
  <sheetData>
    <row r="1" spans="1:13" ht="18" x14ac:dyDescent="0.4">
      <c r="A1" s="1" t="s">
        <v>418</v>
      </c>
    </row>
    <row r="2" spans="1:13" x14ac:dyDescent="0.35">
      <c r="A2" s="5" t="s">
        <v>419</v>
      </c>
    </row>
    <row r="4" spans="1:13" ht="39" x14ac:dyDescent="0.35">
      <c r="A4" s="6" t="s">
        <v>420</v>
      </c>
      <c r="B4" s="6" t="s">
        <v>421</v>
      </c>
      <c r="C4" s="6" t="s">
        <v>42</v>
      </c>
      <c r="D4" s="6" t="s">
        <v>56</v>
      </c>
      <c r="E4" s="6" t="s">
        <v>68</v>
      </c>
      <c r="F4" s="6" t="s">
        <v>79</v>
      </c>
      <c r="G4" s="6" t="s">
        <v>91</v>
      </c>
      <c r="H4" s="6" t="s">
        <v>422</v>
      </c>
      <c r="I4" s="6" t="s">
        <v>423</v>
      </c>
      <c r="J4" s="6" t="s">
        <v>424</v>
      </c>
      <c r="K4" s="6" t="s">
        <v>425</v>
      </c>
      <c r="L4" s="6" t="s">
        <v>426</v>
      </c>
      <c r="M4" s="6" t="s">
        <v>427</v>
      </c>
    </row>
    <row r="5" spans="1:13" ht="25" x14ac:dyDescent="0.35">
      <c r="A5" s="15" t="s">
        <v>183</v>
      </c>
      <c r="B5" s="16" t="s">
        <v>428</v>
      </c>
      <c r="C5" s="17">
        <f>IFERROR(AVERAGEIFS(RII_Data!$E$5:$E$186,RII_Data!$A$5:$A$186,C$4,RII_Data!$G$5:$G$186,$A5,RII_Data!$H$5:$H$186,"Direct",RII_Data!$C$5:$C$186,"Seed"),"")</f>
        <v>0.77700000000000002</v>
      </c>
      <c r="D5" s="17">
        <f>IFERROR(AVERAGEIFS(RII_Data!$E$5:$E$186,RII_Data!$A$5:$A$186,D$4,RII_Data!$G$5:$G$186,$A5,RII_Data!$H$5:$H$186,"Direct",RII_Data!$C$5:$C$186,"Seed"),"")</f>
        <v>0.78</v>
      </c>
      <c r="E5" s="17" t="str">
        <f>IFERROR(AVERAGEIFS(RII_Data!$E$5:$E$186,RII_Data!$A$5:$A$186,E$4,RII_Data!$G$5:$G$186,$A5,RII_Data!$H$5:$H$186,"Direct",RII_Data!$C$5:$C$186,"Seed"),"")</f>
        <v/>
      </c>
      <c r="F5" s="17">
        <f>IFERROR(AVERAGEIFS(RII_Data!$E$5:$E$186,RII_Data!$A$5:$A$186,F$4,RII_Data!$G$5:$G$186,$A5,RII_Data!$H$5:$H$186,"Direct",RII_Data!$C$5:$C$186,"Seed"),"")</f>
        <v>0.80979999999999996</v>
      </c>
      <c r="G5" s="17" t="str">
        <f>IFERROR(AVERAGEIFS(RII_Data!$E$5:$E$186,RII_Data!$A$5:$A$186,G$4,RII_Data!$G$5:$G$186,$A5,RII_Data!$H$5:$H$186,"Direct",RII_Data!$C$5:$C$186,"Seed"),"")</f>
        <v/>
      </c>
      <c r="H5" s="12">
        <f t="shared" ref="H5:H42" si="0">COUNT(C5:G5)</f>
        <v>3</v>
      </c>
      <c r="I5" s="18">
        <f t="shared" ref="I5:I42" si="1">IF(H5=0,"",AVERAGE(C5:G5))</f>
        <v>0.78893333333333338</v>
      </c>
      <c r="J5" s="12">
        <f t="shared" ref="J5:J42" si="2">IF(I5="","",RANK(I5,$I$5:$I$42,0)+COUNTIFS($I$5:$I$42,I5,$A$5:$A$42,"&lt;"&amp;$A5))</f>
        <v>1</v>
      </c>
      <c r="K5" s="15">
        <f t="shared" ref="K5:K42" si="3">IF(J5="","",5-INT((J5-1)*5/$C$44))</f>
        <v>5</v>
      </c>
      <c r="L5" s="12" t="str">
        <f t="shared" ref="L5:L42" si="4">IF(K5="","not seeded","p"&amp;K5&amp;" × i"&amp;K5)</f>
        <v>p5 × i5</v>
      </c>
      <c r="M5" s="12" t="str">
        <f t="shared" ref="M5:M42" si="5">IF(K5="","",IF(K5^2&lt;=5,"Low",IF(K5^2&lt;=10,"Moderate",IF(K5^2&lt;=15,"High","Extreme"))))</f>
        <v>Extreme</v>
      </c>
    </row>
    <row r="6" spans="1:13" x14ac:dyDescent="0.35">
      <c r="A6" s="15" t="s">
        <v>201</v>
      </c>
      <c r="B6" s="16" t="s">
        <v>429</v>
      </c>
      <c r="C6" s="17">
        <f>IFERROR(AVERAGEIFS(RII_Data!$E$5:$E$186,RII_Data!$A$5:$A$186,C$4,RII_Data!$G$5:$G$186,$A6,RII_Data!$H$5:$H$186,"Direct",RII_Data!$C$5:$C$186,"Seed"),"")</f>
        <v>0.74550000000000005</v>
      </c>
      <c r="D6" s="17">
        <f>IFERROR(AVERAGEIFS(RII_Data!$E$5:$E$186,RII_Data!$A$5:$A$186,D$4,RII_Data!$G$5:$G$186,$A6,RII_Data!$H$5:$H$186,"Direct",RII_Data!$C$5:$C$186,"Seed"),"")</f>
        <v>0.76</v>
      </c>
      <c r="E6" s="17" t="str">
        <f>IFERROR(AVERAGEIFS(RII_Data!$E$5:$E$186,RII_Data!$A$5:$A$186,E$4,RII_Data!$G$5:$G$186,$A6,RII_Data!$H$5:$H$186,"Direct",RII_Data!$C$5:$C$186,"Seed"),"")</f>
        <v/>
      </c>
      <c r="F6" s="17" t="str">
        <f>IFERROR(AVERAGEIFS(RII_Data!$E$5:$E$186,RII_Data!$A$5:$A$186,F$4,RII_Data!$G$5:$G$186,$A6,RII_Data!$H$5:$H$186,"Direct",RII_Data!$C$5:$C$186,"Seed"),"")</f>
        <v/>
      </c>
      <c r="G6" s="17" t="str">
        <f>IFERROR(AVERAGEIFS(RII_Data!$E$5:$E$186,RII_Data!$A$5:$A$186,G$4,RII_Data!$G$5:$G$186,$A6,RII_Data!$H$5:$H$186,"Direct",RII_Data!$C$5:$C$186,"Seed"),"")</f>
        <v/>
      </c>
      <c r="H6" s="12">
        <f t="shared" si="0"/>
        <v>2</v>
      </c>
      <c r="I6" s="18">
        <f t="shared" si="1"/>
        <v>0.75275000000000003</v>
      </c>
      <c r="J6" s="12">
        <f t="shared" si="2"/>
        <v>12</v>
      </c>
      <c r="K6" s="15">
        <f t="shared" si="3"/>
        <v>4</v>
      </c>
      <c r="L6" s="12" t="str">
        <f t="shared" si="4"/>
        <v>p4 × i4</v>
      </c>
      <c r="M6" s="12" t="str">
        <f t="shared" si="5"/>
        <v>Extreme</v>
      </c>
    </row>
    <row r="7" spans="1:13" x14ac:dyDescent="0.35">
      <c r="A7" s="15" t="s">
        <v>216</v>
      </c>
      <c r="B7" s="16" t="s">
        <v>430</v>
      </c>
      <c r="C7" s="17">
        <f>IFERROR(AVERAGEIFS(RII_Data!$E$5:$E$186,RII_Data!$A$5:$A$186,C$4,RII_Data!$G$5:$G$186,$A7,RII_Data!$H$5:$H$186,"Direct",RII_Data!$C$5:$C$186,"Seed"),"")</f>
        <v>0.72299999999999998</v>
      </c>
      <c r="D7" s="17">
        <f>IFERROR(AVERAGEIFS(RII_Data!$E$5:$E$186,RII_Data!$A$5:$A$186,D$4,RII_Data!$G$5:$G$186,$A7,RII_Data!$H$5:$H$186,"Direct",RII_Data!$C$5:$C$186,"Seed"),"")</f>
        <v>0.751</v>
      </c>
      <c r="E7" s="17" t="str">
        <f>IFERROR(AVERAGEIFS(RII_Data!$E$5:$E$186,RII_Data!$A$5:$A$186,E$4,RII_Data!$G$5:$G$186,$A7,RII_Data!$H$5:$H$186,"Direct",RII_Data!$C$5:$C$186,"Seed"),"")</f>
        <v/>
      </c>
      <c r="F7" s="17">
        <f>IFERROR(AVERAGEIFS(RII_Data!$E$5:$E$186,RII_Data!$A$5:$A$186,F$4,RII_Data!$G$5:$G$186,$A7,RII_Data!$H$5:$H$186,"Direct",RII_Data!$C$5:$C$186,"Seed"),"")</f>
        <v>0.82450000000000001</v>
      </c>
      <c r="G7" s="17" t="str">
        <f>IFERROR(AVERAGEIFS(RII_Data!$E$5:$E$186,RII_Data!$A$5:$A$186,G$4,RII_Data!$G$5:$G$186,$A7,RII_Data!$H$5:$H$186,"Direct",RII_Data!$C$5:$C$186,"Seed"),"")</f>
        <v/>
      </c>
      <c r="H7" s="12">
        <f t="shared" si="0"/>
        <v>3</v>
      </c>
      <c r="I7" s="18">
        <f t="shared" si="1"/>
        <v>0.76616666666666655</v>
      </c>
      <c r="J7" s="12">
        <f t="shared" si="2"/>
        <v>7</v>
      </c>
      <c r="K7" s="15">
        <f t="shared" si="3"/>
        <v>4</v>
      </c>
      <c r="L7" s="12" t="str">
        <f t="shared" si="4"/>
        <v>p4 × i4</v>
      </c>
      <c r="M7" s="12" t="str">
        <f t="shared" si="5"/>
        <v>Extreme</v>
      </c>
    </row>
    <row r="8" spans="1:13" x14ac:dyDescent="0.35">
      <c r="A8" s="15" t="s">
        <v>190</v>
      </c>
      <c r="B8" s="16" t="s">
        <v>431</v>
      </c>
      <c r="C8" s="17">
        <f>IFERROR(AVERAGEIFS(RII_Data!$E$5:$E$186,RII_Data!$A$5:$A$186,C$4,RII_Data!$G$5:$G$186,$A8,RII_Data!$H$5:$H$186,"Direct",RII_Data!$C$5:$C$186,"Seed"),"")</f>
        <v>0.75900000000000001</v>
      </c>
      <c r="D8" s="17">
        <f>IFERROR(AVERAGEIFS(RII_Data!$E$5:$E$186,RII_Data!$A$5:$A$186,D$4,RII_Data!$G$5:$G$186,$A8,RII_Data!$H$5:$H$186,"Direct",RII_Data!$C$5:$C$186,"Seed"),"")</f>
        <v>0.78700000000000003</v>
      </c>
      <c r="E8" s="17" t="str">
        <f>IFERROR(AVERAGEIFS(RII_Data!$E$5:$E$186,RII_Data!$A$5:$A$186,E$4,RII_Data!$G$5:$G$186,$A8,RII_Data!$H$5:$H$186,"Direct",RII_Data!$C$5:$C$186,"Seed"),"")</f>
        <v/>
      </c>
      <c r="F8" s="17" t="str">
        <f>IFERROR(AVERAGEIFS(RII_Data!$E$5:$E$186,RII_Data!$A$5:$A$186,F$4,RII_Data!$G$5:$G$186,$A8,RII_Data!$H$5:$H$186,"Direct",RII_Data!$C$5:$C$186,"Seed"),"")</f>
        <v/>
      </c>
      <c r="G8" s="17">
        <f>IFERROR(AVERAGEIFS(RII_Data!$E$5:$E$186,RII_Data!$A$5:$A$186,G$4,RII_Data!$G$5:$G$186,$A8,RII_Data!$H$5:$H$186,"Direct",RII_Data!$C$5:$C$186,"Seed"),"")</f>
        <v>0.80333333333333334</v>
      </c>
      <c r="H8" s="12">
        <f t="shared" si="0"/>
        <v>3</v>
      </c>
      <c r="I8" s="18">
        <f t="shared" si="1"/>
        <v>0.7831111111111112</v>
      </c>
      <c r="J8" s="12">
        <f t="shared" si="2"/>
        <v>3</v>
      </c>
      <c r="K8" s="15">
        <f t="shared" si="3"/>
        <v>5</v>
      </c>
      <c r="L8" s="12" t="str">
        <f t="shared" si="4"/>
        <v>p5 × i5</v>
      </c>
      <c r="M8" s="12" t="str">
        <f t="shared" si="5"/>
        <v>Extreme</v>
      </c>
    </row>
    <row r="9" spans="1:13" x14ac:dyDescent="0.35">
      <c r="A9" s="15" t="s">
        <v>178</v>
      </c>
      <c r="B9" s="16" t="s">
        <v>432</v>
      </c>
      <c r="C9" s="17">
        <f>IFERROR(AVERAGEIFS(RII_Data!$E$5:$E$186,RII_Data!$A$5:$A$186,C$4,RII_Data!$G$5:$G$186,$A9,RII_Data!$H$5:$H$186,"Direct",RII_Data!$C$5:$C$186,"Seed"),"")</f>
        <v>0.79100000000000004</v>
      </c>
      <c r="D9" s="17" t="str">
        <f>IFERROR(AVERAGEIFS(RII_Data!$E$5:$E$186,RII_Data!$A$5:$A$186,D$4,RII_Data!$G$5:$G$186,$A9,RII_Data!$H$5:$H$186,"Direct",RII_Data!$C$5:$C$186,"Seed"),"")</f>
        <v/>
      </c>
      <c r="E9" s="17">
        <f>IFERROR(AVERAGEIFS(RII_Data!$E$5:$E$186,RII_Data!$A$5:$A$186,E$4,RII_Data!$G$5:$G$186,$A9,RII_Data!$H$5:$H$186,"Direct",RII_Data!$C$5:$C$186,"Seed"),"")</f>
        <v>0.76318399999999997</v>
      </c>
      <c r="F9" s="17" t="str">
        <f>IFERROR(AVERAGEIFS(RII_Data!$E$5:$E$186,RII_Data!$A$5:$A$186,F$4,RII_Data!$G$5:$G$186,$A9,RII_Data!$H$5:$H$186,"Direct",RII_Data!$C$5:$C$186,"Seed"),"")</f>
        <v/>
      </c>
      <c r="G9" s="17" t="str">
        <f>IFERROR(AVERAGEIFS(RII_Data!$E$5:$E$186,RII_Data!$A$5:$A$186,G$4,RII_Data!$G$5:$G$186,$A9,RII_Data!$H$5:$H$186,"Direct",RII_Data!$C$5:$C$186,"Seed"),"")</f>
        <v/>
      </c>
      <c r="H9" s="12">
        <f t="shared" si="0"/>
        <v>2</v>
      </c>
      <c r="I9" s="18">
        <f t="shared" si="1"/>
        <v>0.777092</v>
      </c>
      <c r="J9" s="12">
        <f t="shared" si="2"/>
        <v>4</v>
      </c>
      <c r="K9" s="15">
        <f t="shared" si="3"/>
        <v>5</v>
      </c>
      <c r="L9" s="12" t="str">
        <f t="shared" si="4"/>
        <v>p5 × i5</v>
      </c>
      <c r="M9" s="12" t="str">
        <f t="shared" si="5"/>
        <v>Extreme</v>
      </c>
    </row>
    <row r="10" spans="1:13" x14ac:dyDescent="0.35">
      <c r="A10" s="15" t="s">
        <v>175</v>
      </c>
      <c r="B10" s="16" t="s">
        <v>433</v>
      </c>
      <c r="C10" s="17">
        <f>IFERROR(AVERAGEIFS(RII_Data!$E$5:$E$186,RII_Data!$A$5:$A$186,C$4,RII_Data!$G$5:$G$186,$A10,RII_Data!$H$5:$H$186,"Direct",RII_Data!$C$5:$C$186,"Seed"),"")</f>
        <v>0.78649999999999998</v>
      </c>
      <c r="D10" s="17" t="str">
        <f>IFERROR(AVERAGEIFS(RII_Data!$E$5:$E$186,RII_Data!$A$5:$A$186,D$4,RII_Data!$G$5:$G$186,$A10,RII_Data!$H$5:$H$186,"Direct",RII_Data!$C$5:$C$186,"Seed"),"")</f>
        <v/>
      </c>
      <c r="E10" s="17" t="str">
        <f>IFERROR(AVERAGEIFS(RII_Data!$E$5:$E$186,RII_Data!$A$5:$A$186,E$4,RII_Data!$G$5:$G$186,$A10,RII_Data!$H$5:$H$186,"Direct",RII_Data!$C$5:$C$186,"Seed"),"")</f>
        <v/>
      </c>
      <c r="F10" s="17" t="str">
        <f>IFERROR(AVERAGEIFS(RII_Data!$E$5:$E$186,RII_Data!$A$5:$A$186,F$4,RII_Data!$G$5:$G$186,$A10,RII_Data!$H$5:$H$186,"Direct",RII_Data!$C$5:$C$186,"Seed"),"")</f>
        <v/>
      </c>
      <c r="G10" s="17" t="str">
        <f>IFERROR(AVERAGEIFS(RII_Data!$E$5:$E$186,RII_Data!$A$5:$A$186,G$4,RII_Data!$G$5:$G$186,$A10,RII_Data!$H$5:$H$186,"Direct",RII_Data!$C$5:$C$186,"Seed"),"")</f>
        <v/>
      </c>
      <c r="H10" s="12">
        <f t="shared" si="0"/>
        <v>1</v>
      </c>
      <c r="I10" s="18">
        <f t="shared" si="1"/>
        <v>0.78649999999999998</v>
      </c>
      <c r="J10" s="12">
        <f t="shared" si="2"/>
        <v>2</v>
      </c>
      <c r="K10" s="15">
        <f t="shared" si="3"/>
        <v>5</v>
      </c>
      <c r="L10" s="12" t="str">
        <f t="shared" si="4"/>
        <v>p5 × i5</v>
      </c>
      <c r="M10" s="12" t="str">
        <f t="shared" si="5"/>
        <v>Extreme</v>
      </c>
    </row>
    <row r="11" spans="1:13" x14ac:dyDescent="0.35">
      <c r="A11" s="15" t="s">
        <v>188</v>
      </c>
      <c r="B11" s="16" t="s">
        <v>434</v>
      </c>
      <c r="C11" s="17">
        <f>IFERROR(AVERAGEIFS(RII_Data!$E$5:$E$186,RII_Data!$A$5:$A$186,C$4,RII_Data!$G$5:$G$186,$A11,RII_Data!$H$5:$H$186,"Direct",RII_Data!$C$5:$C$186,"Seed"),"")</f>
        <v>0.76400000000000001</v>
      </c>
      <c r="D11" s="17">
        <f>IFERROR(AVERAGEIFS(RII_Data!$E$5:$E$186,RII_Data!$A$5:$A$186,D$4,RII_Data!$G$5:$G$186,$A11,RII_Data!$H$5:$H$186,"Direct",RII_Data!$C$5:$C$186,"Seed"),"")</f>
        <v>0.7</v>
      </c>
      <c r="E11" s="17">
        <f>IFERROR(AVERAGEIFS(RII_Data!$E$5:$E$186,RII_Data!$A$5:$A$186,E$4,RII_Data!$G$5:$G$186,$A11,RII_Data!$H$5:$H$186,"Direct",RII_Data!$C$5:$C$186,"Seed"),"")</f>
        <v>0.65671599999999997</v>
      </c>
      <c r="F11" s="17">
        <f>IFERROR(AVERAGEIFS(RII_Data!$E$5:$E$186,RII_Data!$A$5:$A$186,F$4,RII_Data!$G$5:$G$186,$A11,RII_Data!$H$5:$H$186,"Direct",RII_Data!$C$5:$C$186,"Seed"),"")</f>
        <v>0.65280000000000005</v>
      </c>
      <c r="G11" s="17" t="str">
        <f>IFERROR(AVERAGEIFS(RII_Data!$E$5:$E$186,RII_Data!$A$5:$A$186,G$4,RII_Data!$G$5:$G$186,$A11,RII_Data!$H$5:$H$186,"Direct",RII_Data!$C$5:$C$186,"Seed"),"")</f>
        <v/>
      </c>
      <c r="H11" s="12">
        <f t="shared" si="0"/>
        <v>4</v>
      </c>
      <c r="I11" s="18">
        <f t="shared" si="1"/>
        <v>0.69337899999999997</v>
      </c>
      <c r="J11" s="12">
        <f t="shared" si="2"/>
        <v>24</v>
      </c>
      <c r="K11" s="15">
        <f t="shared" si="3"/>
        <v>2</v>
      </c>
      <c r="L11" s="12" t="str">
        <f t="shared" si="4"/>
        <v>p2 × i2</v>
      </c>
      <c r="M11" s="12" t="str">
        <f t="shared" si="5"/>
        <v>Low</v>
      </c>
    </row>
    <row r="12" spans="1:13" x14ac:dyDescent="0.35">
      <c r="A12" s="15" t="s">
        <v>210</v>
      </c>
      <c r="B12" s="16" t="s">
        <v>435</v>
      </c>
      <c r="C12" s="17">
        <f>IFERROR(AVERAGEIFS(RII_Data!$E$5:$E$186,RII_Data!$A$5:$A$186,C$4,RII_Data!$G$5:$G$186,$A12,RII_Data!$H$5:$H$186,"Direct",RII_Data!$C$5:$C$186,"Seed"),"")</f>
        <v>0.73599999999999999</v>
      </c>
      <c r="D12" s="17" t="str">
        <f>IFERROR(AVERAGEIFS(RII_Data!$E$5:$E$186,RII_Data!$A$5:$A$186,D$4,RII_Data!$G$5:$G$186,$A12,RII_Data!$H$5:$H$186,"Direct",RII_Data!$C$5:$C$186,"Seed"),"")</f>
        <v/>
      </c>
      <c r="E12" s="17">
        <f>IFERROR(AVERAGEIFS(RII_Data!$E$5:$E$186,RII_Data!$A$5:$A$186,E$4,RII_Data!$G$5:$G$186,$A12,RII_Data!$H$5:$H$186,"Direct",RII_Data!$C$5:$C$186,"Seed"),"")</f>
        <v>0.776119</v>
      </c>
      <c r="F12" s="17" t="str">
        <f>IFERROR(AVERAGEIFS(RII_Data!$E$5:$E$186,RII_Data!$A$5:$A$186,F$4,RII_Data!$G$5:$G$186,$A12,RII_Data!$H$5:$H$186,"Direct",RII_Data!$C$5:$C$186,"Seed"),"")</f>
        <v/>
      </c>
      <c r="G12" s="17" t="str">
        <f>IFERROR(AVERAGEIFS(RII_Data!$E$5:$E$186,RII_Data!$A$5:$A$186,G$4,RII_Data!$G$5:$G$186,$A12,RII_Data!$H$5:$H$186,"Direct",RII_Data!$C$5:$C$186,"Seed"),"")</f>
        <v/>
      </c>
      <c r="H12" s="12">
        <f t="shared" si="0"/>
        <v>2</v>
      </c>
      <c r="I12" s="18">
        <f t="shared" si="1"/>
        <v>0.7560595</v>
      </c>
      <c r="J12" s="12">
        <f t="shared" si="2"/>
        <v>11</v>
      </c>
      <c r="K12" s="15">
        <f t="shared" si="3"/>
        <v>4</v>
      </c>
      <c r="L12" s="12" t="str">
        <f t="shared" si="4"/>
        <v>p4 × i4</v>
      </c>
      <c r="M12" s="12" t="str">
        <f t="shared" si="5"/>
        <v>Extreme</v>
      </c>
    </row>
    <row r="13" spans="1:13" x14ac:dyDescent="0.35">
      <c r="A13" s="15" t="s">
        <v>185</v>
      </c>
      <c r="B13" s="16" t="s">
        <v>184</v>
      </c>
      <c r="C13" s="17">
        <f>IFERROR(AVERAGEIFS(RII_Data!$E$5:$E$186,RII_Data!$A$5:$A$186,C$4,RII_Data!$G$5:$G$186,$A13,RII_Data!$H$5:$H$186,"Direct",RII_Data!$C$5:$C$186,"Seed"),"")</f>
        <v>0.77300000000000002</v>
      </c>
      <c r="D13" s="17">
        <f>IFERROR(AVERAGEIFS(RII_Data!$E$5:$E$186,RII_Data!$A$5:$A$186,D$4,RII_Data!$G$5:$G$186,$A13,RII_Data!$H$5:$H$186,"Direct",RII_Data!$C$5:$C$186,"Seed"),"")</f>
        <v>0.77580000000000005</v>
      </c>
      <c r="E13" s="17">
        <f>IFERROR(AVERAGEIFS(RII_Data!$E$5:$E$186,RII_Data!$A$5:$A$186,E$4,RII_Data!$G$5:$G$186,$A13,RII_Data!$H$5:$H$186,"Direct",RII_Data!$C$5:$C$186,"Seed"),"")</f>
        <v>0.77114400000000005</v>
      </c>
      <c r="F13" s="17" t="str">
        <f>IFERROR(AVERAGEIFS(RII_Data!$E$5:$E$186,RII_Data!$A$5:$A$186,F$4,RII_Data!$G$5:$G$186,$A13,RII_Data!$H$5:$H$186,"Direct",RII_Data!$C$5:$C$186,"Seed"),"")</f>
        <v/>
      </c>
      <c r="G13" s="17" t="str">
        <f>IFERROR(AVERAGEIFS(RII_Data!$E$5:$E$186,RII_Data!$A$5:$A$186,G$4,RII_Data!$G$5:$G$186,$A13,RII_Data!$H$5:$H$186,"Direct",RII_Data!$C$5:$C$186,"Seed"),"")</f>
        <v/>
      </c>
      <c r="H13" s="12">
        <f t="shared" si="0"/>
        <v>3</v>
      </c>
      <c r="I13" s="18">
        <f t="shared" si="1"/>
        <v>0.77331466666666671</v>
      </c>
      <c r="J13" s="12">
        <f t="shared" si="2"/>
        <v>5</v>
      </c>
      <c r="K13" s="15">
        <f t="shared" si="3"/>
        <v>5</v>
      </c>
      <c r="L13" s="12" t="str">
        <f t="shared" si="4"/>
        <v>p5 × i5</v>
      </c>
      <c r="M13" s="12" t="str">
        <f t="shared" si="5"/>
        <v>Extreme</v>
      </c>
    </row>
    <row r="14" spans="1:13" x14ac:dyDescent="0.35">
      <c r="A14" s="15" t="s">
        <v>213</v>
      </c>
      <c r="B14" s="16" t="s">
        <v>436</v>
      </c>
      <c r="C14" s="17">
        <f>IFERROR(AVERAGEIFS(RII_Data!$E$5:$E$186,RII_Data!$A$5:$A$186,C$4,RII_Data!$G$5:$G$186,$A14,RII_Data!$H$5:$H$186,"Direct",RII_Data!$C$5:$C$186,"Seed"),"")</f>
        <v>0.73199999999999998</v>
      </c>
      <c r="D14" s="17" t="str">
        <f>IFERROR(AVERAGEIFS(RII_Data!$E$5:$E$186,RII_Data!$A$5:$A$186,D$4,RII_Data!$G$5:$G$186,$A14,RII_Data!$H$5:$H$186,"Direct",RII_Data!$C$5:$C$186,"Seed"),"")</f>
        <v/>
      </c>
      <c r="E14" s="17">
        <f>IFERROR(AVERAGEIFS(RII_Data!$E$5:$E$186,RII_Data!$A$5:$A$186,E$4,RII_Data!$G$5:$G$186,$A14,RII_Data!$H$5:$H$186,"Direct",RII_Data!$C$5:$C$186,"Seed"),"")</f>
        <v>0.78507499999999997</v>
      </c>
      <c r="F14" s="17" t="str">
        <f>IFERROR(AVERAGEIFS(RII_Data!$E$5:$E$186,RII_Data!$A$5:$A$186,F$4,RII_Data!$G$5:$G$186,$A14,RII_Data!$H$5:$H$186,"Direct",RII_Data!$C$5:$C$186,"Seed"),"")</f>
        <v/>
      </c>
      <c r="G14" s="17" t="str">
        <f>IFERROR(AVERAGEIFS(RII_Data!$E$5:$E$186,RII_Data!$A$5:$A$186,G$4,RII_Data!$G$5:$G$186,$A14,RII_Data!$H$5:$H$186,"Direct",RII_Data!$C$5:$C$186,"Seed"),"")</f>
        <v/>
      </c>
      <c r="H14" s="12">
        <f t="shared" si="0"/>
        <v>2</v>
      </c>
      <c r="I14" s="18">
        <f t="shared" si="1"/>
        <v>0.75853749999999998</v>
      </c>
      <c r="J14" s="12">
        <f t="shared" si="2"/>
        <v>10</v>
      </c>
      <c r="K14" s="15">
        <f t="shared" si="3"/>
        <v>4</v>
      </c>
      <c r="L14" s="12" t="str">
        <f t="shared" si="4"/>
        <v>p4 × i4</v>
      </c>
      <c r="M14" s="12" t="str">
        <f t="shared" si="5"/>
        <v>Extreme</v>
      </c>
    </row>
    <row r="15" spans="1:13" x14ac:dyDescent="0.35">
      <c r="A15" s="15" t="s">
        <v>192</v>
      </c>
      <c r="B15" s="16" t="s">
        <v>437</v>
      </c>
      <c r="C15" s="17">
        <f>IFERROR(AVERAGEIFS(RII_Data!$E$5:$E$186,RII_Data!$A$5:$A$186,C$4,RII_Data!$G$5:$G$186,$A15,RII_Data!$H$5:$H$186,"Direct",RII_Data!$C$5:$C$186,"Seed"),"")</f>
        <v>0.74400000000000011</v>
      </c>
      <c r="D15" s="17" t="str">
        <f>IFERROR(AVERAGEIFS(RII_Data!$E$5:$E$186,RII_Data!$A$5:$A$186,D$4,RII_Data!$G$5:$G$186,$A15,RII_Data!$H$5:$H$186,"Direct",RII_Data!$C$5:$C$186,"Seed"),"")</f>
        <v/>
      </c>
      <c r="E15" s="17" t="str">
        <f>IFERROR(AVERAGEIFS(RII_Data!$E$5:$E$186,RII_Data!$A$5:$A$186,E$4,RII_Data!$G$5:$G$186,$A15,RII_Data!$H$5:$H$186,"Direct",RII_Data!$C$5:$C$186,"Seed"),"")</f>
        <v/>
      </c>
      <c r="F15" s="17" t="str">
        <f>IFERROR(AVERAGEIFS(RII_Data!$E$5:$E$186,RII_Data!$A$5:$A$186,F$4,RII_Data!$G$5:$G$186,$A15,RII_Data!$H$5:$H$186,"Direct",RII_Data!$C$5:$C$186,"Seed"),"")</f>
        <v/>
      </c>
      <c r="G15" s="17" t="str">
        <f>IFERROR(AVERAGEIFS(RII_Data!$E$5:$E$186,RII_Data!$A$5:$A$186,G$4,RII_Data!$G$5:$G$186,$A15,RII_Data!$H$5:$H$186,"Direct",RII_Data!$C$5:$C$186,"Seed"),"")</f>
        <v/>
      </c>
      <c r="H15" s="12">
        <f t="shared" si="0"/>
        <v>1</v>
      </c>
      <c r="I15" s="18">
        <f t="shared" si="1"/>
        <v>0.74400000000000011</v>
      </c>
      <c r="J15" s="12">
        <f t="shared" si="2"/>
        <v>16</v>
      </c>
      <c r="K15" s="15">
        <f t="shared" si="3"/>
        <v>3</v>
      </c>
      <c r="L15" s="12" t="str">
        <f t="shared" si="4"/>
        <v>p3 × i3</v>
      </c>
      <c r="M15" s="12" t="str">
        <f t="shared" si="5"/>
        <v>Moderate</v>
      </c>
    </row>
    <row r="16" spans="1:13" x14ac:dyDescent="0.35">
      <c r="A16" s="15" t="s">
        <v>208</v>
      </c>
      <c r="B16" s="16" t="s">
        <v>438</v>
      </c>
      <c r="C16" s="17">
        <f>IFERROR(AVERAGEIFS(RII_Data!$E$5:$E$186,RII_Data!$A$5:$A$186,C$4,RII_Data!$G$5:$G$186,$A16,RII_Data!$H$5:$H$186,"Direct",RII_Data!$C$5:$C$186,"Seed"),"")</f>
        <v>0.73599999999999999</v>
      </c>
      <c r="D16" s="17" t="str">
        <f>IFERROR(AVERAGEIFS(RII_Data!$E$5:$E$186,RII_Data!$A$5:$A$186,D$4,RII_Data!$G$5:$G$186,$A16,RII_Data!$H$5:$H$186,"Direct",RII_Data!$C$5:$C$186,"Seed"),"")</f>
        <v/>
      </c>
      <c r="E16" s="17" t="str">
        <f>IFERROR(AVERAGEIFS(RII_Data!$E$5:$E$186,RII_Data!$A$5:$A$186,E$4,RII_Data!$G$5:$G$186,$A16,RII_Data!$H$5:$H$186,"Direct",RII_Data!$C$5:$C$186,"Seed"),"")</f>
        <v/>
      </c>
      <c r="F16" s="17" t="str">
        <f>IFERROR(AVERAGEIFS(RII_Data!$E$5:$E$186,RII_Data!$A$5:$A$186,F$4,RII_Data!$G$5:$G$186,$A16,RII_Data!$H$5:$H$186,"Direct",RII_Data!$C$5:$C$186,"Seed"),"")</f>
        <v/>
      </c>
      <c r="G16" s="17" t="str">
        <f>IFERROR(AVERAGEIFS(RII_Data!$E$5:$E$186,RII_Data!$A$5:$A$186,G$4,RII_Data!$G$5:$G$186,$A16,RII_Data!$H$5:$H$186,"Direct",RII_Data!$C$5:$C$186,"Seed"),"")</f>
        <v/>
      </c>
      <c r="H16" s="12">
        <f t="shared" si="0"/>
        <v>1</v>
      </c>
      <c r="I16" s="18">
        <f t="shared" si="1"/>
        <v>0.73599999999999999</v>
      </c>
      <c r="J16" s="12">
        <f t="shared" si="2"/>
        <v>17</v>
      </c>
      <c r="K16" s="15">
        <f t="shared" si="3"/>
        <v>3</v>
      </c>
      <c r="L16" s="12" t="str">
        <f t="shared" si="4"/>
        <v>p3 × i3</v>
      </c>
      <c r="M16" s="12" t="str">
        <f t="shared" si="5"/>
        <v>Moderate</v>
      </c>
    </row>
    <row r="17" spans="1:13" x14ac:dyDescent="0.35">
      <c r="A17" s="15" t="s">
        <v>181</v>
      </c>
      <c r="B17" s="16" t="s">
        <v>439</v>
      </c>
      <c r="C17" s="17">
        <f>IFERROR(AVERAGEIFS(RII_Data!$E$5:$E$186,RII_Data!$A$5:$A$186,C$4,RII_Data!$G$5:$G$186,$A17,RII_Data!$H$5:$H$186,"Direct",RII_Data!$C$5:$C$186,"Seed"),"")</f>
        <v>0.752</v>
      </c>
      <c r="D17" s="17" t="str">
        <f>IFERROR(AVERAGEIFS(RII_Data!$E$5:$E$186,RII_Data!$A$5:$A$186,D$4,RII_Data!$G$5:$G$186,$A17,RII_Data!$H$5:$H$186,"Direct",RII_Data!$C$5:$C$186,"Seed"),"")</f>
        <v/>
      </c>
      <c r="E17" s="17" t="str">
        <f>IFERROR(AVERAGEIFS(RII_Data!$E$5:$E$186,RII_Data!$A$5:$A$186,E$4,RII_Data!$G$5:$G$186,$A17,RII_Data!$H$5:$H$186,"Direct",RII_Data!$C$5:$C$186,"Seed"),"")</f>
        <v/>
      </c>
      <c r="F17" s="17" t="str">
        <f>IFERROR(AVERAGEIFS(RII_Data!$E$5:$E$186,RII_Data!$A$5:$A$186,F$4,RII_Data!$G$5:$G$186,$A17,RII_Data!$H$5:$H$186,"Direct",RII_Data!$C$5:$C$186,"Seed"),"")</f>
        <v/>
      </c>
      <c r="G17" s="17" t="str">
        <f>IFERROR(AVERAGEIFS(RII_Data!$E$5:$E$186,RII_Data!$A$5:$A$186,G$4,RII_Data!$G$5:$G$186,$A17,RII_Data!$H$5:$H$186,"Direct",RII_Data!$C$5:$C$186,"Seed"),"")</f>
        <v/>
      </c>
      <c r="H17" s="12">
        <f t="shared" si="0"/>
        <v>1</v>
      </c>
      <c r="I17" s="18">
        <f t="shared" si="1"/>
        <v>0.752</v>
      </c>
      <c r="J17" s="12">
        <f t="shared" si="2"/>
        <v>13</v>
      </c>
      <c r="K17" s="15">
        <f t="shared" si="3"/>
        <v>3</v>
      </c>
      <c r="L17" s="12" t="str">
        <f t="shared" si="4"/>
        <v>p3 × i3</v>
      </c>
      <c r="M17" s="12" t="str">
        <f t="shared" si="5"/>
        <v>Moderate</v>
      </c>
    </row>
    <row r="18" spans="1:13" x14ac:dyDescent="0.35">
      <c r="A18" s="15" t="s">
        <v>205</v>
      </c>
      <c r="B18" s="16" t="s">
        <v>440</v>
      </c>
      <c r="C18" s="17">
        <f>IFERROR(AVERAGEIFS(RII_Data!$E$5:$E$186,RII_Data!$A$5:$A$186,C$4,RII_Data!$G$5:$G$186,$A18,RII_Data!$H$5:$H$186,"Direct",RII_Data!$C$5:$C$186,"Seed"),"")</f>
        <v>0.72499999999999998</v>
      </c>
      <c r="D18" s="17" t="str">
        <f>IFERROR(AVERAGEIFS(RII_Data!$E$5:$E$186,RII_Data!$A$5:$A$186,D$4,RII_Data!$G$5:$G$186,$A18,RII_Data!$H$5:$H$186,"Direct",RII_Data!$C$5:$C$186,"Seed"),"")</f>
        <v/>
      </c>
      <c r="E18" s="17">
        <f>IFERROR(AVERAGEIFS(RII_Data!$E$5:$E$186,RII_Data!$A$5:$A$186,E$4,RII_Data!$G$5:$G$186,$A18,RII_Data!$H$5:$H$186,"Direct",RII_Data!$C$5:$C$186,"Seed"),"")</f>
        <v>0.68756200000000001</v>
      </c>
      <c r="F18" s="17" t="str">
        <f>IFERROR(AVERAGEIFS(RII_Data!$E$5:$E$186,RII_Data!$A$5:$A$186,F$4,RII_Data!$G$5:$G$186,$A18,RII_Data!$H$5:$H$186,"Direct",RII_Data!$C$5:$C$186,"Seed"),"")</f>
        <v/>
      </c>
      <c r="G18" s="17" t="str">
        <f>IFERROR(AVERAGEIFS(RII_Data!$E$5:$E$186,RII_Data!$A$5:$A$186,G$4,RII_Data!$G$5:$G$186,$A18,RII_Data!$H$5:$H$186,"Direct",RII_Data!$C$5:$C$186,"Seed"),"")</f>
        <v/>
      </c>
      <c r="H18" s="12">
        <f t="shared" si="0"/>
        <v>2</v>
      </c>
      <c r="I18" s="18">
        <f t="shared" si="1"/>
        <v>0.70628099999999994</v>
      </c>
      <c r="J18" s="12">
        <f t="shared" si="2"/>
        <v>20</v>
      </c>
      <c r="K18" s="15">
        <f t="shared" si="3"/>
        <v>2</v>
      </c>
      <c r="L18" s="12" t="str">
        <f t="shared" si="4"/>
        <v>p2 × i2</v>
      </c>
      <c r="M18" s="12" t="str">
        <f t="shared" si="5"/>
        <v>Low</v>
      </c>
    </row>
    <row r="19" spans="1:13" x14ac:dyDescent="0.35">
      <c r="A19" s="15" t="s">
        <v>229</v>
      </c>
      <c r="B19" s="16" t="s">
        <v>441</v>
      </c>
      <c r="C19" s="17" t="str">
        <f>IFERROR(AVERAGEIFS(RII_Data!$E$5:$E$186,RII_Data!$A$5:$A$186,C$4,RII_Data!$G$5:$G$186,$A19,RII_Data!$H$5:$H$186,"Direct",RII_Data!$C$5:$C$186,"Seed"),"")</f>
        <v/>
      </c>
      <c r="D19" s="17">
        <f>IFERROR(AVERAGEIFS(RII_Data!$E$5:$E$186,RII_Data!$A$5:$A$186,D$4,RII_Data!$G$5:$G$186,$A19,RII_Data!$H$5:$H$186,"Direct",RII_Data!$C$5:$C$186,"Seed"),"")</f>
        <v>0.61</v>
      </c>
      <c r="E19" s="17" t="str">
        <f>IFERROR(AVERAGEIFS(RII_Data!$E$5:$E$186,RII_Data!$A$5:$A$186,E$4,RII_Data!$G$5:$G$186,$A19,RII_Data!$H$5:$H$186,"Direct",RII_Data!$C$5:$C$186,"Seed"),"")</f>
        <v/>
      </c>
      <c r="F19" s="17" t="str">
        <f>IFERROR(AVERAGEIFS(RII_Data!$E$5:$E$186,RII_Data!$A$5:$A$186,F$4,RII_Data!$G$5:$G$186,$A19,RII_Data!$H$5:$H$186,"Direct",RII_Data!$C$5:$C$186,"Seed"),"")</f>
        <v/>
      </c>
      <c r="G19" s="17" t="str">
        <f>IFERROR(AVERAGEIFS(RII_Data!$E$5:$E$186,RII_Data!$A$5:$A$186,G$4,RII_Data!$G$5:$G$186,$A19,RII_Data!$H$5:$H$186,"Direct",RII_Data!$C$5:$C$186,"Seed"),"")</f>
        <v/>
      </c>
      <c r="H19" s="12">
        <f t="shared" si="0"/>
        <v>1</v>
      </c>
      <c r="I19" s="18">
        <f t="shared" si="1"/>
        <v>0.61</v>
      </c>
      <c r="J19" s="12">
        <f t="shared" si="2"/>
        <v>29</v>
      </c>
      <c r="K19" s="15">
        <f t="shared" si="3"/>
        <v>1</v>
      </c>
      <c r="L19" s="12" t="str">
        <f t="shared" si="4"/>
        <v>p1 × i1</v>
      </c>
      <c r="M19" s="12" t="str">
        <f t="shared" si="5"/>
        <v>Low</v>
      </c>
    </row>
    <row r="20" spans="1:13" x14ac:dyDescent="0.35">
      <c r="A20" s="15" t="s">
        <v>198</v>
      </c>
      <c r="B20" s="16" t="s">
        <v>442</v>
      </c>
      <c r="C20" s="17" t="str">
        <f>IFERROR(AVERAGEIFS(RII_Data!$E$5:$E$186,RII_Data!$A$5:$A$186,C$4,RII_Data!$G$5:$G$186,$A20,RII_Data!$H$5:$H$186,"Direct",RII_Data!$C$5:$C$186,"Seed"),"")</f>
        <v/>
      </c>
      <c r="D20" s="17">
        <f>IFERROR(AVERAGEIFS(RII_Data!$E$5:$E$186,RII_Data!$A$5:$A$186,D$4,RII_Data!$G$5:$G$186,$A20,RII_Data!$H$5:$H$186,"Direct",RII_Data!$C$5:$C$186,"Seed"),"")</f>
        <v>0.68</v>
      </c>
      <c r="E20" s="17">
        <f>IFERROR(AVERAGEIFS(RII_Data!$E$5:$E$186,RII_Data!$A$5:$A$186,E$4,RII_Data!$G$5:$G$186,$A20,RII_Data!$H$5:$H$186,"Direct",RII_Data!$C$5:$C$186,"Seed"),"")</f>
        <v>0.67860699999999996</v>
      </c>
      <c r="F20" s="17" t="str">
        <f>IFERROR(AVERAGEIFS(RII_Data!$E$5:$E$186,RII_Data!$A$5:$A$186,F$4,RII_Data!$G$5:$G$186,$A20,RII_Data!$H$5:$H$186,"Direct",RII_Data!$C$5:$C$186,"Seed"),"")</f>
        <v/>
      </c>
      <c r="G20" s="17" t="str">
        <f>IFERROR(AVERAGEIFS(RII_Data!$E$5:$E$186,RII_Data!$A$5:$A$186,G$4,RII_Data!$G$5:$G$186,$A20,RII_Data!$H$5:$H$186,"Direct",RII_Data!$C$5:$C$186,"Seed"),"")</f>
        <v/>
      </c>
      <c r="H20" s="12">
        <f t="shared" si="0"/>
        <v>2</v>
      </c>
      <c r="I20" s="18">
        <f t="shared" si="1"/>
        <v>0.67930350000000006</v>
      </c>
      <c r="J20" s="12">
        <f t="shared" si="2"/>
        <v>25</v>
      </c>
      <c r="K20" s="15">
        <f t="shared" si="3"/>
        <v>1</v>
      </c>
      <c r="L20" s="12" t="str">
        <f t="shared" si="4"/>
        <v>p1 × i1</v>
      </c>
      <c r="M20" s="12" t="str">
        <f t="shared" si="5"/>
        <v>Low</v>
      </c>
    </row>
    <row r="21" spans="1:13" x14ac:dyDescent="0.35">
      <c r="A21" s="15" t="s">
        <v>203</v>
      </c>
      <c r="B21" s="16" t="s">
        <v>443</v>
      </c>
      <c r="C21" s="17">
        <f>IFERROR(AVERAGEIFS(RII_Data!$E$5:$E$186,RII_Data!$A$5:$A$186,C$4,RII_Data!$G$5:$G$186,$A21,RII_Data!$H$5:$H$186,"Direct",RII_Data!$C$5:$C$186,"Seed"),"")</f>
        <v>0.75</v>
      </c>
      <c r="D21" s="17" t="str">
        <f>IFERROR(AVERAGEIFS(RII_Data!$E$5:$E$186,RII_Data!$A$5:$A$186,D$4,RII_Data!$G$5:$G$186,$A21,RII_Data!$H$5:$H$186,"Direct",RII_Data!$C$5:$C$186,"Seed"),"")</f>
        <v/>
      </c>
      <c r="E21" s="17" t="str">
        <f>IFERROR(AVERAGEIFS(RII_Data!$E$5:$E$186,RII_Data!$A$5:$A$186,E$4,RII_Data!$G$5:$G$186,$A21,RII_Data!$H$5:$H$186,"Direct",RII_Data!$C$5:$C$186,"Seed"),"")</f>
        <v/>
      </c>
      <c r="F21" s="17" t="str">
        <f>IFERROR(AVERAGEIFS(RII_Data!$E$5:$E$186,RII_Data!$A$5:$A$186,F$4,RII_Data!$G$5:$G$186,$A21,RII_Data!$H$5:$H$186,"Direct",RII_Data!$C$5:$C$186,"Seed"),"")</f>
        <v/>
      </c>
      <c r="G21" s="17">
        <f>IFERROR(AVERAGEIFS(RII_Data!$E$5:$E$186,RII_Data!$A$5:$A$186,G$4,RII_Data!$G$5:$G$186,$A21,RII_Data!$H$5:$H$186,"Direct",RII_Data!$C$5:$C$186,"Seed"),"")</f>
        <v>0.79</v>
      </c>
      <c r="H21" s="12">
        <f t="shared" si="0"/>
        <v>2</v>
      </c>
      <c r="I21" s="18">
        <f t="shared" si="1"/>
        <v>0.77</v>
      </c>
      <c r="J21" s="12">
        <f t="shared" si="2"/>
        <v>6</v>
      </c>
      <c r="K21" s="15">
        <f t="shared" si="3"/>
        <v>5</v>
      </c>
      <c r="L21" s="12" t="str">
        <f t="shared" si="4"/>
        <v>p5 × i5</v>
      </c>
      <c r="M21" s="12" t="str">
        <f t="shared" si="5"/>
        <v>Extreme</v>
      </c>
    </row>
    <row r="22" spans="1:13" x14ac:dyDescent="0.35">
      <c r="A22" s="15" t="s">
        <v>350</v>
      </c>
      <c r="B22" s="16" t="s">
        <v>444</v>
      </c>
      <c r="C22" s="17" t="str">
        <f>IFERROR(AVERAGEIFS(RII_Data!$E$5:$E$186,RII_Data!$A$5:$A$186,C$4,RII_Data!$G$5:$G$186,$A22,RII_Data!$H$5:$H$186,"Direct",RII_Data!$C$5:$C$186,"Seed"),"")</f>
        <v/>
      </c>
      <c r="D22" s="17" t="str">
        <f>IFERROR(AVERAGEIFS(RII_Data!$E$5:$E$186,RII_Data!$A$5:$A$186,D$4,RII_Data!$G$5:$G$186,$A22,RII_Data!$H$5:$H$186,"Direct",RII_Data!$C$5:$C$186,"Seed"),"")</f>
        <v/>
      </c>
      <c r="E22" s="17" t="str">
        <f>IFERROR(AVERAGEIFS(RII_Data!$E$5:$E$186,RII_Data!$A$5:$A$186,E$4,RII_Data!$G$5:$G$186,$A22,RII_Data!$H$5:$H$186,"Direct",RII_Data!$C$5:$C$186,"Seed"),"")</f>
        <v/>
      </c>
      <c r="F22" s="17" t="str">
        <f>IFERROR(AVERAGEIFS(RII_Data!$E$5:$E$186,RII_Data!$A$5:$A$186,F$4,RII_Data!$G$5:$G$186,$A22,RII_Data!$H$5:$H$186,"Direct",RII_Data!$C$5:$C$186,"Seed"),"")</f>
        <v/>
      </c>
      <c r="G22" s="17" t="str">
        <f>IFERROR(AVERAGEIFS(RII_Data!$E$5:$E$186,RII_Data!$A$5:$A$186,G$4,RII_Data!$G$5:$G$186,$A22,RII_Data!$H$5:$H$186,"Direct",RII_Data!$C$5:$C$186,"Seed"),"")</f>
        <v/>
      </c>
      <c r="H22" s="12">
        <f t="shared" si="0"/>
        <v>0</v>
      </c>
      <c r="I22" s="18" t="str">
        <f t="shared" si="1"/>
        <v/>
      </c>
      <c r="J22" s="12" t="str">
        <f t="shared" si="2"/>
        <v/>
      </c>
      <c r="K22" s="15" t="str">
        <f t="shared" si="3"/>
        <v/>
      </c>
      <c r="L22" s="12" t="str">
        <f t="shared" si="4"/>
        <v>not seeded</v>
      </c>
      <c r="M22" s="12" t="str">
        <f t="shared" si="5"/>
        <v/>
      </c>
    </row>
    <row r="23" spans="1:13" x14ac:dyDescent="0.35">
      <c r="A23" s="15" t="s">
        <v>352</v>
      </c>
      <c r="B23" s="16" t="s">
        <v>445</v>
      </c>
      <c r="C23" s="17" t="str">
        <f>IFERROR(AVERAGEIFS(RII_Data!$E$5:$E$186,RII_Data!$A$5:$A$186,C$4,RII_Data!$G$5:$G$186,$A23,RII_Data!$H$5:$H$186,"Direct",RII_Data!$C$5:$C$186,"Seed"),"")</f>
        <v/>
      </c>
      <c r="D23" s="17" t="str">
        <f>IFERROR(AVERAGEIFS(RII_Data!$E$5:$E$186,RII_Data!$A$5:$A$186,D$4,RII_Data!$G$5:$G$186,$A23,RII_Data!$H$5:$H$186,"Direct",RII_Data!$C$5:$C$186,"Seed"),"")</f>
        <v/>
      </c>
      <c r="E23" s="17" t="str">
        <f>IFERROR(AVERAGEIFS(RII_Data!$E$5:$E$186,RII_Data!$A$5:$A$186,E$4,RII_Data!$G$5:$G$186,$A23,RII_Data!$H$5:$H$186,"Direct",RII_Data!$C$5:$C$186,"Seed"),"")</f>
        <v/>
      </c>
      <c r="F23" s="17" t="str">
        <f>IFERROR(AVERAGEIFS(RII_Data!$E$5:$E$186,RII_Data!$A$5:$A$186,F$4,RII_Data!$G$5:$G$186,$A23,RII_Data!$H$5:$H$186,"Direct",RII_Data!$C$5:$C$186,"Seed"),"")</f>
        <v/>
      </c>
      <c r="G23" s="17" t="str">
        <f>IFERROR(AVERAGEIFS(RII_Data!$E$5:$E$186,RII_Data!$A$5:$A$186,G$4,RII_Data!$G$5:$G$186,$A23,RII_Data!$H$5:$H$186,"Direct",RII_Data!$C$5:$C$186,"Seed"),"")</f>
        <v/>
      </c>
      <c r="H23" s="12">
        <f t="shared" si="0"/>
        <v>0</v>
      </c>
      <c r="I23" s="18" t="str">
        <f t="shared" si="1"/>
        <v/>
      </c>
      <c r="J23" s="12" t="str">
        <f t="shared" si="2"/>
        <v/>
      </c>
      <c r="K23" s="15" t="str">
        <f t="shared" si="3"/>
        <v/>
      </c>
      <c r="L23" s="12" t="str">
        <f t="shared" si="4"/>
        <v>not seeded</v>
      </c>
      <c r="M23" s="12" t="str">
        <f t="shared" si="5"/>
        <v/>
      </c>
    </row>
    <row r="24" spans="1:13" x14ac:dyDescent="0.35">
      <c r="A24" s="15" t="s">
        <v>269</v>
      </c>
      <c r="B24" s="16" t="s">
        <v>446</v>
      </c>
      <c r="C24" s="17" t="str">
        <f>IFERROR(AVERAGEIFS(RII_Data!$E$5:$E$186,RII_Data!$A$5:$A$186,C$4,RII_Data!$G$5:$G$186,$A24,RII_Data!$H$5:$H$186,"Direct",RII_Data!$C$5:$C$186,"Seed"),"")</f>
        <v/>
      </c>
      <c r="D24" s="17" t="str">
        <f>IFERROR(AVERAGEIFS(RII_Data!$E$5:$E$186,RII_Data!$A$5:$A$186,D$4,RII_Data!$G$5:$G$186,$A24,RII_Data!$H$5:$H$186,"Direct",RII_Data!$C$5:$C$186,"Seed"),"")</f>
        <v/>
      </c>
      <c r="E24" s="17">
        <f>IFERROR(AVERAGEIFS(RII_Data!$E$5:$E$186,RII_Data!$A$5:$A$186,E$4,RII_Data!$G$5:$G$186,$A24,RII_Data!$H$5:$H$186,"Direct",RII_Data!$C$5:$C$186,"Seed"),"")</f>
        <v>0.74925399999999998</v>
      </c>
      <c r="F24" s="17" t="str">
        <f>IFERROR(AVERAGEIFS(RII_Data!$E$5:$E$186,RII_Data!$A$5:$A$186,F$4,RII_Data!$G$5:$G$186,$A24,RII_Data!$H$5:$H$186,"Direct",RII_Data!$C$5:$C$186,"Seed"),"")</f>
        <v/>
      </c>
      <c r="G24" s="17" t="str">
        <f>IFERROR(AVERAGEIFS(RII_Data!$E$5:$E$186,RII_Data!$A$5:$A$186,G$4,RII_Data!$G$5:$G$186,$A24,RII_Data!$H$5:$H$186,"Direct",RII_Data!$C$5:$C$186,"Seed"),"")</f>
        <v/>
      </c>
      <c r="H24" s="12">
        <f t="shared" si="0"/>
        <v>1</v>
      </c>
      <c r="I24" s="18">
        <f t="shared" si="1"/>
        <v>0.74925399999999998</v>
      </c>
      <c r="J24" s="12">
        <f t="shared" si="2"/>
        <v>14</v>
      </c>
      <c r="K24" s="15">
        <f t="shared" si="3"/>
        <v>3</v>
      </c>
      <c r="L24" s="12" t="str">
        <f t="shared" si="4"/>
        <v>p3 × i3</v>
      </c>
      <c r="M24" s="12" t="str">
        <f t="shared" si="5"/>
        <v>Moderate</v>
      </c>
    </row>
    <row r="25" spans="1:13" x14ac:dyDescent="0.35">
      <c r="A25" s="15" t="s">
        <v>195</v>
      </c>
      <c r="B25" s="16" t="s">
        <v>447</v>
      </c>
      <c r="C25" s="17">
        <f>IFERROR(AVERAGEIFS(RII_Data!$E$5:$E$186,RII_Data!$A$5:$A$186,C$4,RII_Data!$G$5:$G$186,$A25,RII_Data!$H$5:$H$186,"Direct",RII_Data!$C$5:$C$186,"Seed"),"")</f>
        <v>0.75900000000000001</v>
      </c>
      <c r="D25" s="17">
        <f>IFERROR(AVERAGEIFS(RII_Data!$E$5:$E$186,RII_Data!$A$5:$A$186,D$4,RII_Data!$G$5:$G$186,$A25,RII_Data!$H$5:$H$186,"Direct",RII_Data!$C$5:$C$186,"Seed"),"")</f>
        <v>0.65</v>
      </c>
      <c r="E25" s="17" t="str">
        <f>IFERROR(AVERAGEIFS(RII_Data!$E$5:$E$186,RII_Data!$A$5:$A$186,E$4,RII_Data!$G$5:$G$186,$A25,RII_Data!$H$5:$H$186,"Direct",RII_Data!$C$5:$C$186,"Seed"),"")</f>
        <v/>
      </c>
      <c r="F25" s="17" t="str">
        <f>IFERROR(AVERAGEIFS(RII_Data!$E$5:$E$186,RII_Data!$A$5:$A$186,F$4,RII_Data!$G$5:$G$186,$A25,RII_Data!$H$5:$H$186,"Direct",RII_Data!$C$5:$C$186,"Seed"),"")</f>
        <v/>
      </c>
      <c r="G25" s="17" t="str">
        <f>IFERROR(AVERAGEIFS(RII_Data!$E$5:$E$186,RII_Data!$A$5:$A$186,G$4,RII_Data!$G$5:$G$186,$A25,RII_Data!$H$5:$H$186,"Direct",RII_Data!$C$5:$C$186,"Seed"),"")</f>
        <v/>
      </c>
      <c r="H25" s="12">
        <f t="shared" si="0"/>
        <v>2</v>
      </c>
      <c r="I25" s="18">
        <f t="shared" si="1"/>
        <v>0.70450000000000002</v>
      </c>
      <c r="J25" s="12">
        <f t="shared" si="2"/>
        <v>21</v>
      </c>
      <c r="K25" s="15">
        <f t="shared" si="3"/>
        <v>2</v>
      </c>
      <c r="L25" s="12" t="str">
        <f t="shared" si="4"/>
        <v>p2 × i2</v>
      </c>
      <c r="M25" s="12" t="str">
        <f t="shared" si="5"/>
        <v>Low</v>
      </c>
    </row>
    <row r="26" spans="1:13" x14ac:dyDescent="0.35">
      <c r="A26" s="15" t="s">
        <v>222</v>
      </c>
      <c r="B26" s="16" t="s">
        <v>448</v>
      </c>
      <c r="C26" s="17">
        <f>IFERROR(AVERAGEIFS(RII_Data!$E$5:$E$186,RII_Data!$A$5:$A$186,C$4,RII_Data!$G$5:$G$186,$A26,RII_Data!$H$5:$H$186,"Direct",RII_Data!$C$5:$C$186,"Seed"),"")</f>
        <v>0.70899999999999996</v>
      </c>
      <c r="D26" s="17" t="str">
        <f>IFERROR(AVERAGEIFS(RII_Data!$E$5:$E$186,RII_Data!$A$5:$A$186,D$4,RII_Data!$G$5:$G$186,$A26,RII_Data!$H$5:$H$186,"Direct",RII_Data!$C$5:$C$186,"Seed"),"")</f>
        <v/>
      </c>
      <c r="E26" s="17">
        <f>IFERROR(AVERAGEIFS(RII_Data!$E$5:$E$186,RII_Data!$A$5:$A$186,E$4,RII_Data!$G$5:$G$186,$A26,RII_Data!$H$5:$H$186,"Direct",RII_Data!$C$5:$C$186,"Seed"),"")</f>
        <v>0.75721400000000005</v>
      </c>
      <c r="F26" s="17" t="str">
        <f>IFERROR(AVERAGEIFS(RII_Data!$E$5:$E$186,RII_Data!$A$5:$A$186,F$4,RII_Data!$G$5:$G$186,$A26,RII_Data!$H$5:$H$186,"Direct",RII_Data!$C$5:$C$186,"Seed"),"")</f>
        <v/>
      </c>
      <c r="G26" s="17" t="str">
        <f>IFERROR(AVERAGEIFS(RII_Data!$E$5:$E$186,RII_Data!$A$5:$A$186,G$4,RII_Data!$G$5:$G$186,$A26,RII_Data!$H$5:$H$186,"Direct",RII_Data!$C$5:$C$186,"Seed"),"")</f>
        <v/>
      </c>
      <c r="H26" s="12">
        <f t="shared" si="0"/>
        <v>2</v>
      </c>
      <c r="I26" s="18">
        <f t="shared" si="1"/>
        <v>0.73310699999999995</v>
      </c>
      <c r="J26" s="12">
        <f t="shared" si="2"/>
        <v>18</v>
      </c>
      <c r="K26" s="15">
        <f t="shared" si="3"/>
        <v>3</v>
      </c>
      <c r="L26" s="12" t="str">
        <f t="shared" si="4"/>
        <v>p3 × i3</v>
      </c>
      <c r="M26" s="12" t="str">
        <f t="shared" si="5"/>
        <v>Moderate</v>
      </c>
    </row>
    <row r="27" spans="1:13" x14ac:dyDescent="0.35">
      <c r="A27" s="15" t="s">
        <v>325</v>
      </c>
      <c r="B27" s="16" t="s">
        <v>449</v>
      </c>
      <c r="C27" s="17" t="str">
        <f>IFERROR(AVERAGEIFS(RII_Data!$E$5:$E$186,RII_Data!$A$5:$A$186,C$4,RII_Data!$G$5:$G$186,$A27,RII_Data!$H$5:$H$186,"Direct",RII_Data!$C$5:$C$186,"Seed"),"")</f>
        <v/>
      </c>
      <c r="D27" s="17" t="str">
        <f>IFERROR(AVERAGEIFS(RII_Data!$E$5:$E$186,RII_Data!$A$5:$A$186,D$4,RII_Data!$G$5:$G$186,$A27,RII_Data!$H$5:$H$186,"Direct",RII_Data!$C$5:$C$186,"Seed"),"")</f>
        <v/>
      </c>
      <c r="E27" s="17" t="str">
        <f>IFERROR(AVERAGEIFS(RII_Data!$E$5:$E$186,RII_Data!$A$5:$A$186,E$4,RII_Data!$G$5:$G$186,$A27,RII_Data!$H$5:$H$186,"Direct",RII_Data!$C$5:$C$186,"Seed"),"")</f>
        <v/>
      </c>
      <c r="F27" s="17" t="str">
        <f>IFERROR(AVERAGEIFS(RII_Data!$E$5:$E$186,RII_Data!$A$5:$A$186,F$4,RII_Data!$G$5:$G$186,$A27,RII_Data!$H$5:$H$186,"Direct",RII_Data!$C$5:$C$186,"Seed"),"")</f>
        <v/>
      </c>
      <c r="G27" s="17" t="str">
        <f>IFERROR(AVERAGEIFS(RII_Data!$E$5:$E$186,RII_Data!$A$5:$A$186,G$4,RII_Data!$G$5:$G$186,$A27,RII_Data!$H$5:$H$186,"Direct",RII_Data!$C$5:$C$186,"Seed"),"")</f>
        <v/>
      </c>
      <c r="H27" s="12">
        <f t="shared" si="0"/>
        <v>0</v>
      </c>
      <c r="I27" s="18" t="str">
        <f t="shared" si="1"/>
        <v/>
      </c>
      <c r="J27" s="12" t="str">
        <f t="shared" si="2"/>
        <v/>
      </c>
      <c r="K27" s="15" t="str">
        <f t="shared" si="3"/>
        <v/>
      </c>
      <c r="L27" s="12" t="str">
        <f t="shared" si="4"/>
        <v>not seeded</v>
      </c>
      <c r="M27" s="12" t="str">
        <f t="shared" si="5"/>
        <v/>
      </c>
    </row>
    <row r="28" spans="1:13" x14ac:dyDescent="0.35">
      <c r="A28" s="15" t="s">
        <v>254</v>
      </c>
      <c r="B28" s="16" t="s">
        <v>450</v>
      </c>
      <c r="C28" s="17" t="str">
        <f>IFERROR(AVERAGEIFS(RII_Data!$E$5:$E$186,RII_Data!$A$5:$A$186,C$4,RII_Data!$G$5:$G$186,$A28,RII_Data!$H$5:$H$186,"Direct",RII_Data!$C$5:$C$186,"Seed"),"")</f>
        <v/>
      </c>
      <c r="D28" s="17" t="str">
        <f>IFERROR(AVERAGEIFS(RII_Data!$E$5:$E$186,RII_Data!$A$5:$A$186,D$4,RII_Data!$G$5:$G$186,$A28,RII_Data!$H$5:$H$186,"Direct",RII_Data!$C$5:$C$186,"Seed"),"")</f>
        <v/>
      </c>
      <c r="E28" s="17">
        <f>IFERROR(AVERAGEIFS(RII_Data!$E$5:$E$186,RII_Data!$A$5:$A$186,E$4,RII_Data!$G$5:$G$186,$A28,RII_Data!$H$5:$H$186,"Direct",RII_Data!$C$5:$C$186,"Seed"),"")</f>
        <v>0.74676600000000004</v>
      </c>
      <c r="F28" s="17" t="str">
        <f>IFERROR(AVERAGEIFS(RII_Data!$E$5:$E$186,RII_Data!$A$5:$A$186,F$4,RII_Data!$G$5:$G$186,$A28,RII_Data!$H$5:$H$186,"Direct",RII_Data!$C$5:$C$186,"Seed"),"")</f>
        <v/>
      </c>
      <c r="G28" s="17" t="str">
        <f>IFERROR(AVERAGEIFS(RII_Data!$E$5:$E$186,RII_Data!$A$5:$A$186,G$4,RII_Data!$G$5:$G$186,$A28,RII_Data!$H$5:$H$186,"Direct",RII_Data!$C$5:$C$186,"Seed"),"")</f>
        <v/>
      </c>
      <c r="H28" s="12">
        <f t="shared" si="0"/>
        <v>1</v>
      </c>
      <c r="I28" s="18">
        <f t="shared" si="1"/>
        <v>0.74676600000000004</v>
      </c>
      <c r="J28" s="12">
        <f t="shared" si="2"/>
        <v>15</v>
      </c>
      <c r="K28" s="15">
        <f t="shared" si="3"/>
        <v>3</v>
      </c>
      <c r="L28" s="12" t="str">
        <f t="shared" si="4"/>
        <v>p3 × i3</v>
      </c>
      <c r="M28" s="12" t="str">
        <f t="shared" si="5"/>
        <v>Moderate</v>
      </c>
    </row>
    <row r="29" spans="1:13" x14ac:dyDescent="0.35">
      <c r="A29" s="15" t="s">
        <v>256</v>
      </c>
      <c r="B29" s="16" t="s">
        <v>451</v>
      </c>
      <c r="C29" s="17" t="str">
        <f>IFERROR(AVERAGEIFS(RII_Data!$E$5:$E$186,RII_Data!$A$5:$A$186,C$4,RII_Data!$G$5:$G$186,$A29,RII_Data!$H$5:$H$186,"Direct",RII_Data!$C$5:$C$186,"Seed"),"")</f>
        <v/>
      </c>
      <c r="D29" s="17" t="str">
        <f>IFERROR(AVERAGEIFS(RII_Data!$E$5:$E$186,RII_Data!$A$5:$A$186,D$4,RII_Data!$G$5:$G$186,$A29,RII_Data!$H$5:$H$186,"Direct",RII_Data!$C$5:$C$186,"Seed"),"")</f>
        <v/>
      </c>
      <c r="E29" s="17">
        <f>IFERROR(AVERAGEIFS(RII_Data!$E$5:$E$186,RII_Data!$A$5:$A$186,E$4,RII_Data!$G$5:$G$186,$A29,RII_Data!$H$5:$H$186,"Direct",RII_Data!$C$5:$C$186,"Seed"),"")</f>
        <v>0.76417899999999994</v>
      </c>
      <c r="F29" s="17" t="str">
        <f>IFERROR(AVERAGEIFS(RII_Data!$E$5:$E$186,RII_Data!$A$5:$A$186,F$4,RII_Data!$G$5:$G$186,$A29,RII_Data!$H$5:$H$186,"Direct",RII_Data!$C$5:$C$186,"Seed"),"")</f>
        <v/>
      </c>
      <c r="G29" s="17" t="str">
        <f>IFERROR(AVERAGEIFS(RII_Data!$E$5:$E$186,RII_Data!$A$5:$A$186,G$4,RII_Data!$G$5:$G$186,$A29,RII_Data!$H$5:$H$186,"Direct",RII_Data!$C$5:$C$186,"Seed"),"")</f>
        <v/>
      </c>
      <c r="H29" s="12">
        <f t="shared" si="0"/>
        <v>1</v>
      </c>
      <c r="I29" s="18">
        <f t="shared" si="1"/>
        <v>0.76417899999999994</v>
      </c>
      <c r="J29" s="12">
        <f t="shared" si="2"/>
        <v>8</v>
      </c>
      <c r="K29" s="15">
        <f t="shared" si="3"/>
        <v>4</v>
      </c>
      <c r="L29" s="12" t="str">
        <f t="shared" si="4"/>
        <v>p4 × i4</v>
      </c>
      <c r="M29" s="12" t="str">
        <f t="shared" si="5"/>
        <v>Extreme</v>
      </c>
    </row>
    <row r="30" spans="1:13" x14ac:dyDescent="0.35">
      <c r="A30" s="15" t="s">
        <v>280</v>
      </c>
      <c r="B30" s="16" t="s">
        <v>452</v>
      </c>
      <c r="C30" s="17" t="str">
        <f>IFERROR(AVERAGEIFS(RII_Data!$E$5:$E$186,RII_Data!$A$5:$A$186,C$4,RII_Data!$G$5:$G$186,$A30,RII_Data!$H$5:$H$186,"Direct",RII_Data!$C$5:$C$186,"Seed"),"")</f>
        <v/>
      </c>
      <c r="D30" s="17" t="str">
        <f>IFERROR(AVERAGEIFS(RII_Data!$E$5:$E$186,RII_Data!$A$5:$A$186,D$4,RII_Data!$G$5:$G$186,$A30,RII_Data!$H$5:$H$186,"Direct",RII_Data!$C$5:$C$186,"Seed"),"")</f>
        <v/>
      </c>
      <c r="E30" s="17" t="str">
        <f>IFERROR(AVERAGEIFS(RII_Data!$E$5:$E$186,RII_Data!$A$5:$A$186,E$4,RII_Data!$G$5:$G$186,$A30,RII_Data!$H$5:$H$186,"Direct",RII_Data!$C$5:$C$186,"Seed"),"")</f>
        <v/>
      </c>
      <c r="F30" s="17" t="str">
        <f>IFERROR(AVERAGEIFS(RII_Data!$E$5:$E$186,RII_Data!$A$5:$A$186,F$4,RII_Data!$G$5:$G$186,$A30,RII_Data!$H$5:$H$186,"Direct",RII_Data!$C$5:$C$186,"Seed"),"")</f>
        <v/>
      </c>
      <c r="G30" s="17" t="str">
        <f>IFERROR(AVERAGEIFS(RII_Data!$E$5:$E$186,RII_Data!$A$5:$A$186,G$4,RII_Data!$G$5:$G$186,$A30,RII_Data!$H$5:$H$186,"Direct",RII_Data!$C$5:$C$186,"Seed"),"")</f>
        <v/>
      </c>
      <c r="H30" s="12">
        <f t="shared" si="0"/>
        <v>0</v>
      </c>
      <c r="I30" s="18" t="str">
        <f t="shared" si="1"/>
        <v/>
      </c>
      <c r="J30" s="12" t="str">
        <f t="shared" si="2"/>
        <v/>
      </c>
      <c r="K30" s="15" t="str">
        <f t="shared" si="3"/>
        <v/>
      </c>
      <c r="L30" s="12" t="str">
        <f t="shared" si="4"/>
        <v>not seeded</v>
      </c>
      <c r="M30" s="12" t="str">
        <f t="shared" si="5"/>
        <v/>
      </c>
    </row>
    <row r="31" spans="1:13" x14ac:dyDescent="0.35">
      <c r="A31" s="15" t="s">
        <v>272</v>
      </c>
      <c r="B31" s="16" t="s">
        <v>453</v>
      </c>
      <c r="C31" s="17" t="str">
        <f>IFERROR(AVERAGEIFS(RII_Data!$E$5:$E$186,RII_Data!$A$5:$A$186,C$4,RII_Data!$G$5:$G$186,$A31,RII_Data!$H$5:$H$186,"Direct",RII_Data!$C$5:$C$186,"Seed"),"")</f>
        <v/>
      </c>
      <c r="D31" s="17" t="str">
        <f>IFERROR(AVERAGEIFS(RII_Data!$E$5:$E$186,RII_Data!$A$5:$A$186,D$4,RII_Data!$G$5:$G$186,$A31,RII_Data!$H$5:$H$186,"Direct",RII_Data!$C$5:$C$186,"Seed"),"")</f>
        <v/>
      </c>
      <c r="E31" s="17">
        <f>IFERROR(AVERAGEIFS(RII_Data!$E$5:$E$186,RII_Data!$A$5:$A$186,E$4,RII_Data!$G$5:$G$186,$A31,RII_Data!$H$5:$H$186,"Direct",RII_Data!$C$5:$C$186,"Seed"),"")</f>
        <v>0.71840799999999994</v>
      </c>
      <c r="F31" s="17" t="str">
        <f>IFERROR(AVERAGEIFS(RII_Data!$E$5:$E$186,RII_Data!$A$5:$A$186,F$4,RII_Data!$G$5:$G$186,$A31,RII_Data!$H$5:$H$186,"Direct",RII_Data!$C$5:$C$186,"Seed"),"")</f>
        <v/>
      </c>
      <c r="G31" s="17" t="str">
        <f>IFERROR(AVERAGEIFS(RII_Data!$E$5:$E$186,RII_Data!$A$5:$A$186,G$4,RII_Data!$G$5:$G$186,$A31,RII_Data!$H$5:$H$186,"Direct",RII_Data!$C$5:$C$186,"Seed"),"")</f>
        <v/>
      </c>
      <c r="H31" s="12">
        <f t="shared" si="0"/>
        <v>1</v>
      </c>
      <c r="I31" s="18">
        <f t="shared" si="1"/>
        <v>0.71840799999999994</v>
      </c>
      <c r="J31" s="12">
        <f t="shared" si="2"/>
        <v>19</v>
      </c>
      <c r="K31" s="15">
        <f t="shared" si="3"/>
        <v>2</v>
      </c>
      <c r="L31" s="12" t="str">
        <f t="shared" si="4"/>
        <v>p2 × i2</v>
      </c>
      <c r="M31" s="12" t="str">
        <f t="shared" si="5"/>
        <v>Low</v>
      </c>
    </row>
    <row r="32" spans="1:13" x14ac:dyDescent="0.35">
      <c r="A32" s="15" t="s">
        <v>265</v>
      </c>
      <c r="B32" s="16" t="s">
        <v>454</v>
      </c>
      <c r="C32" s="17" t="str">
        <f>IFERROR(AVERAGEIFS(RII_Data!$E$5:$E$186,RII_Data!$A$5:$A$186,C$4,RII_Data!$G$5:$G$186,$A32,RII_Data!$H$5:$H$186,"Direct",RII_Data!$C$5:$C$186,"Seed"),"")</f>
        <v/>
      </c>
      <c r="D32" s="17" t="str">
        <f>IFERROR(AVERAGEIFS(RII_Data!$E$5:$E$186,RII_Data!$A$5:$A$186,D$4,RII_Data!$G$5:$G$186,$A32,RII_Data!$H$5:$H$186,"Direct",RII_Data!$C$5:$C$186,"Seed"),"")</f>
        <v/>
      </c>
      <c r="E32" s="17" t="str">
        <f>IFERROR(AVERAGEIFS(RII_Data!$E$5:$E$186,RII_Data!$A$5:$A$186,E$4,RII_Data!$G$5:$G$186,$A32,RII_Data!$H$5:$H$186,"Direct",RII_Data!$C$5:$C$186,"Seed"),"")</f>
        <v/>
      </c>
      <c r="F32" s="17" t="str">
        <f>IFERROR(AVERAGEIFS(RII_Data!$E$5:$E$186,RII_Data!$A$5:$A$186,F$4,RII_Data!$G$5:$G$186,$A32,RII_Data!$H$5:$H$186,"Direct",RII_Data!$C$5:$C$186,"Seed"),"")</f>
        <v/>
      </c>
      <c r="G32" s="17" t="str">
        <f>IFERROR(AVERAGEIFS(RII_Data!$E$5:$E$186,RII_Data!$A$5:$A$186,G$4,RII_Data!$G$5:$G$186,$A32,RII_Data!$H$5:$H$186,"Direct",RII_Data!$C$5:$C$186,"Seed"),"")</f>
        <v/>
      </c>
      <c r="H32" s="12">
        <f t="shared" si="0"/>
        <v>0</v>
      </c>
      <c r="I32" s="18" t="str">
        <f t="shared" si="1"/>
        <v/>
      </c>
      <c r="J32" s="12" t="str">
        <f t="shared" si="2"/>
        <v/>
      </c>
      <c r="K32" s="15" t="str">
        <f t="shared" si="3"/>
        <v/>
      </c>
      <c r="L32" s="12" t="str">
        <f t="shared" si="4"/>
        <v>not seeded</v>
      </c>
      <c r="M32" s="12" t="str">
        <f t="shared" si="5"/>
        <v/>
      </c>
    </row>
    <row r="33" spans="1:13" x14ac:dyDescent="0.35">
      <c r="A33" s="15" t="s">
        <v>374</v>
      </c>
      <c r="B33" s="16" t="s">
        <v>455</v>
      </c>
      <c r="C33" s="17" t="str">
        <f>IFERROR(AVERAGEIFS(RII_Data!$E$5:$E$186,RII_Data!$A$5:$A$186,C$4,RII_Data!$G$5:$G$186,$A33,RII_Data!$H$5:$H$186,"Direct",RII_Data!$C$5:$C$186,"Seed"),"")</f>
        <v/>
      </c>
      <c r="D33" s="17" t="str">
        <f>IFERROR(AVERAGEIFS(RII_Data!$E$5:$E$186,RII_Data!$A$5:$A$186,D$4,RII_Data!$G$5:$G$186,$A33,RII_Data!$H$5:$H$186,"Direct",RII_Data!$C$5:$C$186,"Seed"),"")</f>
        <v/>
      </c>
      <c r="E33" s="17" t="str">
        <f>IFERROR(AVERAGEIFS(RII_Data!$E$5:$E$186,RII_Data!$A$5:$A$186,E$4,RII_Data!$G$5:$G$186,$A33,RII_Data!$H$5:$H$186,"Direct",RII_Data!$C$5:$C$186,"Seed"),"")</f>
        <v/>
      </c>
      <c r="F33" s="17" t="str">
        <f>IFERROR(AVERAGEIFS(RII_Data!$E$5:$E$186,RII_Data!$A$5:$A$186,F$4,RII_Data!$G$5:$G$186,$A33,RII_Data!$H$5:$H$186,"Direct",RII_Data!$C$5:$C$186,"Seed"),"")</f>
        <v/>
      </c>
      <c r="G33" s="17" t="str">
        <f>IFERROR(AVERAGEIFS(RII_Data!$E$5:$E$186,RII_Data!$A$5:$A$186,G$4,RII_Data!$G$5:$G$186,$A33,RII_Data!$H$5:$H$186,"Direct",RII_Data!$C$5:$C$186,"Seed"),"")</f>
        <v/>
      </c>
      <c r="H33" s="12">
        <f t="shared" si="0"/>
        <v>0</v>
      </c>
      <c r="I33" s="18" t="str">
        <f t="shared" si="1"/>
        <v/>
      </c>
      <c r="J33" s="12" t="str">
        <f t="shared" si="2"/>
        <v/>
      </c>
      <c r="K33" s="15" t="str">
        <f t="shared" si="3"/>
        <v/>
      </c>
      <c r="L33" s="12" t="str">
        <f t="shared" si="4"/>
        <v>not seeded</v>
      </c>
      <c r="M33" s="12" t="str">
        <f t="shared" si="5"/>
        <v/>
      </c>
    </row>
    <row r="34" spans="1:13" x14ac:dyDescent="0.35">
      <c r="A34" s="15" t="s">
        <v>239</v>
      </c>
      <c r="B34" s="16" t="s">
        <v>456</v>
      </c>
      <c r="C34" s="17" t="str">
        <f>IFERROR(AVERAGEIFS(RII_Data!$E$5:$E$186,RII_Data!$A$5:$A$186,C$4,RII_Data!$G$5:$G$186,$A34,RII_Data!$H$5:$H$186,"Direct",RII_Data!$C$5:$C$186,"Seed"),"")</f>
        <v/>
      </c>
      <c r="D34" s="17">
        <f>IFERROR(AVERAGEIFS(RII_Data!$E$5:$E$186,RII_Data!$A$5:$A$186,D$4,RII_Data!$G$5:$G$186,$A34,RII_Data!$H$5:$H$186,"Direct",RII_Data!$C$5:$C$186,"Seed"),"")</f>
        <v>0.751</v>
      </c>
      <c r="E34" s="17">
        <f>IFERROR(AVERAGEIFS(RII_Data!$E$5:$E$186,RII_Data!$A$5:$A$186,E$4,RII_Data!$G$5:$G$186,$A34,RII_Data!$H$5:$H$186,"Direct",RII_Data!$C$5:$C$186,"Seed"),"")</f>
        <v>0.77114400000000005</v>
      </c>
      <c r="F34" s="17" t="str">
        <f>IFERROR(AVERAGEIFS(RII_Data!$E$5:$E$186,RII_Data!$A$5:$A$186,F$4,RII_Data!$G$5:$G$186,$A34,RII_Data!$H$5:$H$186,"Direct",RII_Data!$C$5:$C$186,"Seed"),"")</f>
        <v/>
      </c>
      <c r="G34" s="17" t="str">
        <f>IFERROR(AVERAGEIFS(RII_Data!$E$5:$E$186,RII_Data!$A$5:$A$186,G$4,RII_Data!$G$5:$G$186,$A34,RII_Data!$H$5:$H$186,"Direct",RII_Data!$C$5:$C$186,"Seed"),"")</f>
        <v/>
      </c>
      <c r="H34" s="12">
        <f t="shared" si="0"/>
        <v>2</v>
      </c>
      <c r="I34" s="18">
        <f t="shared" si="1"/>
        <v>0.76107199999999997</v>
      </c>
      <c r="J34" s="12">
        <f t="shared" si="2"/>
        <v>9</v>
      </c>
      <c r="K34" s="15">
        <f t="shared" si="3"/>
        <v>4</v>
      </c>
      <c r="L34" s="12" t="str">
        <f t="shared" si="4"/>
        <v>p4 × i4</v>
      </c>
      <c r="M34" s="12" t="str">
        <f t="shared" si="5"/>
        <v>Extreme</v>
      </c>
    </row>
    <row r="35" spans="1:13" x14ac:dyDescent="0.35">
      <c r="A35" s="15" t="s">
        <v>241</v>
      </c>
      <c r="B35" s="16" t="s">
        <v>457</v>
      </c>
      <c r="C35" s="17" t="str">
        <f>IFERROR(AVERAGEIFS(RII_Data!$E$5:$E$186,RII_Data!$A$5:$A$186,C$4,RII_Data!$G$5:$G$186,$A35,RII_Data!$H$5:$H$186,"Direct",RII_Data!$C$5:$C$186,"Seed"),"")</f>
        <v/>
      </c>
      <c r="D35" s="17">
        <f>IFERROR(AVERAGEIFS(RII_Data!$E$5:$E$186,RII_Data!$A$5:$A$186,D$4,RII_Data!$G$5:$G$186,$A35,RII_Data!$H$5:$H$186,"Direct",RII_Data!$C$5:$C$186,"Seed"),"")</f>
        <v>0.7</v>
      </c>
      <c r="E35" s="17" t="str">
        <f>IFERROR(AVERAGEIFS(RII_Data!$E$5:$E$186,RII_Data!$A$5:$A$186,E$4,RII_Data!$G$5:$G$186,$A35,RII_Data!$H$5:$H$186,"Direct",RII_Data!$C$5:$C$186,"Seed"),"")</f>
        <v/>
      </c>
      <c r="F35" s="17" t="str">
        <f>IFERROR(AVERAGEIFS(RII_Data!$E$5:$E$186,RII_Data!$A$5:$A$186,F$4,RII_Data!$G$5:$G$186,$A35,RII_Data!$H$5:$H$186,"Direct",RII_Data!$C$5:$C$186,"Seed"),"")</f>
        <v/>
      </c>
      <c r="G35" s="17" t="str">
        <f>IFERROR(AVERAGEIFS(RII_Data!$E$5:$E$186,RII_Data!$A$5:$A$186,G$4,RII_Data!$G$5:$G$186,$A35,RII_Data!$H$5:$H$186,"Direct",RII_Data!$C$5:$C$186,"Seed"),"")</f>
        <v/>
      </c>
      <c r="H35" s="12">
        <f t="shared" si="0"/>
        <v>1</v>
      </c>
      <c r="I35" s="18">
        <f t="shared" si="1"/>
        <v>0.7</v>
      </c>
      <c r="J35" s="12">
        <f t="shared" si="2"/>
        <v>23</v>
      </c>
      <c r="K35" s="15">
        <f t="shared" si="3"/>
        <v>2</v>
      </c>
      <c r="L35" s="12" t="str">
        <f t="shared" si="4"/>
        <v>p2 × i2</v>
      </c>
      <c r="M35" s="12" t="str">
        <f t="shared" si="5"/>
        <v>Low</v>
      </c>
    </row>
    <row r="36" spans="1:13" x14ac:dyDescent="0.35">
      <c r="A36" s="15" t="s">
        <v>243</v>
      </c>
      <c r="B36" s="16" t="s">
        <v>458</v>
      </c>
      <c r="C36" s="17" t="str">
        <f>IFERROR(AVERAGEIFS(RII_Data!$E$5:$E$186,RII_Data!$A$5:$A$186,C$4,RII_Data!$G$5:$G$186,$A36,RII_Data!$H$5:$H$186,"Direct",RII_Data!$C$5:$C$186,"Seed"),"")</f>
        <v/>
      </c>
      <c r="D36" s="17">
        <f>IFERROR(AVERAGEIFS(RII_Data!$E$5:$E$186,RII_Data!$A$5:$A$186,D$4,RII_Data!$G$5:$G$186,$A36,RII_Data!$H$5:$H$186,"Direct",RII_Data!$C$5:$C$186,"Seed"),"")</f>
        <v>0.55000000000000004</v>
      </c>
      <c r="E36" s="17" t="str">
        <f>IFERROR(AVERAGEIFS(RII_Data!$E$5:$E$186,RII_Data!$A$5:$A$186,E$4,RII_Data!$G$5:$G$186,$A36,RII_Data!$H$5:$H$186,"Direct",RII_Data!$C$5:$C$186,"Seed"),"")</f>
        <v/>
      </c>
      <c r="F36" s="17">
        <f>IFERROR(AVERAGEIFS(RII_Data!$E$5:$E$186,RII_Data!$A$5:$A$186,F$4,RII_Data!$G$5:$G$186,$A36,RII_Data!$H$5:$H$186,"Direct",RII_Data!$C$5:$C$186,"Seed"),"")</f>
        <v>0.78900000000000003</v>
      </c>
      <c r="G36" s="17" t="str">
        <f>IFERROR(AVERAGEIFS(RII_Data!$E$5:$E$186,RII_Data!$A$5:$A$186,G$4,RII_Data!$G$5:$G$186,$A36,RII_Data!$H$5:$H$186,"Direct",RII_Data!$C$5:$C$186,"Seed"),"")</f>
        <v/>
      </c>
      <c r="H36" s="12">
        <f t="shared" si="0"/>
        <v>2</v>
      </c>
      <c r="I36" s="18">
        <f t="shared" si="1"/>
        <v>0.66949999999999998</v>
      </c>
      <c r="J36" s="12">
        <f t="shared" si="2"/>
        <v>26</v>
      </c>
      <c r="K36" s="15">
        <f t="shared" si="3"/>
        <v>1</v>
      </c>
      <c r="L36" s="12" t="str">
        <f t="shared" si="4"/>
        <v>p1 × i1</v>
      </c>
      <c r="M36" s="12" t="str">
        <f t="shared" si="5"/>
        <v>Low</v>
      </c>
    </row>
    <row r="37" spans="1:13" x14ac:dyDescent="0.35">
      <c r="A37" s="15" t="s">
        <v>249</v>
      </c>
      <c r="B37" s="16" t="s">
        <v>459</v>
      </c>
      <c r="C37" s="17" t="str">
        <f>IFERROR(AVERAGEIFS(RII_Data!$E$5:$E$186,RII_Data!$A$5:$A$186,C$4,RII_Data!$G$5:$G$186,$A37,RII_Data!$H$5:$H$186,"Direct",RII_Data!$C$5:$C$186,"Seed"),"")</f>
        <v/>
      </c>
      <c r="D37" s="17">
        <f>IFERROR(AVERAGEIFS(RII_Data!$E$5:$E$186,RII_Data!$A$5:$A$186,D$4,RII_Data!$G$5:$G$186,$A37,RII_Data!$H$5:$H$186,"Direct",RII_Data!$C$5:$C$186,"Seed"),"")</f>
        <v>0.65</v>
      </c>
      <c r="E37" s="17" t="str">
        <f>IFERROR(AVERAGEIFS(RII_Data!$E$5:$E$186,RII_Data!$A$5:$A$186,E$4,RII_Data!$G$5:$G$186,$A37,RII_Data!$H$5:$H$186,"Direct",RII_Data!$C$5:$C$186,"Seed"),"")</f>
        <v/>
      </c>
      <c r="F37" s="17" t="str">
        <f>IFERROR(AVERAGEIFS(RII_Data!$E$5:$E$186,RII_Data!$A$5:$A$186,F$4,RII_Data!$G$5:$G$186,$A37,RII_Data!$H$5:$H$186,"Direct",RII_Data!$C$5:$C$186,"Seed"),"")</f>
        <v/>
      </c>
      <c r="G37" s="17" t="str">
        <f>IFERROR(AVERAGEIFS(RII_Data!$E$5:$E$186,RII_Data!$A$5:$A$186,G$4,RII_Data!$G$5:$G$186,$A37,RII_Data!$H$5:$H$186,"Direct",RII_Data!$C$5:$C$186,"Seed"),"")</f>
        <v/>
      </c>
      <c r="H37" s="12">
        <f t="shared" si="0"/>
        <v>1</v>
      </c>
      <c r="I37" s="18">
        <f t="shared" si="1"/>
        <v>0.65</v>
      </c>
      <c r="J37" s="12">
        <f t="shared" si="2"/>
        <v>28</v>
      </c>
      <c r="K37" s="15">
        <f t="shared" si="3"/>
        <v>1</v>
      </c>
      <c r="L37" s="12" t="str">
        <f t="shared" si="4"/>
        <v>p1 × i1</v>
      </c>
      <c r="M37" s="12" t="str">
        <f t="shared" si="5"/>
        <v>Low</v>
      </c>
    </row>
    <row r="38" spans="1:13" x14ac:dyDescent="0.35">
      <c r="A38" s="15" t="s">
        <v>224</v>
      </c>
      <c r="B38" s="16" t="s">
        <v>460</v>
      </c>
      <c r="C38" s="17">
        <f>IFERROR(AVERAGEIFS(RII_Data!$E$5:$E$186,RII_Data!$A$5:$A$186,C$4,RII_Data!$G$5:$G$186,$A38,RII_Data!$H$5:$H$186,"Direct",RII_Data!$C$5:$C$186,"Seed"),"")</f>
        <v>0.7</v>
      </c>
      <c r="D38" s="17" t="str">
        <f>IFERROR(AVERAGEIFS(RII_Data!$E$5:$E$186,RII_Data!$A$5:$A$186,D$4,RII_Data!$G$5:$G$186,$A38,RII_Data!$H$5:$H$186,"Direct",RII_Data!$C$5:$C$186,"Seed"),"")</f>
        <v/>
      </c>
      <c r="E38" s="17" t="str">
        <f>IFERROR(AVERAGEIFS(RII_Data!$E$5:$E$186,RII_Data!$A$5:$A$186,E$4,RII_Data!$G$5:$G$186,$A38,RII_Data!$H$5:$H$186,"Direct",RII_Data!$C$5:$C$186,"Seed"),"")</f>
        <v/>
      </c>
      <c r="F38" s="17" t="str">
        <f>IFERROR(AVERAGEIFS(RII_Data!$E$5:$E$186,RII_Data!$A$5:$A$186,F$4,RII_Data!$G$5:$G$186,$A38,RII_Data!$H$5:$H$186,"Direct",RII_Data!$C$5:$C$186,"Seed"),"")</f>
        <v/>
      </c>
      <c r="G38" s="17" t="str">
        <f>IFERROR(AVERAGEIFS(RII_Data!$E$5:$E$186,RII_Data!$A$5:$A$186,G$4,RII_Data!$G$5:$G$186,$A38,RII_Data!$H$5:$H$186,"Direct",RII_Data!$C$5:$C$186,"Seed"),"")</f>
        <v/>
      </c>
      <c r="H38" s="12">
        <f t="shared" si="0"/>
        <v>1</v>
      </c>
      <c r="I38" s="18">
        <f t="shared" si="1"/>
        <v>0.7</v>
      </c>
      <c r="J38" s="12">
        <f t="shared" si="2"/>
        <v>22</v>
      </c>
      <c r="K38" s="15">
        <f t="shared" si="3"/>
        <v>2</v>
      </c>
      <c r="L38" s="12" t="str">
        <f t="shared" si="4"/>
        <v>p2 × i2</v>
      </c>
      <c r="M38" s="12" t="str">
        <f t="shared" si="5"/>
        <v>Low</v>
      </c>
    </row>
    <row r="39" spans="1:13" x14ac:dyDescent="0.35">
      <c r="A39" s="15" t="s">
        <v>296</v>
      </c>
      <c r="B39" s="16" t="s">
        <v>461</v>
      </c>
      <c r="C39" s="17" t="str">
        <f>IFERROR(AVERAGEIFS(RII_Data!$E$5:$E$186,RII_Data!$A$5:$A$186,C$4,RII_Data!$G$5:$G$186,$A39,RII_Data!$H$5:$H$186,"Direct",RII_Data!$C$5:$C$186,"Seed"),"")</f>
        <v/>
      </c>
      <c r="D39" s="17" t="str">
        <f>IFERROR(AVERAGEIFS(RII_Data!$E$5:$E$186,RII_Data!$A$5:$A$186,D$4,RII_Data!$G$5:$G$186,$A39,RII_Data!$H$5:$H$186,"Direct",RII_Data!$C$5:$C$186,"Seed"),"")</f>
        <v/>
      </c>
      <c r="E39" s="17">
        <f>IFERROR(AVERAGEIFS(RII_Data!$E$5:$E$186,RII_Data!$A$5:$A$186,E$4,RII_Data!$G$5:$G$186,$A39,RII_Data!$H$5:$H$186,"Direct",RII_Data!$C$5:$C$186,"Seed"),"")</f>
        <v>0.66119400000000006</v>
      </c>
      <c r="F39" s="17" t="str">
        <f>IFERROR(AVERAGEIFS(RII_Data!$E$5:$E$186,RII_Data!$A$5:$A$186,F$4,RII_Data!$G$5:$G$186,$A39,RII_Data!$H$5:$H$186,"Direct",RII_Data!$C$5:$C$186,"Seed"),"")</f>
        <v/>
      </c>
      <c r="G39" s="17" t="str">
        <f>IFERROR(AVERAGEIFS(RII_Data!$E$5:$E$186,RII_Data!$A$5:$A$186,G$4,RII_Data!$G$5:$G$186,$A39,RII_Data!$H$5:$H$186,"Direct",RII_Data!$C$5:$C$186,"Seed"),"")</f>
        <v/>
      </c>
      <c r="H39" s="12">
        <f t="shared" si="0"/>
        <v>1</v>
      </c>
      <c r="I39" s="18">
        <f t="shared" si="1"/>
        <v>0.66119400000000006</v>
      </c>
      <c r="J39" s="12">
        <f t="shared" si="2"/>
        <v>27</v>
      </c>
      <c r="K39" s="15">
        <f t="shared" si="3"/>
        <v>1</v>
      </c>
      <c r="L39" s="12" t="str">
        <f t="shared" si="4"/>
        <v>p1 × i1</v>
      </c>
      <c r="M39" s="12" t="str">
        <f t="shared" si="5"/>
        <v>Low</v>
      </c>
    </row>
    <row r="40" spans="1:13" x14ac:dyDescent="0.35">
      <c r="A40" s="15" t="s">
        <v>334</v>
      </c>
      <c r="B40" s="16" t="s">
        <v>462</v>
      </c>
      <c r="C40" s="17" t="str">
        <f>IFERROR(AVERAGEIFS(RII_Data!$E$5:$E$186,RII_Data!$A$5:$A$186,C$4,RII_Data!$G$5:$G$186,$A40,RII_Data!$H$5:$H$186,"Direct",RII_Data!$C$5:$C$186,"Seed"),"")</f>
        <v/>
      </c>
      <c r="D40" s="17" t="str">
        <f>IFERROR(AVERAGEIFS(RII_Data!$E$5:$E$186,RII_Data!$A$5:$A$186,D$4,RII_Data!$G$5:$G$186,$A40,RII_Data!$H$5:$H$186,"Direct",RII_Data!$C$5:$C$186,"Seed"),"")</f>
        <v/>
      </c>
      <c r="E40" s="17" t="str">
        <f>IFERROR(AVERAGEIFS(RII_Data!$E$5:$E$186,RII_Data!$A$5:$A$186,E$4,RII_Data!$G$5:$G$186,$A40,RII_Data!$H$5:$H$186,"Direct",RII_Data!$C$5:$C$186,"Seed"),"")</f>
        <v/>
      </c>
      <c r="F40" s="17" t="str">
        <f>IFERROR(AVERAGEIFS(RII_Data!$E$5:$E$186,RII_Data!$A$5:$A$186,F$4,RII_Data!$G$5:$G$186,$A40,RII_Data!$H$5:$H$186,"Direct",RII_Data!$C$5:$C$186,"Seed"),"")</f>
        <v/>
      </c>
      <c r="G40" s="17" t="str">
        <f>IFERROR(AVERAGEIFS(RII_Data!$E$5:$E$186,RII_Data!$A$5:$A$186,G$4,RII_Data!$G$5:$G$186,$A40,RII_Data!$H$5:$H$186,"Direct",RII_Data!$C$5:$C$186,"Seed"),"")</f>
        <v/>
      </c>
      <c r="H40" s="12">
        <f t="shared" si="0"/>
        <v>0</v>
      </c>
      <c r="I40" s="18" t="str">
        <f t="shared" si="1"/>
        <v/>
      </c>
      <c r="J40" s="12" t="str">
        <f t="shared" si="2"/>
        <v/>
      </c>
      <c r="K40" s="15" t="str">
        <f t="shared" si="3"/>
        <v/>
      </c>
      <c r="L40" s="12" t="str">
        <f t="shared" si="4"/>
        <v>not seeded</v>
      </c>
      <c r="M40" s="12" t="str">
        <f t="shared" si="5"/>
        <v/>
      </c>
    </row>
    <row r="41" spans="1:13" x14ac:dyDescent="0.35">
      <c r="A41" s="15" t="s">
        <v>303</v>
      </c>
      <c r="B41" s="16" t="s">
        <v>463</v>
      </c>
      <c r="C41" s="17" t="str">
        <f>IFERROR(AVERAGEIFS(RII_Data!$E$5:$E$186,RII_Data!$A$5:$A$186,C$4,RII_Data!$G$5:$G$186,$A41,RII_Data!$H$5:$H$186,"Direct",RII_Data!$C$5:$C$186,"Seed"),"")</f>
        <v/>
      </c>
      <c r="D41" s="17" t="str">
        <f>IFERROR(AVERAGEIFS(RII_Data!$E$5:$E$186,RII_Data!$A$5:$A$186,D$4,RII_Data!$G$5:$G$186,$A41,RII_Data!$H$5:$H$186,"Direct",RII_Data!$C$5:$C$186,"Seed"),"")</f>
        <v/>
      </c>
      <c r="E41" s="17">
        <f>IFERROR(AVERAGEIFS(RII_Data!$E$5:$E$186,RII_Data!$A$5:$A$186,E$4,RII_Data!$G$5:$G$186,$A41,RII_Data!$H$5:$H$186,"Direct",RII_Data!$C$5:$C$186,"Seed"),"")</f>
        <v>0.59402999999999995</v>
      </c>
      <c r="F41" s="17" t="str">
        <f>IFERROR(AVERAGEIFS(RII_Data!$E$5:$E$186,RII_Data!$A$5:$A$186,F$4,RII_Data!$G$5:$G$186,$A41,RII_Data!$H$5:$H$186,"Direct",RII_Data!$C$5:$C$186,"Seed"),"")</f>
        <v/>
      </c>
      <c r="G41" s="17" t="str">
        <f>IFERROR(AVERAGEIFS(RII_Data!$E$5:$E$186,RII_Data!$A$5:$A$186,G$4,RII_Data!$G$5:$G$186,$A41,RII_Data!$H$5:$H$186,"Direct",RII_Data!$C$5:$C$186,"Seed"),"")</f>
        <v/>
      </c>
      <c r="H41" s="12">
        <f t="shared" si="0"/>
        <v>1</v>
      </c>
      <c r="I41" s="18">
        <f t="shared" si="1"/>
        <v>0.59402999999999995</v>
      </c>
      <c r="J41" s="12">
        <f t="shared" si="2"/>
        <v>30</v>
      </c>
      <c r="K41" s="15">
        <f t="shared" si="3"/>
        <v>1</v>
      </c>
      <c r="L41" s="12" t="str">
        <f t="shared" si="4"/>
        <v>p1 × i1</v>
      </c>
      <c r="M41" s="12" t="str">
        <f t="shared" si="5"/>
        <v>Low</v>
      </c>
    </row>
    <row r="42" spans="1:13" x14ac:dyDescent="0.35">
      <c r="A42" s="15" t="s">
        <v>411</v>
      </c>
      <c r="B42" s="16" t="s">
        <v>464</v>
      </c>
      <c r="C42" s="17" t="str">
        <f>IFERROR(AVERAGEIFS(RII_Data!$E$5:$E$186,RII_Data!$A$5:$A$186,C$4,RII_Data!$G$5:$G$186,$A42,RII_Data!$H$5:$H$186,"Direct",RII_Data!$C$5:$C$186,"Seed"),"")</f>
        <v/>
      </c>
      <c r="D42" s="17" t="str">
        <f>IFERROR(AVERAGEIFS(RII_Data!$E$5:$E$186,RII_Data!$A$5:$A$186,D$4,RII_Data!$G$5:$G$186,$A42,RII_Data!$H$5:$H$186,"Direct",RII_Data!$C$5:$C$186,"Seed"),"")</f>
        <v/>
      </c>
      <c r="E42" s="17" t="str">
        <f>IFERROR(AVERAGEIFS(RII_Data!$E$5:$E$186,RII_Data!$A$5:$A$186,E$4,RII_Data!$G$5:$G$186,$A42,RII_Data!$H$5:$H$186,"Direct",RII_Data!$C$5:$C$186,"Seed"),"")</f>
        <v/>
      </c>
      <c r="F42" s="17" t="str">
        <f>IFERROR(AVERAGEIFS(RII_Data!$E$5:$E$186,RII_Data!$A$5:$A$186,F$4,RII_Data!$G$5:$G$186,$A42,RII_Data!$H$5:$H$186,"Direct",RII_Data!$C$5:$C$186,"Seed"),"")</f>
        <v/>
      </c>
      <c r="G42" s="17" t="str">
        <f>IFERROR(AVERAGEIFS(RII_Data!$E$5:$E$186,RII_Data!$A$5:$A$186,G$4,RII_Data!$G$5:$G$186,$A42,RII_Data!$H$5:$H$186,"Direct",RII_Data!$C$5:$C$186,"Seed"),"")</f>
        <v/>
      </c>
      <c r="H42" s="12">
        <f t="shared" si="0"/>
        <v>0</v>
      </c>
      <c r="I42" s="18" t="str">
        <f t="shared" si="1"/>
        <v/>
      </c>
      <c r="J42" s="12" t="str">
        <f t="shared" si="2"/>
        <v/>
      </c>
      <c r="K42" s="15" t="str">
        <f t="shared" si="3"/>
        <v/>
      </c>
      <c r="L42" s="12" t="str">
        <f t="shared" si="4"/>
        <v>not seeded</v>
      </c>
      <c r="M42" s="12" t="str">
        <f t="shared" si="5"/>
        <v/>
      </c>
    </row>
    <row r="44" spans="1:13" x14ac:dyDescent="0.35">
      <c r="B44" s="15" t="s">
        <v>465</v>
      </c>
      <c r="C44" s="19">
        <f>COUNT(I5:I42)</f>
        <v>30</v>
      </c>
    </row>
    <row r="45" spans="1:13" x14ac:dyDescent="0.35">
      <c r="B45" s="15" t="s">
        <v>466</v>
      </c>
      <c r="C45" s="20">
        <f>MAX(I5:I42)</f>
        <v>0.78893333333333338</v>
      </c>
    </row>
    <row r="46" spans="1:13" x14ac:dyDescent="0.35">
      <c r="B46" s="15" t="s">
        <v>467</v>
      </c>
      <c r="C46" s="20">
        <f>MIN(I5:I42)</f>
        <v>0.59402999999999995</v>
      </c>
    </row>
    <row r="47" spans="1:13" x14ac:dyDescent="0.35">
      <c r="B47" s="15" t="s">
        <v>468</v>
      </c>
      <c r="C47" s="20">
        <f>C45-C46</f>
        <v>0.19490333333333343</v>
      </c>
    </row>
    <row r="48" spans="1:13" x14ac:dyDescent="0.35">
      <c r="B48" s="15" t="s">
        <v>469</v>
      </c>
      <c r="C48" s="20">
        <f>C45-SMALL(I5:I42,2)</f>
        <v>0.17893333333333339</v>
      </c>
    </row>
    <row r="51" spans="1:1" x14ac:dyDescent="0.35">
      <c r="A51" s="21" t="s">
        <v>470</v>
      </c>
    </row>
    <row r="52" spans="1:1" x14ac:dyDescent="0.35">
      <c r="A52" s="22" t="s">
        <v>471</v>
      </c>
    </row>
    <row r="53" spans="1:1" x14ac:dyDescent="0.35">
      <c r="A53" s="22" t="s">
        <v>472</v>
      </c>
    </row>
    <row r="54" spans="1:1" x14ac:dyDescent="0.35">
      <c r="A54" s="22" t="s">
        <v>473</v>
      </c>
    </row>
    <row r="55" spans="1:1" x14ac:dyDescent="0.35">
      <c r="A55" s="22" t="s">
        <v>474</v>
      </c>
    </row>
    <row r="56" spans="1:1" x14ac:dyDescent="0.35">
      <c r="A56" s="22" t="s">
        <v>475</v>
      </c>
    </row>
    <row r="57" spans="1:1" x14ac:dyDescent="0.35">
      <c r="A57" s="22" t="s">
        <v>476</v>
      </c>
    </row>
    <row r="58" spans="1:1" x14ac:dyDescent="0.35">
      <c r="A58" s="22" t="s">
        <v>477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0" customWidth="1"/>
    <col min="2" max="2" width="46" customWidth="1"/>
    <col min="3" max="4" width="12" customWidth="1"/>
    <col min="5" max="5" width="9" customWidth="1"/>
    <col min="6" max="6" width="12" customWidth="1"/>
    <col min="7" max="7" width="46" customWidth="1"/>
    <col min="8" max="8" width="4" customWidth="1"/>
  </cols>
  <sheetData>
    <row r="1" spans="1:8" ht="18" x14ac:dyDescent="0.4">
      <c r="A1" s="1" t="s">
        <v>478</v>
      </c>
    </row>
    <row r="2" spans="1:8" x14ac:dyDescent="0.35">
      <c r="A2" s="5" t="s">
        <v>479</v>
      </c>
    </row>
    <row r="4" spans="1:8" ht="26" x14ac:dyDescent="0.35">
      <c r="A4" s="6" t="s">
        <v>480</v>
      </c>
      <c r="B4" s="6" t="s">
        <v>481</v>
      </c>
      <c r="C4" s="6" t="s">
        <v>482</v>
      </c>
      <c r="D4" s="6" t="s">
        <v>483</v>
      </c>
      <c r="E4" s="6" t="s">
        <v>484</v>
      </c>
      <c r="F4" s="6" t="s">
        <v>485</v>
      </c>
      <c r="G4" s="6" t="s">
        <v>486</v>
      </c>
      <c r="H4" s="6"/>
    </row>
    <row r="5" spans="1:8" ht="50" x14ac:dyDescent="0.35">
      <c r="A5" s="15" t="s">
        <v>101</v>
      </c>
      <c r="B5" s="16" t="s">
        <v>487</v>
      </c>
      <c r="C5" s="23">
        <f>C33</f>
        <v>19</v>
      </c>
      <c r="D5" s="17">
        <f>C32</f>
        <v>0.28170252821587549</v>
      </c>
      <c r="E5" s="17">
        <f>C34</f>
        <v>1.2105128834303376</v>
      </c>
      <c r="F5" s="17">
        <f>C35</f>
        <v>0.24264423781558811</v>
      </c>
      <c r="G5" s="16" t="str">
        <f>IF(F5&lt;0.05,IF(D5&gt;0,"Agrees (significant at 5%)","Disagrees (significant at 5%)"),IF(D5&gt;=0.5,"Moderate agreement, not significant (small n)",IF(D5&gt;=0.2,"Weak agreement, not significant",IF(D5&lt;=-0.5,"Moderate disagreement, not significant (small n)",IF(D5&lt;=-0.2,"Weak disagreement, not significant","No clear relation")))))</f>
        <v>Weak agreement, not significant</v>
      </c>
    </row>
    <row r="6" spans="1:8" ht="25" x14ac:dyDescent="0.35">
      <c r="A6" s="15" t="s">
        <v>113</v>
      </c>
      <c r="B6" s="16" t="s">
        <v>488</v>
      </c>
      <c r="C6" s="23">
        <f>C52</f>
        <v>11</v>
      </c>
      <c r="D6" s="17">
        <f>C51</f>
        <v>0.62727272727272709</v>
      </c>
      <c r="E6" s="17">
        <f>C53</f>
        <v>2.4163058291944197</v>
      </c>
      <c r="F6" s="17">
        <f>C54</f>
        <v>3.8845253620353404E-2</v>
      </c>
      <c r="G6" s="16" t="str">
        <f>IF(F6&lt;0.05,IF(D6&gt;0,"Agrees (significant at 5%)","Disagrees (significant at 5%)"),IF(D6&gt;=0.5,"Moderate agreement, not significant (small n)",IF(D6&gt;=0.2,"Weak agreement, not significant",IF(D6&lt;=-0.5,"Moderate disagreement, not significant (small n)",IF(D6&lt;=-0.2,"Weak disagreement, not significant","No clear relation")))))</f>
        <v>Agrees (significant at 5%)</v>
      </c>
    </row>
    <row r="7" spans="1:8" ht="25" x14ac:dyDescent="0.35">
      <c r="A7" s="15" t="s">
        <v>123</v>
      </c>
      <c r="B7" s="16" t="s">
        <v>489</v>
      </c>
      <c r="C7" s="23">
        <f>C73</f>
        <v>13</v>
      </c>
      <c r="D7" s="17">
        <f>C72</f>
        <v>-0.18131868131868131</v>
      </c>
      <c r="E7" s="17">
        <f>C74</f>
        <v>-0.61150205139271585</v>
      </c>
      <c r="F7" s="17">
        <f>C75</f>
        <v>0.55329500928393349</v>
      </c>
      <c r="G7" s="16" t="str">
        <f>IF(F7&lt;0.05,IF(D7&gt;0,"Agrees (significant at 5%)","Disagrees (significant at 5%)"),IF(D7&gt;=0.5,"Moderate agreement, not significant (small n)",IF(D7&gt;=0.2,"Weak agreement, not significant",IF(D7&lt;=-0.5,"Moderate disagreement, not significant (small n)",IF(D7&lt;=-0.2,"Weak disagreement, not significant","No clear relation")))))</f>
        <v>No clear relation</v>
      </c>
    </row>
    <row r="11" spans="1:8" x14ac:dyDescent="0.35">
      <c r="A11" s="2" t="s">
        <v>490</v>
      </c>
    </row>
    <row r="12" spans="1:8" ht="39" x14ac:dyDescent="0.35">
      <c r="A12" s="6" t="s">
        <v>420</v>
      </c>
      <c r="B12" s="6" t="s">
        <v>421</v>
      </c>
      <c r="C12" s="6" t="s">
        <v>423</v>
      </c>
      <c r="D12" s="6" t="s">
        <v>491</v>
      </c>
      <c r="E12" s="6" t="s">
        <v>492</v>
      </c>
      <c r="F12" s="6" t="s">
        <v>493</v>
      </c>
      <c r="G12" s="6" t="s">
        <v>494</v>
      </c>
    </row>
    <row r="13" spans="1:8" x14ac:dyDescent="0.35">
      <c r="A13" s="15" t="s">
        <v>183</v>
      </c>
      <c r="B13" s="12" t="s">
        <v>428</v>
      </c>
      <c r="C13" s="24">
        <f>INDEX(Seed_Calculation!$I$5:$I$42,MATCH(A13,Seed_Calculation!$A$5:$A$42,0))</f>
        <v>0.78893333333333338</v>
      </c>
      <c r="D13" s="17">
        <f>AVERAGEIFS(RII_Data!$E$5:$E$186,RII_Data!$A$5:$A$186,"M10",RII_Data!$G$5:$G$186,A13,RII_Data!$H$5:$H$186,"Direct")</f>
        <v>0.77500000000000002</v>
      </c>
      <c r="E13" s="25">
        <f t="shared" ref="E13:E31" si="0">RANK(C13,$C$13:$C$31,0)+(COUNTIF($C$13:$C$31,C13)-1)/2</f>
        <v>1</v>
      </c>
      <c r="F13" s="25">
        <f t="shared" ref="F13:F31" si="1">RANK(D13,$D$13:$D$31,0)+(COUNTIF($D$13:$D$31,D13)-1)/2</f>
        <v>5</v>
      </c>
      <c r="G13" s="25">
        <f t="shared" ref="G13:G31" si="2">E13-F13</f>
        <v>-4</v>
      </c>
    </row>
    <row r="14" spans="1:8" x14ac:dyDescent="0.35">
      <c r="A14" s="15" t="s">
        <v>201</v>
      </c>
      <c r="B14" s="12" t="s">
        <v>429</v>
      </c>
      <c r="C14" s="24">
        <f>INDEX(Seed_Calculation!$I$5:$I$42,MATCH(A14,Seed_Calculation!$A$5:$A$42,0))</f>
        <v>0.75275000000000003</v>
      </c>
      <c r="D14" s="17">
        <f>AVERAGEIFS(RII_Data!$E$5:$E$186,RII_Data!$A$5:$A$186,"M10",RII_Data!$G$5:$G$186,A14,RII_Data!$H$5:$H$186,"Direct")</f>
        <v>0.69099999999999995</v>
      </c>
      <c r="E14" s="25">
        <f t="shared" si="0"/>
        <v>8</v>
      </c>
      <c r="F14" s="25">
        <f t="shared" si="1"/>
        <v>14</v>
      </c>
      <c r="G14" s="25">
        <f t="shared" si="2"/>
        <v>-6</v>
      </c>
    </row>
    <row r="15" spans="1:8" x14ac:dyDescent="0.35">
      <c r="A15" s="15" t="s">
        <v>216</v>
      </c>
      <c r="B15" s="12" t="s">
        <v>430</v>
      </c>
      <c r="C15" s="24">
        <f>INDEX(Seed_Calculation!$I$5:$I$42,MATCH(A15,Seed_Calculation!$A$5:$A$42,0))</f>
        <v>0.76616666666666655</v>
      </c>
      <c r="D15" s="17">
        <f>AVERAGEIFS(RII_Data!$E$5:$E$186,RII_Data!$A$5:$A$186,"M10",RII_Data!$G$5:$G$186,A15,RII_Data!$H$5:$H$186,"Direct")</f>
        <v>0.66</v>
      </c>
      <c r="E15" s="25">
        <f t="shared" si="0"/>
        <v>5</v>
      </c>
      <c r="F15" s="25">
        <f t="shared" si="1"/>
        <v>18</v>
      </c>
      <c r="G15" s="25">
        <f t="shared" si="2"/>
        <v>-13</v>
      </c>
    </row>
    <row r="16" spans="1:8" x14ac:dyDescent="0.35">
      <c r="A16" s="15" t="s">
        <v>190</v>
      </c>
      <c r="B16" s="12" t="s">
        <v>431</v>
      </c>
      <c r="C16" s="24">
        <f>INDEX(Seed_Calculation!$I$5:$I$42,MATCH(A16,Seed_Calculation!$A$5:$A$42,0))</f>
        <v>0.7831111111111112</v>
      </c>
      <c r="D16" s="17">
        <f>AVERAGEIFS(RII_Data!$E$5:$E$186,RII_Data!$A$5:$A$186,"M10",RII_Data!$G$5:$G$186,A16,RII_Data!$H$5:$H$186,"Direct")</f>
        <v>0.80100000000000005</v>
      </c>
      <c r="E16" s="25">
        <f t="shared" si="0"/>
        <v>2</v>
      </c>
      <c r="F16" s="25">
        <f t="shared" si="1"/>
        <v>2</v>
      </c>
      <c r="G16" s="25">
        <f t="shared" si="2"/>
        <v>0</v>
      </c>
    </row>
    <row r="17" spans="1:7" x14ac:dyDescent="0.35">
      <c r="A17" s="15" t="s">
        <v>178</v>
      </c>
      <c r="B17" s="12" t="s">
        <v>432</v>
      </c>
      <c r="C17" s="24">
        <f>INDEX(Seed_Calculation!$I$5:$I$42,MATCH(A17,Seed_Calculation!$A$5:$A$42,0))</f>
        <v>0.777092</v>
      </c>
      <c r="D17" s="17">
        <f>AVERAGEIFS(RII_Data!$E$5:$E$186,RII_Data!$A$5:$A$186,"M10",RII_Data!$G$5:$G$186,A17,RII_Data!$H$5:$H$186,"Direct")</f>
        <v>0.69799999999999995</v>
      </c>
      <c r="E17" s="25">
        <f t="shared" si="0"/>
        <v>3</v>
      </c>
      <c r="F17" s="25">
        <f t="shared" si="1"/>
        <v>12</v>
      </c>
      <c r="G17" s="25">
        <f t="shared" si="2"/>
        <v>-9</v>
      </c>
    </row>
    <row r="18" spans="1:7" x14ac:dyDescent="0.35">
      <c r="A18" s="15" t="s">
        <v>188</v>
      </c>
      <c r="B18" s="12" t="s">
        <v>434</v>
      </c>
      <c r="C18" s="24">
        <f>INDEX(Seed_Calculation!$I$5:$I$42,MATCH(A18,Seed_Calculation!$A$5:$A$42,0))</f>
        <v>0.69337899999999997</v>
      </c>
      <c r="D18" s="17">
        <f>AVERAGEIFS(RII_Data!$E$5:$E$186,RII_Data!$A$5:$A$186,"M10",RII_Data!$G$5:$G$186,A18,RII_Data!$H$5:$H$186,"Direct")</f>
        <v>0.71499999999999997</v>
      </c>
      <c r="E18" s="25">
        <f t="shared" si="0"/>
        <v>16</v>
      </c>
      <c r="F18" s="25">
        <f t="shared" si="1"/>
        <v>10</v>
      </c>
      <c r="G18" s="25">
        <f t="shared" si="2"/>
        <v>6</v>
      </c>
    </row>
    <row r="19" spans="1:7" x14ac:dyDescent="0.35">
      <c r="A19" s="15" t="s">
        <v>210</v>
      </c>
      <c r="B19" s="12" t="s">
        <v>435</v>
      </c>
      <c r="C19" s="24">
        <f>INDEX(Seed_Calculation!$I$5:$I$42,MATCH(A19,Seed_Calculation!$A$5:$A$42,0))</f>
        <v>0.7560595</v>
      </c>
      <c r="D19" s="17">
        <f>AVERAGEIFS(RII_Data!$E$5:$E$186,RII_Data!$A$5:$A$186,"M10",RII_Data!$G$5:$G$186,A19,RII_Data!$H$5:$H$186,"Direct")</f>
        <v>0.76100000000000001</v>
      </c>
      <c r="E19" s="25">
        <f t="shared" si="0"/>
        <v>7</v>
      </c>
      <c r="F19" s="25">
        <f t="shared" si="1"/>
        <v>6</v>
      </c>
      <c r="G19" s="25">
        <f t="shared" si="2"/>
        <v>1</v>
      </c>
    </row>
    <row r="20" spans="1:7" x14ac:dyDescent="0.35">
      <c r="A20" s="15" t="s">
        <v>185</v>
      </c>
      <c r="B20" s="12" t="s">
        <v>184</v>
      </c>
      <c r="C20" s="24">
        <f>INDEX(Seed_Calculation!$I$5:$I$42,MATCH(A20,Seed_Calculation!$A$5:$A$42,0))</f>
        <v>0.77331466666666671</v>
      </c>
      <c r="D20" s="17">
        <f>AVERAGEIFS(RII_Data!$E$5:$E$186,RII_Data!$A$5:$A$186,"M10",RII_Data!$G$5:$G$186,A20,RII_Data!$H$5:$H$186,"Direct")</f>
        <v>0.751</v>
      </c>
      <c r="E20" s="25">
        <f t="shared" si="0"/>
        <v>4</v>
      </c>
      <c r="F20" s="25">
        <f t="shared" si="1"/>
        <v>8</v>
      </c>
      <c r="G20" s="25">
        <f t="shared" si="2"/>
        <v>-4</v>
      </c>
    </row>
    <row r="21" spans="1:7" x14ac:dyDescent="0.35">
      <c r="A21" s="15" t="s">
        <v>213</v>
      </c>
      <c r="B21" s="12" t="s">
        <v>436</v>
      </c>
      <c r="C21" s="24">
        <f>INDEX(Seed_Calculation!$I$5:$I$42,MATCH(A21,Seed_Calculation!$A$5:$A$42,0))</f>
        <v>0.75853749999999998</v>
      </c>
      <c r="D21" s="17">
        <f>AVERAGEIFS(RII_Data!$E$5:$E$186,RII_Data!$A$5:$A$186,"M10",RII_Data!$G$5:$G$186,A21,RII_Data!$H$5:$H$186,"Direct")</f>
        <v>0.77550000000000008</v>
      </c>
      <c r="E21" s="25">
        <f t="shared" si="0"/>
        <v>6</v>
      </c>
      <c r="F21" s="25">
        <f t="shared" si="1"/>
        <v>4</v>
      </c>
      <c r="G21" s="25">
        <f t="shared" si="2"/>
        <v>2</v>
      </c>
    </row>
    <row r="22" spans="1:7" x14ac:dyDescent="0.35">
      <c r="A22" s="15" t="s">
        <v>192</v>
      </c>
      <c r="B22" s="12" t="s">
        <v>437</v>
      </c>
      <c r="C22" s="24">
        <f>INDEX(Seed_Calculation!$I$5:$I$42,MATCH(A22,Seed_Calculation!$A$5:$A$42,0))</f>
        <v>0.74400000000000011</v>
      </c>
      <c r="D22" s="17">
        <f>AVERAGEIFS(RII_Data!$E$5:$E$186,RII_Data!$A$5:$A$186,"M10",RII_Data!$G$5:$G$186,A22,RII_Data!$H$5:$H$186,"Direct")</f>
        <v>0.81599999999999995</v>
      </c>
      <c r="E22" s="25">
        <f t="shared" si="0"/>
        <v>10</v>
      </c>
      <c r="F22" s="25">
        <f t="shared" si="1"/>
        <v>1</v>
      </c>
      <c r="G22" s="25">
        <f t="shared" si="2"/>
        <v>9</v>
      </c>
    </row>
    <row r="23" spans="1:7" x14ac:dyDescent="0.35">
      <c r="A23" s="15" t="s">
        <v>208</v>
      </c>
      <c r="B23" s="12" t="s">
        <v>438</v>
      </c>
      <c r="C23" s="24">
        <f>INDEX(Seed_Calculation!$I$5:$I$42,MATCH(A23,Seed_Calculation!$A$5:$A$42,0))</f>
        <v>0.73599999999999999</v>
      </c>
      <c r="D23" s="17">
        <f>AVERAGEIFS(RII_Data!$E$5:$E$186,RII_Data!$A$5:$A$186,"M10",RII_Data!$G$5:$G$186,A23,RII_Data!$H$5:$H$186,"Direct")</f>
        <v>0.70899999999999996</v>
      </c>
      <c r="E23" s="25">
        <f t="shared" si="0"/>
        <v>11</v>
      </c>
      <c r="F23" s="25">
        <f t="shared" si="1"/>
        <v>11</v>
      </c>
      <c r="G23" s="25">
        <f t="shared" si="2"/>
        <v>0</v>
      </c>
    </row>
    <row r="24" spans="1:7" x14ac:dyDescent="0.35">
      <c r="A24" s="15" t="s">
        <v>181</v>
      </c>
      <c r="B24" s="12" t="s">
        <v>439</v>
      </c>
      <c r="C24" s="24">
        <f>INDEX(Seed_Calculation!$I$5:$I$42,MATCH(A24,Seed_Calculation!$A$5:$A$42,0))</f>
        <v>0.752</v>
      </c>
      <c r="D24" s="17">
        <f>AVERAGEIFS(RII_Data!$E$5:$E$186,RII_Data!$A$5:$A$186,"M10",RII_Data!$G$5:$G$186,A24,RII_Data!$H$5:$H$186,"Direct")</f>
        <v>0.76049999999999995</v>
      </c>
      <c r="E24" s="25">
        <f t="shared" si="0"/>
        <v>9</v>
      </c>
      <c r="F24" s="25">
        <f t="shared" si="1"/>
        <v>7</v>
      </c>
      <c r="G24" s="25">
        <f t="shared" si="2"/>
        <v>2</v>
      </c>
    </row>
    <row r="25" spans="1:7" x14ac:dyDescent="0.35">
      <c r="A25" s="15" t="s">
        <v>205</v>
      </c>
      <c r="B25" s="12" t="s">
        <v>440</v>
      </c>
      <c r="C25" s="24">
        <f>INDEX(Seed_Calculation!$I$5:$I$42,MATCH(A25,Seed_Calculation!$A$5:$A$42,0))</f>
        <v>0.70628099999999994</v>
      </c>
      <c r="D25" s="17">
        <f>AVERAGEIFS(RII_Data!$E$5:$E$186,RII_Data!$A$5:$A$186,"M10",RII_Data!$G$5:$G$186,A25,RII_Data!$H$5:$H$186,"Direct")</f>
        <v>0.69599999999999995</v>
      </c>
      <c r="E25" s="25">
        <f t="shared" si="0"/>
        <v>12</v>
      </c>
      <c r="F25" s="25">
        <f t="shared" si="1"/>
        <v>13</v>
      </c>
      <c r="G25" s="25">
        <f t="shared" si="2"/>
        <v>-1</v>
      </c>
    </row>
    <row r="26" spans="1:7" x14ac:dyDescent="0.35">
      <c r="A26" s="15" t="s">
        <v>229</v>
      </c>
      <c r="B26" s="12" t="s">
        <v>441</v>
      </c>
      <c r="C26" s="24">
        <f>INDEX(Seed_Calculation!$I$5:$I$42,MATCH(A26,Seed_Calculation!$A$5:$A$42,0))</f>
        <v>0.61</v>
      </c>
      <c r="D26" s="17">
        <f>AVERAGEIFS(RII_Data!$E$5:$E$186,RII_Data!$A$5:$A$186,"M10",RII_Data!$G$5:$G$186,A26,RII_Data!$H$5:$H$186,"Direct")</f>
        <v>0.72299999999999998</v>
      </c>
      <c r="E26" s="25">
        <f t="shared" si="0"/>
        <v>19</v>
      </c>
      <c r="F26" s="25">
        <f t="shared" si="1"/>
        <v>9</v>
      </c>
      <c r="G26" s="25">
        <f t="shared" si="2"/>
        <v>10</v>
      </c>
    </row>
    <row r="27" spans="1:7" x14ac:dyDescent="0.35">
      <c r="A27" s="15" t="s">
        <v>198</v>
      </c>
      <c r="B27" s="12" t="s">
        <v>442</v>
      </c>
      <c r="C27" s="24">
        <f>INDEX(Seed_Calculation!$I$5:$I$42,MATCH(A27,Seed_Calculation!$A$5:$A$42,0))</f>
        <v>0.67930350000000006</v>
      </c>
      <c r="D27" s="17">
        <f>AVERAGEIFS(RII_Data!$E$5:$E$186,RII_Data!$A$5:$A$186,"M10",RII_Data!$G$5:$G$186,A27,RII_Data!$H$5:$H$186,"Direct")</f>
        <v>0.68200000000000005</v>
      </c>
      <c r="E27" s="25">
        <f t="shared" si="0"/>
        <v>17</v>
      </c>
      <c r="F27" s="25">
        <f t="shared" si="1"/>
        <v>15</v>
      </c>
      <c r="G27" s="25">
        <f t="shared" si="2"/>
        <v>2</v>
      </c>
    </row>
    <row r="28" spans="1:7" x14ac:dyDescent="0.35">
      <c r="A28" s="15" t="s">
        <v>195</v>
      </c>
      <c r="B28" s="12" t="s">
        <v>447</v>
      </c>
      <c r="C28" s="24">
        <f>INDEX(Seed_Calculation!$I$5:$I$42,MATCH(A28,Seed_Calculation!$A$5:$A$42,0))</f>
        <v>0.70450000000000002</v>
      </c>
      <c r="D28" s="17">
        <f>AVERAGEIFS(RII_Data!$E$5:$E$186,RII_Data!$A$5:$A$186,"M10",RII_Data!$G$5:$G$186,A28,RII_Data!$H$5:$H$186,"Direct")</f>
        <v>0.63200000000000001</v>
      </c>
      <c r="E28" s="25">
        <f t="shared" si="0"/>
        <v>13</v>
      </c>
      <c r="F28" s="25">
        <f t="shared" si="1"/>
        <v>19</v>
      </c>
      <c r="G28" s="25">
        <f t="shared" si="2"/>
        <v>-6</v>
      </c>
    </row>
    <row r="29" spans="1:7" x14ac:dyDescent="0.35">
      <c r="A29" s="15" t="s">
        <v>241</v>
      </c>
      <c r="B29" s="12" t="s">
        <v>457</v>
      </c>
      <c r="C29" s="24">
        <f>INDEX(Seed_Calculation!$I$5:$I$42,MATCH(A29,Seed_Calculation!$A$5:$A$42,0))</f>
        <v>0.7</v>
      </c>
      <c r="D29" s="17">
        <f>AVERAGEIFS(RII_Data!$E$5:$E$186,RII_Data!$A$5:$A$186,"M10",RII_Data!$G$5:$G$186,A29,RII_Data!$H$5:$H$186,"Direct")</f>
        <v>0.68</v>
      </c>
      <c r="E29" s="25">
        <f t="shared" si="0"/>
        <v>14.5</v>
      </c>
      <c r="F29" s="25">
        <f t="shared" si="1"/>
        <v>16</v>
      </c>
      <c r="G29" s="25">
        <f t="shared" si="2"/>
        <v>-1.5</v>
      </c>
    </row>
    <row r="30" spans="1:7" x14ac:dyDescent="0.35">
      <c r="A30" s="15" t="s">
        <v>224</v>
      </c>
      <c r="B30" s="12" t="s">
        <v>460</v>
      </c>
      <c r="C30" s="24">
        <f>INDEX(Seed_Calculation!$I$5:$I$42,MATCH(A30,Seed_Calculation!$A$5:$A$42,0))</f>
        <v>0.7</v>
      </c>
      <c r="D30" s="17">
        <f>AVERAGEIFS(RII_Data!$E$5:$E$186,RII_Data!$A$5:$A$186,"M10",RII_Data!$G$5:$G$186,A30,RII_Data!$H$5:$H$186,"Direct")</f>
        <v>0.66700000000000004</v>
      </c>
      <c r="E30" s="25">
        <f t="shared" si="0"/>
        <v>14.5</v>
      </c>
      <c r="F30" s="25">
        <f t="shared" si="1"/>
        <v>17</v>
      </c>
      <c r="G30" s="25">
        <f t="shared" si="2"/>
        <v>-2.5</v>
      </c>
    </row>
    <row r="31" spans="1:7" x14ac:dyDescent="0.35">
      <c r="A31" s="15" t="s">
        <v>296</v>
      </c>
      <c r="B31" s="12" t="s">
        <v>461</v>
      </c>
      <c r="C31" s="24">
        <f>INDEX(Seed_Calculation!$I$5:$I$42,MATCH(A31,Seed_Calculation!$A$5:$A$42,0))</f>
        <v>0.66119400000000006</v>
      </c>
      <c r="D31" s="17">
        <f>AVERAGEIFS(RII_Data!$E$5:$E$186,RII_Data!$A$5:$A$186,"M10",RII_Data!$G$5:$G$186,A31,RII_Data!$H$5:$H$186,"Direct")</f>
        <v>0.77800000000000002</v>
      </c>
      <c r="E31" s="25">
        <f t="shared" si="0"/>
        <v>18</v>
      </c>
      <c r="F31" s="25">
        <f t="shared" si="1"/>
        <v>3</v>
      </c>
      <c r="G31" s="25">
        <f t="shared" si="2"/>
        <v>15</v>
      </c>
    </row>
    <row r="32" spans="1:7" x14ac:dyDescent="0.35">
      <c r="B32" s="15" t="s">
        <v>495</v>
      </c>
      <c r="C32" s="26">
        <f>CORREL(E13:E31,F13:F31)</f>
        <v>0.28170252821587549</v>
      </c>
    </row>
    <row r="33" spans="1:7" x14ac:dyDescent="0.35">
      <c r="B33" s="15" t="s">
        <v>496</v>
      </c>
      <c r="C33" s="27">
        <f>COUNT(D13:D31)</f>
        <v>19</v>
      </c>
    </row>
    <row r="34" spans="1:7" x14ac:dyDescent="0.35">
      <c r="B34" s="15" t="s">
        <v>497</v>
      </c>
      <c r="C34" s="26">
        <f>C32*SQRT((C33-2)/(1-C32^2))</f>
        <v>1.2105128834303376</v>
      </c>
    </row>
    <row r="35" spans="1:7" x14ac:dyDescent="0.35">
      <c r="B35" s="15" t="s">
        <v>498</v>
      </c>
      <c r="C35" s="26">
        <f>TDIST(ABS(C34),C33-2,2)</f>
        <v>0.24264423781558811</v>
      </c>
    </row>
    <row r="38" spans="1:7" x14ac:dyDescent="0.35">
      <c r="A38" s="2" t="s">
        <v>499</v>
      </c>
    </row>
    <row r="39" spans="1:7" ht="39" x14ac:dyDescent="0.35">
      <c r="A39" s="6" t="s">
        <v>420</v>
      </c>
      <c r="B39" s="6" t="s">
        <v>421</v>
      </c>
      <c r="C39" s="6" t="s">
        <v>423</v>
      </c>
      <c r="D39" s="6" t="s">
        <v>491</v>
      </c>
      <c r="E39" s="6" t="s">
        <v>492</v>
      </c>
      <c r="F39" s="6" t="s">
        <v>493</v>
      </c>
      <c r="G39" s="6" t="s">
        <v>494</v>
      </c>
    </row>
    <row r="40" spans="1:7" x14ac:dyDescent="0.35">
      <c r="A40" s="15" t="s">
        <v>183</v>
      </c>
      <c r="B40" s="12" t="s">
        <v>428</v>
      </c>
      <c r="C40" s="24">
        <f>INDEX(Seed_Calculation!$I$5:$I$42,MATCH(A40,Seed_Calculation!$A$5:$A$42,0))</f>
        <v>0.78893333333333338</v>
      </c>
      <c r="D40" s="17">
        <f>AVERAGEIFS(RII_Data!$E$5:$E$186,RII_Data!$A$5:$A$186,"M15",RII_Data!$G$5:$G$186,A40,RII_Data!$H$5:$H$186,"Direct")</f>
        <v>0.56666666666666676</v>
      </c>
      <c r="E40" s="25">
        <f t="shared" ref="E40:E50" si="3">RANK(C40,$C$40:$C$50,0)+(COUNTIF($C$40:$C$50,C40)-1)/2</f>
        <v>1</v>
      </c>
      <c r="F40" s="25">
        <f t="shared" ref="F40:F50" si="4">RANK(D40,$D$40:$D$50,0)+(COUNTIF($D$40:$D$50,D40)-1)/2</f>
        <v>6</v>
      </c>
      <c r="G40" s="25">
        <f t="shared" ref="G40:G50" si="5">E40-F40</f>
        <v>-5</v>
      </c>
    </row>
    <row r="41" spans="1:7" x14ac:dyDescent="0.35">
      <c r="A41" s="15" t="s">
        <v>201</v>
      </c>
      <c r="B41" s="12" t="s">
        <v>429</v>
      </c>
      <c r="C41" s="24">
        <f>INDEX(Seed_Calculation!$I$5:$I$42,MATCH(A41,Seed_Calculation!$A$5:$A$42,0))</f>
        <v>0.75275000000000003</v>
      </c>
      <c r="D41" s="17">
        <f>AVERAGEIFS(RII_Data!$E$5:$E$186,RII_Data!$A$5:$A$186,"M15",RII_Data!$G$5:$G$186,A41,RII_Data!$H$5:$H$186,"Direct")</f>
        <v>0.435</v>
      </c>
      <c r="E41" s="25">
        <f t="shared" si="3"/>
        <v>6</v>
      </c>
      <c r="F41" s="25">
        <f t="shared" si="4"/>
        <v>11</v>
      </c>
      <c r="G41" s="25">
        <f t="shared" si="5"/>
        <v>-5</v>
      </c>
    </row>
    <row r="42" spans="1:7" x14ac:dyDescent="0.35">
      <c r="A42" s="15" t="s">
        <v>190</v>
      </c>
      <c r="B42" s="12" t="s">
        <v>431</v>
      </c>
      <c r="C42" s="24">
        <f>INDEX(Seed_Calculation!$I$5:$I$42,MATCH(A42,Seed_Calculation!$A$5:$A$42,0))</f>
        <v>0.7831111111111112</v>
      </c>
      <c r="D42" s="17">
        <f>AVERAGEIFS(RII_Data!$E$5:$E$186,RII_Data!$A$5:$A$186,"M15",RII_Data!$G$5:$G$186,A42,RII_Data!$H$5:$H$186,"Direct")</f>
        <v>0.71499999999999997</v>
      </c>
      <c r="E42" s="25">
        <f t="shared" si="3"/>
        <v>2</v>
      </c>
      <c r="F42" s="25">
        <f t="shared" si="4"/>
        <v>2</v>
      </c>
      <c r="G42" s="25">
        <f t="shared" si="5"/>
        <v>0</v>
      </c>
    </row>
    <row r="43" spans="1:7" x14ac:dyDescent="0.35">
      <c r="A43" s="15" t="s">
        <v>178</v>
      </c>
      <c r="B43" s="12" t="s">
        <v>432</v>
      </c>
      <c r="C43" s="24">
        <f>INDEX(Seed_Calculation!$I$5:$I$42,MATCH(A43,Seed_Calculation!$A$5:$A$42,0))</f>
        <v>0.777092</v>
      </c>
      <c r="D43" s="17">
        <f>AVERAGEIFS(RII_Data!$E$5:$E$186,RII_Data!$A$5:$A$186,"M15",RII_Data!$G$5:$G$186,A43,RII_Data!$H$5:$H$186,"Direct")</f>
        <v>0.64</v>
      </c>
      <c r="E43" s="25">
        <f t="shared" si="3"/>
        <v>3</v>
      </c>
      <c r="F43" s="25">
        <f t="shared" si="4"/>
        <v>4</v>
      </c>
      <c r="G43" s="25">
        <f t="shared" si="5"/>
        <v>-1</v>
      </c>
    </row>
    <row r="44" spans="1:7" x14ac:dyDescent="0.35">
      <c r="A44" s="15" t="s">
        <v>188</v>
      </c>
      <c r="B44" s="12" t="s">
        <v>434</v>
      </c>
      <c r="C44" s="24">
        <f>INDEX(Seed_Calculation!$I$5:$I$42,MATCH(A44,Seed_Calculation!$A$5:$A$42,0))</f>
        <v>0.69337899999999997</v>
      </c>
      <c r="D44" s="17">
        <f>AVERAGEIFS(RII_Data!$E$5:$E$186,RII_Data!$A$5:$A$186,"M15",RII_Data!$G$5:$G$186,A44,RII_Data!$H$5:$H$186,"Direct")</f>
        <v>0.47499999999999998</v>
      </c>
      <c r="E44" s="25">
        <f t="shared" si="3"/>
        <v>11</v>
      </c>
      <c r="F44" s="25">
        <f t="shared" si="4"/>
        <v>8</v>
      </c>
      <c r="G44" s="25">
        <f t="shared" si="5"/>
        <v>3</v>
      </c>
    </row>
    <row r="45" spans="1:7" x14ac:dyDescent="0.35">
      <c r="A45" s="15" t="s">
        <v>210</v>
      </c>
      <c r="B45" s="12" t="s">
        <v>435</v>
      </c>
      <c r="C45" s="24">
        <f>INDEX(Seed_Calculation!$I$5:$I$42,MATCH(A45,Seed_Calculation!$A$5:$A$42,0))</f>
        <v>0.7560595</v>
      </c>
      <c r="D45" s="17">
        <f>AVERAGEIFS(RII_Data!$E$5:$E$186,RII_Data!$A$5:$A$186,"M15",RII_Data!$G$5:$G$186,A45,RII_Data!$H$5:$H$186,"Direct")</f>
        <v>0.75</v>
      </c>
      <c r="E45" s="25">
        <f t="shared" si="3"/>
        <v>5</v>
      </c>
      <c r="F45" s="25">
        <f t="shared" si="4"/>
        <v>1</v>
      </c>
      <c r="G45" s="25">
        <f t="shared" si="5"/>
        <v>4</v>
      </c>
    </row>
    <row r="46" spans="1:7" x14ac:dyDescent="0.35">
      <c r="A46" s="15" t="s">
        <v>213</v>
      </c>
      <c r="B46" s="12" t="s">
        <v>436</v>
      </c>
      <c r="C46" s="24">
        <f>INDEX(Seed_Calculation!$I$5:$I$42,MATCH(A46,Seed_Calculation!$A$5:$A$42,0))</f>
        <v>0.75853749999999998</v>
      </c>
      <c r="D46" s="17">
        <f>AVERAGEIFS(RII_Data!$E$5:$E$186,RII_Data!$A$5:$A$186,"M15",RII_Data!$G$5:$G$186,A46,RII_Data!$H$5:$H$186,"Direct")</f>
        <v>0.69249999999999989</v>
      </c>
      <c r="E46" s="25">
        <f t="shared" si="3"/>
        <v>4</v>
      </c>
      <c r="F46" s="25">
        <f t="shared" si="4"/>
        <v>3</v>
      </c>
      <c r="G46" s="25">
        <f t="shared" si="5"/>
        <v>1</v>
      </c>
    </row>
    <row r="47" spans="1:7" x14ac:dyDescent="0.35">
      <c r="A47" s="15" t="s">
        <v>195</v>
      </c>
      <c r="B47" s="12" t="s">
        <v>447</v>
      </c>
      <c r="C47" s="24">
        <f>INDEX(Seed_Calculation!$I$5:$I$42,MATCH(A47,Seed_Calculation!$A$5:$A$42,0))</f>
        <v>0.70450000000000002</v>
      </c>
      <c r="D47" s="17">
        <f>AVERAGEIFS(RII_Data!$E$5:$E$186,RII_Data!$A$5:$A$186,"M15",RII_Data!$G$5:$G$186,A47,RII_Data!$H$5:$H$186,"Direct")</f>
        <v>0.45500000000000002</v>
      </c>
      <c r="E47" s="25">
        <f t="shared" si="3"/>
        <v>9</v>
      </c>
      <c r="F47" s="25">
        <f t="shared" si="4"/>
        <v>9</v>
      </c>
      <c r="G47" s="25">
        <f t="shared" si="5"/>
        <v>0</v>
      </c>
    </row>
    <row r="48" spans="1:7" x14ac:dyDescent="0.35">
      <c r="A48" s="15" t="s">
        <v>222</v>
      </c>
      <c r="B48" s="12" t="s">
        <v>448</v>
      </c>
      <c r="C48" s="24">
        <f>INDEX(Seed_Calculation!$I$5:$I$42,MATCH(A48,Seed_Calculation!$A$5:$A$42,0))</f>
        <v>0.73310699999999995</v>
      </c>
      <c r="D48" s="17">
        <f>AVERAGEIFS(RII_Data!$E$5:$E$186,RII_Data!$A$5:$A$186,"M15",RII_Data!$G$5:$G$186,A48,RII_Data!$H$5:$H$186,"Direct")</f>
        <v>0.52</v>
      </c>
      <c r="E48" s="25">
        <f t="shared" si="3"/>
        <v>8</v>
      </c>
      <c r="F48" s="25">
        <f t="shared" si="4"/>
        <v>7</v>
      </c>
      <c r="G48" s="25">
        <f t="shared" si="5"/>
        <v>1</v>
      </c>
    </row>
    <row r="49" spans="1:7" x14ac:dyDescent="0.35">
      <c r="A49" s="15" t="s">
        <v>254</v>
      </c>
      <c r="B49" s="12" t="s">
        <v>450</v>
      </c>
      <c r="C49" s="24">
        <f>INDEX(Seed_Calculation!$I$5:$I$42,MATCH(A49,Seed_Calculation!$A$5:$A$42,0))</f>
        <v>0.74676600000000004</v>
      </c>
      <c r="D49" s="17">
        <f>AVERAGEIFS(RII_Data!$E$5:$E$186,RII_Data!$A$5:$A$186,"M15",RII_Data!$G$5:$G$186,A49,RII_Data!$H$5:$H$186,"Direct")</f>
        <v>0.61</v>
      </c>
      <c r="E49" s="25">
        <f t="shared" si="3"/>
        <v>7</v>
      </c>
      <c r="F49" s="25">
        <f t="shared" si="4"/>
        <v>5</v>
      </c>
      <c r="G49" s="25">
        <f t="shared" si="5"/>
        <v>2</v>
      </c>
    </row>
    <row r="50" spans="1:7" x14ac:dyDescent="0.35">
      <c r="A50" s="15" t="s">
        <v>224</v>
      </c>
      <c r="B50" s="12" t="s">
        <v>460</v>
      </c>
      <c r="C50" s="24">
        <f>INDEX(Seed_Calculation!$I$5:$I$42,MATCH(A50,Seed_Calculation!$A$5:$A$42,0))</f>
        <v>0.7</v>
      </c>
      <c r="D50" s="17">
        <f>AVERAGEIFS(RII_Data!$E$5:$E$186,RII_Data!$A$5:$A$186,"M15",RII_Data!$G$5:$G$186,A50,RII_Data!$H$5:$H$186,"Direct")</f>
        <v>0.44400000000000001</v>
      </c>
      <c r="E50" s="25">
        <f t="shared" si="3"/>
        <v>10</v>
      </c>
      <c r="F50" s="25">
        <f t="shared" si="4"/>
        <v>10</v>
      </c>
      <c r="G50" s="25">
        <f t="shared" si="5"/>
        <v>0</v>
      </c>
    </row>
    <row r="51" spans="1:7" x14ac:dyDescent="0.35">
      <c r="B51" s="15" t="s">
        <v>495</v>
      </c>
      <c r="C51" s="26">
        <f>CORREL(E40:E50,F40:F50)</f>
        <v>0.62727272727272709</v>
      </c>
    </row>
    <row r="52" spans="1:7" x14ac:dyDescent="0.35">
      <c r="B52" s="15" t="s">
        <v>496</v>
      </c>
      <c r="C52" s="27">
        <f>COUNT(D40:D50)</f>
        <v>11</v>
      </c>
    </row>
    <row r="53" spans="1:7" x14ac:dyDescent="0.35">
      <c r="B53" s="15" t="s">
        <v>497</v>
      </c>
      <c r="C53" s="26">
        <f>C51*SQRT((C52-2)/(1-C51^2))</f>
        <v>2.4163058291944197</v>
      </c>
    </row>
    <row r="54" spans="1:7" x14ac:dyDescent="0.35">
      <c r="B54" s="15" t="s">
        <v>498</v>
      </c>
      <c r="C54" s="26">
        <f>TDIST(ABS(C53),C52-2,2)</f>
        <v>3.8845253620353404E-2</v>
      </c>
    </row>
    <row r="57" spans="1:7" x14ac:dyDescent="0.35">
      <c r="A57" s="2" t="s">
        <v>500</v>
      </c>
    </row>
    <row r="58" spans="1:7" ht="39" x14ac:dyDescent="0.35">
      <c r="A58" s="6" t="s">
        <v>420</v>
      </c>
      <c r="B58" s="6" t="s">
        <v>421</v>
      </c>
      <c r="C58" s="6" t="s">
        <v>423</v>
      </c>
      <c r="D58" s="6" t="s">
        <v>491</v>
      </c>
      <c r="E58" s="6" t="s">
        <v>492</v>
      </c>
      <c r="F58" s="6" t="s">
        <v>493</v>
      </c>
      <c r="G58" s="6" t="s">
        <v>494</v>
      </c>
    </row>
    <row r="59" spans="1:7" x14ac:dyDescent="0.35">
      <c r="A59" s="15" t="s">
        <v>183</v>
      </c>
      <c r="B59" s="12" t="s">
        <v>428</v>
      </c>
      <c r="C59" s="24">
        <f>INDEX(Seed_Calculation!$I$5:$I$42,MATCH(A59,Seed_Calculation!$A$5:$A$42,0))</f>
        <v>0.78893333333333338</v>
      </c>
      <c r="D59" s="17">
        <f>AVERAGEIFS(RII_Data!$E$5:$E$186,RII_Data!$A$5:$A$186,"M14",RII_Data!$G$5:$G$186,A59,RII_Data!$H$5:$H$186,"Direct")</f>
        <v>0.50800000000000001</v>
      </c>
      <c r="E59" s="25">
        <f t="shared" ref="E59:E71" si="6">RANK(C59,$C$59:$C$71,0)+(COUNTIF($C$59:$C$71,C59)-1)/2</f>
        <v>1</v>
      </c>
      <c r="F59" s="25">
        <f t="shared" ref="F59:F71" si="7">RANK(D59,$D$59:$D$71,0)+(COUNTIF($D$59:$D$71,D59)-1)/2</f>
        <v>9</v>
      </c>
      <c r="G59" s="25">
        <f t="shared" ref="G59:G71" si="8">E59-F59</f>
        <v>-8</v>
      </c>
    </row>
    <row r="60" spans="1:7" x14ac:dyDescent="0.35">
      <c r="A60" s="15" t="s">
        <v>201</v>
      </c>
      <c r="B60" s="12" t="s">
        <v>429</v>
      </c>
      <c r="C60" s="24">
        <f>INDEX(Seed_Calculation!$I$5:$I$42,MATCH(A60,Seed_Calculation!$A$5:$A$42,0))</f>
        <v>0.75275000000000003</v>
      </c>
      <c r="D60" s="17">
        <f>AVERAGEIFS(RII_Data!$E$5:$E$186,RII_Data!$A$5:$A$186,"M14",RII_Data!$G$5:$G$186,A60,RII_Data!$H$5:$H$186,"Direct")</f>
        <v>0.68899999999999995</v>
      </c>
      <c r="E60" s="25">
        <f t="shared" si="6"/>
        <v>6</v>
      </c>
      <c r="F60" s="25">
        <f t="shared" si="7"/>
        <v>4</v>
      </c>
      <c r="G60" s="25">
        <f t="shared" si="8"/>
        <v>2</v>
      </c>
    </row>
    <row r="61" spans="1:7" x14ac:dyDescent="0.35">
      <c r="A61" s="15" t="s">
        <v>190</v>
      </c>
      <c r="B61" s="12" t="s">
        <v>431</v>
      </c>
      <c r="C61" s="24">
        <f>INDEX(Seed_Calculation!$I$5:$I$42,MATCH(A61,Seed_Calculation!$A$5:$A$42,0))</f>
        <v>0.7831111111111112</v>
      </c>
      <c r="D61" s="17">
        <f>AVERAGEIFS(RII_Data!$E$5:$E$186,RII_Data!$A$5:$A$186,"M14",RII_Data!$G$5:$G$186,A61,RII_Data!$H$5:$H$186,"Direct")</f>
        <v>0.52300000000000002</v>
      </c>
      <c r="E61" s="25">
        <f t="shared" si="6"/>
        <v>3</v>
      </c>
      <c r="F61" s="25">
        <f t="shared" si="7"/>
        <v>7</v>
      </c>
      <c r="G61" s="25">
        <f t="shared" si="8"/>
        <v>-4</v>
      </c>
    </row>
    <row r="62" spans="1:7" x14ac:dyDescent="0.35">
      <c r="A62" s="15" t="s">
        <v>178</v>
      </c>
      <c r="B62" s="12" t="s">
        <v>432</v>
      </c>
      <c r="C62" s="24">
        <f>INDEX(Seed_Calculation!$I$5:$I$42,MATCH(A62,Seed_Calculation!$A$5:$A$42,0))</f>
        <v>0.777092</v>
      </c>
      <c r="D62" s="17">
        <f>AVERAGEIFS(RII_Data!$E$5:$E$186,RII_Data!$A$5:$A$186,"M14",RII_Data!$G$5:$G$186,A62,RII_Data!$H$5:$H$186,"Direct")</f>
        <v>0.47499999999999998</v>
      </c>
      <c r="E62" s="25">
        <f t="shared" si="6"/>
        <v>4</v>
      </c>
      <c r="F62" s="25">
        <f t="shared" si="7"/>
        <v>11</v>
      </c>
      <c r="G62" s="25">
        <f t="shared" si="8"/>
        <v>-7</v>
      </c>
    </row>
    <row r="63" spans="1:7" x14ac:dyDescent="0.35">
      <c r="A63" s="15" t="s">
        <v>175</v>
      </c>
      <c r="B63" s="12" t="s">
        <v>433</v>
      </c>
      <c r="C63" s="24">
        <f>INDEX(Seed_Calculation!$I$5:$I$42,MATCH(A63,Seed_Calculation!$A$5:$A$42,0))</f>
        <v>0.78649999999999998</v>
      </c>
      <c r="D63" s="17">
        <f>AVERAGEIFS(RII_Data!$E$5:$E$186,RII_Data!$A$5:$A$186,"M14",RII_Data!$G$5:$G$186,A63,RII_Data!$H$5:$H$186,"Direct")</f>
        <v>0.46</v>
      </c>
      <c r="E63" s="25">
        <f t="shared" si="6"/>
        <v>2</v>
      </c>
      <c r="F63" s="25">
        <f t="shared" si="7"/>
        <v>12</v>
      </c>
      <c r="G63" s="25">
        <f t="shared" si="8"/>
        <v>-10</v>
      </c>
    </row>
    <row r="64" spans="1:7" x14ac:dyDescent="0.35">
      <c r="A64" s="15" t="s">
        <v>188</v>
      </c>
      <c r="B64" s="12" t="s">
        <v>434</v>
      </c>
      <c r="C64" s="24">
        <f>INDEX(Seed_Calculation!$I$5:$I$42,MATCH(A64,Seed_Calculation!$A$5:$A$42,0))</f>
        <v>0.69337899999999997</v>
      </c>
      <c r="D64" s="17">
        <f>AVERAGEIFS(RII_Data!$E$5:$E$186,RII_Data!$A$5:$A$186,"M14",RII_Data!$G$5:$G$186,A64,RII_Data!$H$5:$H$186,"Direct")</f>
        <v>0.64300000000000002</v>
      </c>
      <c r="E64" s="25">
        <f t="shared" si="6"/>
        <v>11</v>
      </c>
      <c r="F64" s="25">
        <f t="shared" si="7"/>
        <v>6</v>
      </c>
      <c r="G64" s="25">
        <f t="shared" si="8"/>
        <v>5</v>
      </c>
    </row>
    <row r="65" spans="1:7" x14ac:dyDescent="0.35">
      <c r="A65" s="15" t="s">
        <v>185</v>
      </c>
      <c r="B65" s="12" t="s">
        <v>184</v>
      </c>
      <c r="C65" s="24">
        <f>INDEX(Seed_Calculation!$I$5:$I$42,MATCH(A65,Seed_Calculation!$A$5:$A$42,0))</f>
        <v>0.77331466666666671</v>
      </c>
      <c r="D65" s="17">
        <f>AVERAGEIFS(RII_Data!$E$5:$E$186,RII_Data!$A$5:$A$186,"M14",RII_Data!$G$5:$G$186,A65,RII_Data!$H$5:$H$186,"Direct")</f>
        <v>0.71599999999999997</v>
      </c>
      <c r="E65" s="25">
        <f t="shared" si="6"/>
        <v>5</v>
      </c>
      <c r="F65" s="25">
        <f t="shared" si="7"/>
        <v>3</v>
      </c>
      <c r="G65" s="25">
        <f t="shared" si="8"/>
        <v>2</v>
      </c>
    </row>
    <row r="66" spans="1:7" x14ac:dyDescent="0.35">
      <c r="A66" s="15" t="s">
        <v>192</v>
      </c>
      <c r="B66" s="12" t="s">
        <v>437</v>
      </c>
      <c r="C66" s="24">
        <f>INDEX(Seed_Calculation!$I$5:$I$42,MATCH(A66,Seed_Calculation!$A$5:$A$42,0))</f>
        <v>0.74400000000000011</v>
      </c>
      <c r="D66" s="17">
        <f>AVERAGEIFS(RII_Data!$E$5:$E$186,RII_Data!$A$5:$A$186,"M14",RII_Data!$G$5:$G$186,A66,RII_Data!$H$5:$H$186,"Direct")</f>
        <v>0.72</v>
      </c>
      <c r="E66" s="25">
        <f t="shared" si="6"/>
        <v>8</v>
      </c>
      <c r="F66" s="25">
        <f t="shared" si="7"/>
        <v>2</v>
      </c>
      <c r="G66" s="25">
        <f t="shared" si="8"/>
        <v>6</v>
      </c>
    </row>
    <row r="67" spans="1:7" x14ac:dyDescent="0.35">
      <c r="A67" s="15" t="s">
        <v>208</v>
      </c>
      <c r="B67" s="12" t="s">
        <v>438</v>
      </c>
      <c r="C67" s="24">
        <f>INDEX(Seed_Calculation!$I$5:$I$42,MATCH(A67,Seed_Calculation!$A$5:$A$42,0))</f>
        <v>0.73599999999999999</v>
      </c>
      <c r="D67" s="17">
        <f>AVERAGEIFS(RII_Data!$E$5:$E$186,RII_Data!$A$5:$A$186,"M14",RII_Data!$G$5:$G$186,A67,RII_Data!$H$5:$H$186,"Direct")</f>
        <v>0.45900000000000002</v>
      </c>
      <c r="E67" s="25">
        <f t="shared" si="6"/>
        <v>9</v>
      </c>
      <c r="F67" s="25">
        <f t="shared" si="7"/>
        <v>13</v>
      </c>
      <c r="G67" s="25">
        <f t="shared" si="8"/>
        <v>-4</v>
      </c>
    </row>
    <row r="68" spans="1:7" x14ac:dyDescent="0.35">
      <c r="A68" s="15" t="s">
        <v>181</v>
      </c>
      <c r="B68" s="12" t="s">
        <v>439</v>
      </c>
      <c r="C68" s="24">
        <f>INDEX(Seed_Calculation!$I$5:$I$42,MATCH(A68,Seed_Calculation!$A$5:$A$42,0))</f>
        <v>0.752</v>
      </c>
      <c r="D68" s="17">
        <f>AVERAGEIFS(RII_Data!$E$5:$E$186,RII_Data!$A$5:$A$186,"M14",RII_Data!$G$5:$G$186,A68,RII_Data!$H$5:$H$186,"Direct")</f>
        <v>0.72550000000000003</v>
      </c>
      <c r="E68" s="25">
        <f t="shared" si="6"/>
        <v>7</v>
      </c>
      <c r="F68" s="25">
        <f t="shared" si="7"/>
        <v>1</v>
      </c>
      <c r="G68" s="25">
        <f t="shared" si="8"/>
        <v>6</v>
      </c>
    </row>
    <row r="69" spans="1:7" x14ac:dyDescent="0.35">
      <c r="A69" s="15" t="s">
        <v>229</v>
      </c>
      <c r="B69" s="12" t="s">
        <v>441</v>
      </c>
      <c r="C69" s="24">
        <f>INDEX(Seed_Calculation!$I$5:$I$42,MATCH(A69,Seed_Calculation!$A$5:$A$42,0))</f>
        <v>0.61</v>
      </c>
      <c r="D69" s="17">
        <f>AVERAGEIFS(RII_Data!$E$5:$E$186,RII_Data!$A$5:$A$186,"M14",RII_Data!$G$5:$G$186,A69,RII_Data!$H$5:$H$186,"Direct")</f>
        <v>0.66149999999999998</v>
      </c>
      <c r="E69" s="25">
        <f t="shared" si="6"/>
        <v>13</v>
      </c>
      <c r="F69" s="25">
        <f t="shared" si="7"/>
        <v>5</v>
      </c>
      <c r="G69" s="25">
        <f t="shared" si="8"/>
        <v>8</v>
      </c>
    </row>
    <row r="70" spans="1:7" x14ac:dyDescent="0.35">
      <c r="A70" s="15" t="s">
        <v>198</v>
      </c>
      <c r="B70" s="12" t="s">
        <v>442</v>
      </c>
      <c r="C70" s="24">
        <f>INDEX(Seed_Calculation!$I$5:$I$42,MATCH(A70,Seed_Calculation!$A$5:$A$42,0))</f>
        <v>0.67930350000000006</v>
      </c>
      <c r="D70" s="17">
        <f>AVERAGEIFS(RII_Data!$E$5:$E$186,RII_Data!$A$5:$A$186,"M14",RII_Data!$G$5:$G$186,A70,RII_Data!$H$5:$H$186,"Direct")</f>
        <v>0.51800000000000002</v>
      </c>
      <c r="E70" s="25">
        <f t="shared" si="6"/>
        <v>12</v>
      </c>
      <c r="F70" s="25">
        <f t="shared" si="7"/>
        <v>8</v>
      </c>
      <c r="G70" s="25">
        <f t="shared" si="8"/>
        <v>4</v>
      </c>
    </row>
    <row r="71" spans="1:7" x14ac:dyDescent="0.35">
      <c r="A71" s="15" t="s">
        <v>224</v>
      </c>
      <c r="B71" s="12" t="s">
        <v>460</v>
      </c>
      <c r="C71" s="24">
        <f>INDEX(Seed_Calculation!$I$5:$I$42,MATCH(A71,Seed_Calculation!$A$5:$A$42,0))</f>
        <v>0.7</v>
      </c>
      <c r="D71" s="17">
        <f>AVERAGEIFS(RII_Data!$E$5:$E$186,RII_Data!$A$5:$A$186,"M14",RII_Data!$G$5:$G$186,A71,RII_Data!$H$5:$H$186,"Direct")</f>
        <v>0.504</v>
      </c>
      <c r="E71" s="25">
        <f t="shared" si="6"/>
        <v>10</v>
      </c>
      <c r="F71" s="25">
        <f t="shared" si="7"/>
        <v>10</v>
      </c>
      <c r="G71" s="25">
        <f t="shared" si="8"/>
        <v>0</v>
      </c>
    </row>
    <row r="72" spans="1:7" x14ac:dyDescent="0.35">
      <c r="B72" s="15" t="s">
        <v>495</v>
      </c>
      <c r="C72" s="26">
        <f>CORREL(E59:E71,F59:F71)</f>
        <v>-0.18131868131868131</v>
      </c>
    </row>
    <row r="73" spans="1:7" x14ac:dyDescent="0.35">
      <c r="B73" s="15" t="s">
        <v>496</v>
      </c>
      <c r="C73" s="27">
        <f>COUNT(D59:D71)</f>
        <v>13</v>
      </c>
    </row>
    <row r="74" spans="1:7" x14ac:dyDescent="0.35">
      <c r="B74" s="15" t="s">
        <v>497</v>
      </c>
      <c r="C74" s="26">
        <f>C72*SQRT((C73-2)/(1-C72^2))</f>
        <v>-0.61150205139271585</v>
      </c>
    </row>
    <row r="75" spans="1:7" x14ac:dyDescent="0.35">
      <c r="B75" s="15" t="s">
        <v>498</v>
      </c>
      <c r="C75" s="26">
        <f>TDIST(ABS(C74),C73-2,2)</f>
        <v>0.55329500928393349</v>
      </c>
    </row>
    <row r="78" spans="1:7" x14ac:dyDescent="0.35">
      <c r="A78" s="21" t="s">
        <v>501</v>
      </c>
    </row>
    <row r="79" spans="1:7" x14ac:dyDescent="0.35">
      <c r="A79" s="22" t="s">
        <v>502</v>
      </c>
    </row>
    <row r="80" spans="1:7" x14ac:dyDescent="0.35">
      <c r="A80" s="22" t="s">
        <v>503</v>
      </c>
    </row>
    <row r="81" spans="1:1" x14ac:dyDescent="0.35">
      <c r="A81" s="22" t="s">
        <v>504</v>
      </c>
    </row>
    <row r="83" spans="1:1" x14ac:dyDescent="0.35">
      <c r="A83" s="21" t="s">
        <v>470</v>
      </c>
    </row>
    <row r="84" spans="1:1" x14ac:dyDescent="0.35">
      <c r="A84" s="22" t="s">
        <v>505</v>
      </c>
    </row>
    <row r="85" spans="1:1" x14ac:dyDescent="0.35">
      <c r="A85" s="22" t="s">
        <v>506</v>
      </c>
    </row>
    <row r="86" spans="1:1" x14ac:dyDescent="0.35">
      <c r="A86" s="22" t="s">
        <v>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workbookViewId="0"/>
  </sheetViews>
  <sheetFormatPr defaultRowHeight="14.5" x14ac:dyDescent="0.35"/>
  <cols>
    <col min="1" max="1" width="8" customWidth="1"/>
    <col min="2" max="2" width="60" customWidth="1"/>
    <col min="3" max="3" width="30" customWidth="1"/>
    <col min="4" max="4" width="70" customWidth="1"/>
    <col min="5" max="5" width="46" customWidth="1"/>
  </cols>
  <sheetData>
    <row r="1" spans="1:5" ht="18" x14ac:dyDescent="0.4">
      <c r="A1" s="1" t="s">
        <v>508</v>
      </c>
    </row>
    <row r="4" spans="1:5" x14ac:dyDescent="0.35">
      <c r="A4" s="6" t="s">
        <v>27</v>
      </c>
      <c r="B4" s="6" t="s">
        <v>509</v>
      </c>
      <c r="C4" s="6" t="s">
        <v>510</v>
      </c>
      <c r="D4" s="6" t="s">
        <v>511</v>
      </c>
      <c r="E4" s="6" t="s">
        <v>512</v>
      </c>
    </row>
    <row r="5" spans="1:5" ht="37.5" x14ac:dyDescent="0.35">
      <c r="A5" s="8" t="s">
        <v>513</v>
      </c>
      <c r="B5" s="8" t="s">
        <v>514</v>
      </c>
      <c r="C5" s="8" t="s">
        <v>515</v>
      </c>
      <c r="D5" s="8" t="s">
        <v>516</v>
      </c>
      <c r="E5" s="16" t="s">
        <v>517</v>
      </c>
    </row>
    <row r="6" spans="1:5" ht="37.5" x14ac:dyDescent="0.35">
      <c r="A6" s="8" t="s">
        <v>518</v>
      </c>
      <c r="B6" s="8" t="s">
        <v>519</v>
      </c>
      <c r="C6" s="8" t="s">
        <v>520</v>
      </c>
      <c r="D6" s="8" t="s">
        <v>521</v>
      </c>
      <c r="E6" s="16" t="s">
        <v>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9" customWidth="1"/>
    <col min="2" max="2" width="44" customWidth="1"/>
    <col min="3" max="4" width="11" customWidth="1"/>
    <col min="5" max="5" width="10" customWidth="1"/>
    <col min="6" max="6" width="70" customWidth="1"/>
    <col min="7" max="13" width="13" customWidth="1"/>
  </cols>
  <sheetData>
    <row r="1" spans="1:6" ht="18" x14ac:dyDescent="0.4">
      <c r="A1" s="1" t="s">
        <v>523</v>
      </c>
    </row>
    <row r="2" spans="1:6" x14ac:dyDescent="0.35">
      <c r="A2" s="5" t="s">
        <v>524</v>
      </c>
    </row>
    <row r="4" spans="1:6" x14ac:dyDescent="0.35">
      <c r="A4" s="6" t="s">
        <v>480</v>
      </c>
      <c r="B4" s="6" t="s">
        <v>525</v>
      </c>
      <c r="C4" s="6" t="s">
        <v>526</v>
      </c>
      <c r="D4" s="6" t="s">
        <v>527</v>
      </c>
      <c r="E4" s="6" t="s">
        <v>528</v>
      </c>
      <c r="F4" s="6" t="s">
        <v>529</v>
      </c>
    </row>
    <row r="5" spans="1:6" ht="25" x14ac:dyDescent="0.35">
      <c r="A5" s="15" t="s">
        <v>42</v>
      </c>
      <c r="B5" s="9" t="s">
        <v>530</v>
      </c>
      <c r="C5" s="12">
        <f>COUNTIF(RII_Data!$A$5:$A$186,A5)</f>
        <v>28</v>
      </c>
      <c r="D5" s="20">
        <f>AVERAGEIF(RII_Data!$A$5:$A$186,A5,RII_Data!$E$5:$E$186)</f>
        <v>0.74824999999999986</v>
      </c>
      <c r="E5" s="20">
        <f>IF(C5&gt;1,SQRT(SUMPRODUCT((RII_Data!$A$5:$A$186=A5)*(RII_Data!$E$5:$E$186-D5)^2)/(C5-1)),"")</f>
        <v>2.7486865550254713E-2</v>
      </c>
      <c r="F5" s="13" t="s">
        <v>531</v>
      </c>
    </row>
    <row r="6" spans="1:6" ht="25" x14ac:dyDescent="0.35">
      <c r="A6" s="15" t="s">
        <v>56</v>
      </c>
      <c r="B6" s="9" t="s">
        <v>532</v>
      </c>
      <c r="C6" s="12">
        <f>COUNTIF(RII_Data!$A$5:$A$186,A6)</f>
        <v>14</v>
      </c>
      <c r="D6" s="20">
        <f>AVERAGEIF(RII_Data!$A$5:$A$186,A6,RII_Data!$E$5:$E$186)</f>
        <v>0.70534285714285716</v>
      </c>
      <c r="E6" s="20">
        <f>IF(C6&gt;1,SQRT(SUMPRODUCT((RII_Data!$A$5:$A$186=A6)*(RII_Data!$E$5:$E$186-D6)^2)/(C6-1)),"")</f>
        <v>7.0719921187365947E-2</v>
      </c>
      <c r="F6" s="13" t="s">
        <v>533</v>
      </c>
    </row>
    <row r="7" spans="1:6" x14ac:dyDescent="0.35">
      <c r="A7" s="15" t="s">
        <v>68</v>
      </c>
      <c r="B7" s="9" t="s">
        <v>534</v>
      </c>
      <c r="C7" s="12">
        <f>COUNTIF(RII_Data!$A$5:$A$186,A7)</f>
        <v>40</v>
      </c>
      <c r="D7" s="20">
        <f>AVERAGEIF(RII_Data!$A$5:$A$186,A7,RII_Data!$E$5:$E$186)</f>
        <v>0.72315917500000015</v>
      </c>
      <c r="E7" s="20">
        <f>IF(C7&gt;1,SQRT(SUMPRODUCT((RII_Data!$A$5:$A$186=A7)*(RII_Data!$E$5:$E$186-D7)^2)/(C7-1)),"")</f>
        <v>4.966258450521701E-2</v>
      </c>
      <c r="F7" s="13" t="s">
        <v>535</v>
      </c>
    </row>
    <row r="8" spans="1:6" ht="25" x14ac:dyDescent="0.35">
      <c r="A8" s="15" t="s">
        <v>79</v>
      </c>
      <c r="B8" s="9" t="s">
        <v>532</v>
      </c>
      <c r="C8" s="12">
        <f>COUNTIF(RII_Data!$A$5:$A$186,A8)</f>
        <v>5</v>
      </c>
      <c r="D8" s="20">
        <f>AVERAGEIF(RII_Data!$A$5:$A$186,A8,RII_Data!$E$5:$E$186)</f>
        <v>0.78110000000000013</v>
      </c>
      <c r="E8" s="20">
        <f>IF(C8&gt;1,SQRT(SUMPRODUCT((RII_Data!$A$5:$A$186=A8)*(RII_Data!$E$5:$E$186-D8)^2)/(C8-1)),"")</f>
        <v>7.3422476122778621E-2</v>
      </c>
      <c r="F8" s="13" t="s">
        <v>533</v>
      </c>
    </row>
    <row r="9" spans="1:6" ht="25" x14ac:dyDescent="0.35">
      <c r="A9" s="15" t="s">
        <v>91</v>
      </c>
      <c r="B9" s="9" t="s">
        <v>532</v>
      </c>
      <c r="C9" s="12">
        <f>COUNTIF(RII_Data!$A$5:$A$186,A9)</f>
        <v>5</v>
      </c>
      <c r="D9" s="20">
        <f>AVERAGEIF(RII_Data!$A$5:$A$186,A9,RII_Data!$E$5:$E$186)</f>
        <v>0.80199999999999994</v>
      </c>
      <c r="E9" s="20">
        <f>IF(C9&gt;1,SQRT(SUMPRODUCT((RII_Data!$A$5:$A$186=A9)*(RII_Data!$E$5:$E$186-D9)^2)/(C9-1)),"")</f>
        <v>1.3038404810405271E-2</v>
      </c>
      <c r="F9" s="13" t="s">
        <v>533</v>
      </c>
    </row>
    <row r="10" spans="1:6" x14ac:dyDescent="0.35">
      <c r="A10" s="15" t="s">
        <v>101</v>
      </c>
      <c r="B10" s="9" t="s">
        <v>534</v>
      </c>
      <c r="C10" s="12">
        <f>COUNTIF(RII_Data!$A$5:$A$186,A10)</f>
        <v>33</v>
      </c>
      <c r="D10" s="20">
        <f>AVERAGEIF(RII_Data!$A$5:$A$186,A10,RII_Data!$E$5:$E$186)</f>
        <v>0.70615151515151509</v>
      </c>
      <c r="E10" s="20">
        <f>IF(C10&gt;1,SQRT(SUMPRODUCT((RII_Data!$A$5:$A$186=A10)*(RII_Data!$E$5:$E$186-D10)^2)/(C10-1)),"")</f>
        <v>7.841720203984312E-2</v>
      </c>
      <c r="F10" s="13" t="s">
        <v>536</v>
      </c>
    </row>
    <row r="11" spans="1:6" x14ac:dyDescent="0.35">
      <c r="A11" s="15" t="s">
        <v>113</v>
      </c>
      <c r="B11" s="9" t="s">
        <v>534</v>
      </c>
      <c r="C11" s="12">
        <f>COUNTIF(RII_Data!$A$5:$A$186,A11)</f>
        <v>24</v>
      </c>
      <c r="D11" s="20">
        <f>AVERAGEIF(RII_Data!$A$5:$A$186,A11,RII_Data!$E$5:$E$186)</f>
        <v>0.5930833333333333</v>
      </c>
      <c r="E11" s="20">
        <f>IF(C11&gt;1,SQRT(SUMPRODUCT((RII_Data!$A$5:$A$186=A11)*(RII_Data!$E$5:$E$186-D11)^2)/(C11-1)),"")</f>
        <v>0.10917433870596174</v>
      </c>
      <c r="F11" s="13" t="s">
        <v>537</v>
      </c>
    </row>
    <row r="12" spans="1:6" x14ac:dyDescent="0.35">
      <c r="A12" s="15" t="s">
        <v>123</v>
      </c>
      <c r="B12" s="9" t="s">
        <v>534</v>
      </c>
      <c r="C12" s="12">
        <f>COUNTIF(RII_Data!$A$5:$A$186,A12)</f>
        <v>23</v>
      </c>
      <c r="D12" s="20">
        <f>AVERAGEIF(RII_Data!$A$5:$A$186,A12,RII_Data!$E$5:$E$186)</f>
        <v>0.58656521739130441</v>
      </c>
      <c r="E12" s="20">
        <f>IF(C12&gt;1,SQRT(SUMPRODUCT((RII_Data!$A$5:$A$186=A12)*(RII_Data!$E$5:$E$186-D12)^2)/(C12-1)),"")</f>
        <v>0.10731678936975524</v>
      </c>
      <c r="F12" s="13" t="s">
        <v>538</v>
      </c>
    </row>
    <row r="13" spans="1:6" ht="25" x14ac:dyDescent="0.35">
      <c r="A13" s="15" t="s">
        <v>133</v>
      </c>
      <c r="B13" s="9" t="s">
        <v>532</v>
      </c>
      <c r="C13" s="12">
        <f>COUNTIF(RII_Data!$A$5:$A$186,A13)</f>
        <v>6</v>
      </c>
      <c r="D13" s="20">
        <f>AVERAGEIF(RII_Data!$A$5:$A$186,A13,RII_Data!$E$5:$E$186)</f>
        <v>0.58499999999999996</v>
      </c>
      <c r="E13" s="20">
        <f>IF(C13&gt;1,SQRT(SUMPRODUCT((RII_Data!$A$5:$A$186=A13)*(RII_Data!$E$5:$E$186-D13)^2)/(C13-1)),"")</f>
        <v>5.3434071527443984E-2</v>
      </c>
      <c r="F13" s="13" t="s">
        <v>533</v>
      </c>
    </row>
    <row r="14" spans="1:6" ht="25" x14ac:dyDescent="0.35">
      <c r="A14" s="15" t="s">
        <v>143</v>
      </c>
      <c r="B14" s="9" t="s">
        <v>532</v>
      </c>
      <c r="C14" s="12">
        <f>COUNTIF(RII_Data!$A$5:$A$186,A14)</f>
        <v>2</v>
      </c>
      <c r="D14" s="20">
        <f>AVERAGEIF(RII_Data!$A$5:$A$186,A14,RII_Data!$E$5:$E$186)</f>
        <v>0.755</v>
      </c>
      <c r="E14" s="20">
        <f>IF(C14&gt;1,SQRT(SUMPRODUCT((RII_Data!$A$5:$A$186=A14)*(RII_Data!$E$5:$E$186-D14)^2)/(C14-1)),"")</f>
        <v>3.111269837220812E-2</v>
      </c>
      <c r="F14" s="13" t="s">
        <v>533</v>
      </c>
    </row>
    <row r="15" spans="1:6" ht="25" x14ac:dyDescent="0.35">
      <c r="A15" s="15" t="s">
        <v>154</v>
      </c>
      <c r="B15" s="9" t="s">
        <v>532</v>
      </c>
      <c r="C15" s="12">
        <f>COUNTIF(RII_Data!$A$5:$A$186,A15)</f>
        <v>2</v>
      </c>
      <c r="D15" s="20">
        <f>AVERAGEIF(RII_Data!$A$5:$A$186,A15,RII_Data!$E$5:$E$186)</f>
        <v>0.86499999999999999</v>
      </c>
      <c r="E15" s="20">
        <f>IF(C15&gt;1,SQRT(SUMPRODUCT((RII_Data!$A$5:$A$186=A15)*(RII_Data!$E$5:$E$186-D15)^2)/(C15-1)),"")</f>
        <v>1.2727922061357866E-2</v>
      </c>
      <c r="F15" s="13" t="s">
        <v>533</v>
      </c>
    </row>
    <row r="18" spans="1:13" x14ac:dyDescent="0.35">
      <c r="A18" s="21" t="s">
        <v>539</v>
      </c>
    </row>
    <row r="19" spans="1:13" x14ac:dyDescent="0.35">
      <c r="A19" s="6" t="s">
        <v>421</v>
      </c>
      <c r="B19" s="6" t="s">
        <v>540</v>
      </c>
      <c r="C19" s="6" t="s">
        <v>68</v>
      </c>
      <c r="D19" s="6" t="s">
        <v>101</v>
      </c>
      <c r="E19" s="6" t="s">
        <v>123</v>
      </c>
      <c r="F19" s="6" t="s">
        <v>113</v>
      </c>
      <c r="G19" s="6" t="s">
        <v>42</v>
      </c>
      <c r="H19" s="6" t="s">
        <v>541</v>
      </c>
      <c r="I19" s="6" t="s">
        <v>542</v>
      </c>
      <c r="J19" s="6" t="s">
        <v>543</v>
      </c>
      <c r="K19" s="6" t="s">
        <v>544</v>
      </c>
      <c r="L19" s="6" t="s">
        <v>545</v>
      </c>
      <c r="M19" s="6" t="s">
        <v>546</v>
      </c>
    </row>
    <row r="20" spans="1:13" ht="25" x14ac:dyDescent="0.35">
      <c r="A20" s="15" t="s">
        <v>183</v>
      </c>
      <c r="B20" s="16" t="s">
        <v>428</v>
      </c>
      <c r="C20" s="14" t="str">
        <f>IFERROR(AVERAGEIFS(RII_Data!$K$5:$K$186,RII_Data!$A$5:$A$186,"M06",RII_Data!$G$5:$G$186,$A20,RII_Data!$H$5:$H$186,"Direct"),"")</f>
        <v/>
      </c>
      <c r="D20" s="14">
        <f>IFERROR(AVERAGEIFS(RII_Data!$K$5:$K$186,RII_Data!$A$5:$A$186,"M10",RII_Data!$G$5:$G$186,$A20,RII_Data!$H$5:$H$186,"Direct"),"")</f>
        <v>0.87797680939321965</v>
      </c>
      <c r="E20" s="14">
        <f>IFERROR(AVERAGEIFS(RII_Data!$K$5:$K$186,RII_Data!$A$5:$A$186,"M14",RII_Data!$G$5:$G$186,$A20,RII_Data!$H$5:$H$186,"Direct"),"")</f>
        <v>-0.73208691624766586</v>
      </c>
      <c r="F20" s="14">
        <f>IFERROR(AVERAGEIFS(RII_Data!$K$5:$K$186,RII_Data!$A$5:$A$186,"M15",RII_Data!$G$5:$G$186,$A20,RII_Data!$H$5:$H$186,"Direct"),"")</f>
        <v>-0.24196772776260542</v>
      </c>
      <c r="G20" s="14">
        <f>IFERROR(AVERAGEIFS(RII_Data!$K$5:$K$186,RII_Data!$A$5:$A$186,"M01",RII_Data!$G$5:$G$186,$A20,RII_Data!$H$5:$H$186,"Direct"),"")</f>
        <v>1.0459541102435286</v>
      </c>
      <c r="H20" s="12">
        <f t="shared" ref="H20:H57" si="0">COUNT(C20:F20)</f>
        <v>3</v>
      </c>
      <c r="I20" s="26">
        <f t="shared" ref="I20:I57" si="1">IF(H20=0,"",AVERAGE(C20:F20))</f>
        <v>-3.2025944872350547E-2</v>
      </c>
      <c r="J20" s="12">
        <f t="shared" ref="J20:J57" si="2">IF(I20="","",RANK(I20,$I$20:$I$57,0))</f>
        <v>16</v>
      </c>
      <c r="K20" s="12">
        <f t="shared" ref="K20:K57" si="3">COUNT(C20:G20)</f>
        <v>4</v>
      </c>
      <c r="L20" s="26">
        <f t="shared" ref="L20:L57" si="4">IF(K20=0,"",AVERAGE(C20:G20))</f>
        <v>0.23746906890661923</v>
      </c>
      <c r="M20" s="12">
        <f t="shared" ref="M20:M57" si="5">IF(L20="","",RANK(L20,$L$20:$L$57,0))</f>
        <v>15</v>
      </c>
    </row>
    <row r="21" spans="1:13" x14ac:dyDescent="0.35">
      <c r="A21" s="15" t="s">
        <v>201</v>
      </c>
      <c r="B21" s="16" t="s">
        <v>429</v>
      </c>
      <c r="C21" s="14" t="str">
        <f>IFERROR(AVERAGEIFS(RII_Data!$K$5:$K$186,RII_Data!$A$5:$A$186,"M06",RII_Data!$G$5:$G$186,$A21,RII_Data!$H$5:$H$186,"Direct"),"")</f>
        <v/>
      </c>
      <c r="D21" s="14">
        <f>IFERROR(AVERAGEIFS(RII_Data!$K$5:$K$186,RII_Data!$A$5:$A$186,"M10",RII_Data!$G$5:$G$186,$A21,RII_Data!$H$5:$H$186,"Direct"),"")</f>
        <v>-0.19321672741928206</v>
      </c>
      <c r="E21" s="14">
        <f>IFERROR(AVERAGEIFS(RII_Data!$K$5:$K$186,RII_Data!$A$5:$A$186,"M14",RII_Data!$G$5:$G$186,$A21,RII_Data!$H$5:$H$186,"Direct"),"")</f>
        <v>0.95450845306004306</v>
      </c>
      <c r="F21" s="14">
        <f>IFERROR(AVERAGEIFS(RII_Data!$K$5:$K$186,RII_Data!$A$5:$A$186,"M15",RII_Data!$G$5:$G$186,$A21,RII_Data!$H$5:$H$186,"Direct"),"")</f>
        <v>-1.4479898409011454</v>
      </c>
      <c r="G21" s="14">
        <f>IFERROR(AVERAGEIFS(RII_Data!$K$5:$K$186,RII_Data!$A$5:$A$186,"M01",RII_Data!$G$5:$G$186,$A21,RII_Data!$H$5:$H$186,"Direct"),"")</f>
        <v>-0.10004778445807111</v>
      </c>
      <c r="H21" s="12">
        <f t="shared" si="0"/>
        <v>3</v>
      </c>
      <c r="I21" s="26">
        <f t="shared" si="1"/>
        <v>-0.22889937175346145</v>
      </c>
      <c r="J21" s="12">
        <f t="shared" si="2"/>
        <v>20</v>
      </c>
      <c r="K21" s="12">
        <f t="shared" si="3"/>
        <v>4</v>
      </c>
      <c r="L21" s="26">
        <f t="shared" si="4"/>
        <v>-0.19668647492961389</v>
      </c>
      <c r="M21" s="12">
        <f t="shared" si="5"/>
        <v>21</v>
      </c>
    </row>
    <row r="22" spans="1:13" x14ac:dyDescent="0.35">
      <c r="A22" s="15" t="s">
        <v>216</v>
      </c>
      <c r="B22" s="16" t="s">
        <v>430</v>
      </c>
      <c r="C22" s="14" t="str">
        <f>IFERROR(AVERAGEIFS(RII_Data!$K$5:$K$186,RII_Data!$A$5:$A$186,"M06",RII_Data!$G$5:$G$186,$A22,RII_Data!$H$5:$H$186,"Direct"),"")</f>
        <v/>
      </c>
      <c r="D22" s="14">
        <f>IFERROR(AVERAGEIFS(RII_Data!$K$5:$K$186,RII_Data!$A$5:$A$186,"M10",RII_Data!$G$5:$G$186,$A22,RII_Data!$H$5:$H$186,"Direct"),"")</f>
        <v>-0.58853815171913249</v>
      </c>
      <c r="E22" s="14" t="str">
        <f>IFERROR(AVERAGEIFS(RII_Data!$K$5:$K$186,RII_Data!$A$5:$A$186,"M14",RII_Data!$G$5:$G$186,$A22,RII_Data!$H$5:$H$186,"Direct"),"")</f>
        <v/>
      </c>
      <c r="F22" s="14" t="str">
        <f>IFERROR(AVERAGEIFS(RII_Data!$K$5:$K$186,RII_Data!$A$5:$A$186,"M15",RII_Data!$G$5:$G$186,$A22,RII_Data!$H$5:$H$186,"Direct"),"")</f>
        <v/>
      </c>
      <c r="G22" s="14">
        <f>IFERROR(AVERAGEIFS(RII_Data!$K$5:$K$186,RII_Data!$A$5:$A$186,"M01",RII_Data!$G$5:$G$186,$A22,RII_Data!$H$5:$H$186,"Direct"),"")</f>
        <v>-0.91862056638778511</v>
      </c>
      <c r="H22" s="12">
        <f t="shared" si="0"/>
        <v>1</v>
      </c>
      <c r="I22" s="26">
        <f t="shared" si="1"/>
        <v>-0.58853815171913249</v>
      </c>
      <c r="J22" s="12">
        <f t="shared" si="2"/>
        <v>26</v>
      </c>
      <c r="K22" s="12">
        <f t="shared" si="3"/>
        <v>2</v>
      </c>
      <c r="L22" s="26">
        <f t="shared" si="4"/>
        <v>-0.75357935905345874</v>
      </c>
      <c r="M22" s="12">
        <f t="shared" si="5"/>
        <v>30</v>
      </c>
    </row>
    <row r="23" spans="1:13" x14ac:dyDescent="0.35">
      <c r="A23" s="15" t="s">
        <v>190</v>
      </c>
      <c r="B23" s="16" t="s">
        <v>431</v>
      </c>
      <c r="C23" s="14" t="str">
        <f>IFERROR(AVERAGEIFS(RII_Data!$K$5:$K$186,RII_Data!$A$5:$A$186,"M06",RII_Data!$G$5:$G$186,$A23,RII_Data!$H$5:$H$186,"Direct"),"")</f>
        <v/>
      </c>
      <c r="D23" s="14">
        <f>IFERROR(AVERAGEIFS(RII_Data!$K$5:$K$186,RII_Data!$A$5:$A$186,"M10",RII_Data!$G$5:$G$186,$A23,RII_Data!$H$5:$H$186,"Direct"),"")</f>
        <v>1.2095367136447082</v>
      </c>
      <c r="E23" s="14">
        <f>IFERROR(AVERAGEIFS(RII_Data!$K$5:$K$186,RII_Data!$A$5:$A$186,"M14",RII_Data!$G$5:$G$186,$A23,RII_Data!$H$5:$H$186,"Direct"),"")</f>
        <v>-0.59231381934371186</v>
      </c>
      <c r="F23" s="14">
        <f>IFERROR(AVERAGEIFS(RII_Data!$K$5:$K$186,RII_Data!$A$5:$A$186,"M15",RII_Data!$G$5:$G$186,$A23,RII_Data!$H$5:$H$186,"Direct"),"")</f>
        <v>1.1167154123554961</v>
      </c>
      <c r="G23" s="14">
        <f>IFERROR(AVERAGEIFS(RII_Data!$K$5:$K$186,RII_Data!$A$5:$A$186,"M01",RII_Data!$G$5:$G$186,$A23,RII_Data!$H$5:$H$186,"Direct"),"")</f>
        <v>0.39109588469975731</v>
      </c>
      <c r="H23" s="12">
        <f t="shared" si="0"/>
        <v>3</v>
      </c>
      <c r="I23" s="26">
        <f t="shared" si="1"/>
        <v>0.57797943555216413</v>
      </c>
      <c r="J23" s="12">
        <f t="shared" si="2"/>
        <v>10</v>
      </c>
      <c r="K23" s="12">
        <f t="shared" si="3"/>
        <v>4</v>
      </c>
      <c r="L23" s="26">
        <f t="shared" si="4"/>
        <v>0.53125854783906246</v>
      </c>
      <c r="M23" s="12">
        <f t="shared" si="5"/>
        <v>10</v>
      </c>
    </row>
    <row r="24" spans="1:13" x14ac:dyDescent="0.35">
      <c r="A24" s="15" t="s">
        <v>178</v>
      </c>
      <c r="B24" s="16" t="s">
        <v>432</v>
      </c>
      <c r="C24" s="14">
        <f>IFERROR(AVERAGEIFS(RII_Data!$K$5:$K$186,RII_Data!$A$5:$A$186,"M06",RII_Data!$G$5:$G$186,$A24,RII_Data!$H$5:$H$186,"Direct"),"")</f>
        <v>0.80593520048871492</v>
      </c>
      <c r="D24" s="14">
        <f>IFERROR(AVERAGEIFS(RII_Data!$K$5:$K$186,RII_Data!$A$5:$A$186,"M10",RII_Data!$G$5:$G$186,$A24,RII_Data!$H$5:$H$186,"Direct"),"")</f>
        <v>-0.10395059935157359</v>
      </c>
      <c r="E24" s="14">
        <f>IFERROR(AVERAGEIFS(RII_Data!$K$5:$K$186,RII_Data!$A$5:$A$186,"M14",RII_Data!$G$5:$G$186,$A24,RII_Data!$H$5:$H$186,"Direct"),"")</f>
        <v>-1.0395877294363645</v>
      </c>
      <c r="F24" s="14">
        <f>IFERROR(AVERAGEIFS(RII_Data!$K$5:$K$186,RII_Data!$A$5:$A$186,"M15",RII_Data!$G$5:$G$186,$A24,RII_Data!$H$5:$H$186,"Direct"),"")</f>
        <v>0.42974079094746753</v>
      </c>
      <c r="G24" s="14">
        <f>IFERROR(AVERAGEIFS(RII_Data!$K$5:$K$186,RII_Data!$A$5:$A$186,"M01",RII_Data!$G$5:$G$186,$A24,RII_Data!$H$5:$H$186,"Direct"),"")</f>
        <v>1.5552882856664618</v>
      </c>
      <c r="H24" s="12">
        <f t="shared" si="0"/>
        <v>4</v>
      </c>
      <c r="I24" s="26">
        <f t="shared" si="1"/>
        <v>2.3034415662061103E-2</v>
      </c>
      <c r="J24" s="12">
        <f t="shared" si="2"/>
        <v>14</v>
      </c>
      <c r="K24" s="12">
        <f t="shared" si="3"/>
        <v>5</v>
      </c>
      <c r="L24" s="26">
        <f t="shared" si="4"/>
        <v>0.32948518966294127</v>
      </c>
      <c r="M24" s="12">
        <f t="shared" si="5"/>
        <v>13</v>
      </c>
    </row>
    <row r="25" spans="1:13" x14ac:dyDescent="0.35">
      <c r="A25" s="15" t="s">
        <v>175</v>
      </c>
      <c r="B25" s="16" t="s">
        <v>433</v>
      </c>
      <c r="C25" s="14" t="str">
        <f>IFERROR(AVERAGEIFS(RII_Data!$K$5:$K$186,RII_Data!$A$5:$A$186,"M06",RII_Data!$G$5:$G$186,$A25,RII_Data!$H$5:$H$186,"Direct"),"")</f>
        <v/>
      </c>
      <c r="D25" s="14" t="str">
        <f>IFERROR(AVERAGEIFS(RII_Data!$K$5:$K$186,RII_Data!$A$5:$A$186,"M10",RII_Data!$G$5:$G$186,$A25,RII_Data!$H$5:$H$186,"Direct"),"")</f>
        <v/>
      </c>
      <c r="E25" s="14">
        <f>IFERROR(AVERAGEIFS(RII_Data!$K$5:$K$186,RII_Data!$A$5:$A$186,"M14",RII_Data!$G$5:$G$186,$A25,RII_Data!$H$5:$H$186,"Direct"),"")</f>
        <v>-1.1793608263403179</v>
      </c>
      <c r="F25" s="14" t="str">
        <f>IFERROR(AVERAGEIFS(RII_Data!$K$5:$K$186,RII_Data!$A$5:$A$186,"M15",RII_Data!$G$5:$G$186,$A25,RII_Data!$H$5:$H$186,"Direct"),"")</f>
        <v/>
      </c>
      <c r="G25" s="14">
        <f>IFERROR(AVERAGEIFS(RII_Data!$K$5:$K$186,RII_Data!$A$5:$A$186,"M01",RII_Data!$G$5:$G$186,$A25,RII_Data!$H$5:$H$186,"Direct"),"")</f>
        <v>1.3915737292805188</v>
      </c>
      <c r="H25" s="12">
        <f t="shared" si="0"/>
        <v>1</v>
      </c>
      <c r="I25" s="26">
        <f t="shared" si="1"/>
        <v>-1.1793608263403179</v>
      </c>
      <c r="J25" s="12">
        <f t="shared" si="2"/>
        <v>31</v>
      </c>
      <c r="K25" s="12">
        <f t="shared" si="3"/>
        <v>2</v>
      </c>
      <c r="L25" s="26">
        <f t="shared" si="4"/>
        <v>0.10610645147010045</v>
      </c>
      <c r="M25" s="12">
        <f t="shared" si="5"/>
        <v>16</v>
      </c>
    </row>
    <row r="26" spans="1:13" x14ac:dyDescent="0.35">
      <c r="A26" s="15" t="s">
        <v>188</v>
      </c>
      <c r="B26" s="16" t="s">
        <v>434</v>
      </c>
      <c r="C26" s="14">
        <f>IFERROR(AVERAGEIFS(RII_Data!$K$5:$K$186,RII_Data!$A$5:$A$186,"M06",RII_Data!$G$5:$G$186,$A26,RII_Data!$H$5:$H$186,"Direct"),"")</f>
        <v>-1.3378920098896663</v>
      </c>
      <c r="D26" s="14">
        <f>IFERROR(AVERAGEIFS(RII_Data!$K$5:$K$186,RII_Data!$A$5:$A$186,"M10",RII_Data!$G$5:$G$186,$A26,RII_Data!$H$5:$H$186,"Direct"),"")</f>
        <v>0.11283856881286128</v>
      </c>
      <c r="E26" s="14">
        <f>IFERROR(AVERAGEIFS(RII_Data!$K$5:$K$186,RII_Data!$A$5:$A$186,"M14",RII_Data!$G$5:$G$186,$A26,RII_Data!$H$5:$H$186,"Direct"),"")</f>
        <v>0.52587095588791866</v>
      </c>
      <c r="F26" s="14">
        <f>IFERROR(AVERAGEIFS(RII_Data!$K$5:$K$186,RII_Data!$A$5:$A$186,"M15",RII_Data!$G$5:$G$186,$A26,RII_Data!$H$5:$H$186,"Direct"),"")</f>
        <v>-1.0816033761501966</v>
      </c>
      <c r="G26" s="14">
        <f>IFERROR(AVERAGEIFS(RII_Data!$K$5:$K$186,RII_Data!$A$5:$A$186,"M01",RII_Data!$G$5:$G$186,$A26,RII_Data!$H$5:$H$186,"Direct"),"")</f>
        <v>0.57300094735080487</v>
      </c>
      <c r="H26" s="12">
        <f t="shared" si="0"/>
        <v>4</v>
      </c>
      <c r="I26" s="26">
        <f t="shared" si="1"/>
        <v>-0.44519646533477075</v>
      </c>
      <c r="J26" s="12">
        <f t="shared" si="2"/>
        <v>24</v>
      </c>
      <c r="K26" s="12">
        <f t="shared" si="3"/>
        <v>5</v>
      </c>
      <c r="L26" s="26">
        <f t="shared" si="4"/>
        <v>-0.24155698279765564</v>
      </c>
      <c r="M26" s="12">
        <f t="shared" si="5"/>
        <v>22</v>
      </c>
    </row>
    <row r="27" spans="1:13" x14ac:dyDescent="0.35">
      <c r="A27" s="15" t="s">
        <v>210</v>
      </c>
      <c r="B27" s="16" t="s">
        <v>435</v>
      </c>
      <c r="C27" s="14">
        <f>IFERROR(AVERAGEIFS(RII_Data!$K$5:$K$186,RII_Data!$A$5:$A$186,"M06",RII_Data!$G$5:$G$186,$A27,RII_Data!$H$5:$H$186,"Direct"),"")</f>
        <v>1.0663928494183879</v>
      </c>
      <c r="D27" s="14">
        <f>IFERROR(AVERAGEIFS(RII_Data!$K$5:$K$186,RII_Data!$A$5:$A$186,"M10",RII_Data!$G$5:$G$186,$A27,RII_Data!$H$5:$H$186,"Direct"),"")</f>
        <v>0.69944455325780264</v>
      </c>
      <c r="E27" s="14" t="str">
        <f>IFERROR(AVERAGEIFS(RII_Data!$K$5:$K$186,RII_Data!$A$5:$A$186,"M14",RII_Data!$G$5:$G$186,$A27,RII_Data!$H$5:$H$186,"Direct"),"")</f>
        <v/>
      </c>
      <c r="F27" s="14">
        <f>IFERROR(AVERAGEIFS(RII_Data!$K$5:$K$186,RII_Data!$A$5:$A$186,"M15",RII_Data!$G$5:$G$186,$A27,RII_Data!$H$5:$H$186,"Direct"),"")</f>
        <v>1.4373035690125766</v>
      </c>
      <c r="G27" s="14">
        <f>IFERROR(AVERAGEIFS(RII_Data!$K$5:$K$186,RII_Data!$A$5:$A$186,"M01",RII_Data!$G$5:$G$186,$A27,RII_Data!$H$5:$H$186,"Direct"),"")</f>
        <v>-0.44566740349506145</v>
      </c>
      <c r="H27" s="12">
        <f t="shared" si="0"/>
        <v>3</v>
      </c>
      <c r="I27" s="26">
        <f t="shared" si="1"/>
        <v>1.0677136572295891</v>
      </c>
      <c r="J27" s="12">
        <f t="shared" si="2"/>
        <v>3</v>
      </c>
      <c r="K27" s="12">
        <f t="shared" si="3"/>
        <v>4</v>
      </c>
      <c r="L27" s="26">
        <f t="shared" si="4"/>
        <v>0.68936839204842637</v>
      </c>
      <c r="M27" s="12">
        <f t="shared" si="5"/>
        <v>8</v>
      </c>
    </row>
    <row r="28" spans="1:13" x14ac:dyDescent="0.35">
      <c r="A28" s="15" t="s">
        <v>185</v>
      </c>
      <c r="B28" s="16" t="s">
        <v>184</v>
      </c>
      <c r="C28" s="14">
        <f>IFERROR(AVERAGEIFS(RII_Data!$K$5:$K$186,RII_Data!$A$5:$A$186,"M06",RII_Data!$G$5:$G$186,$A28,RII_Data!$H$5:$H$186,"Direct"),"")</f>
        <v>0.9662168305992842</v>
      </c>
      <c r="D28" s="14">
        <f>IFERROR(AVERAGEIFS(RII_Data!$K$5:$K$186,RII_Data!$A$5:$A$186,"M10",RII_Data!$G$5:$G$186,$A28,RII_Data!$H$5:$H$186,"Direct"),"")</f>
        <v>0.57192151316107631</v>
      </c>
      <c r="E28" s="14">
        <f>IFERROR(AVERAGEIFS(RII_Data!$K$5:$K$186,RII_Data!$A$5:$A$186,"M14",RII_Data!$G$5:$G$186,$A28,RII_Data!$H$5:$H$186,"Direct"),"")</f>
        <v>1.2061000274871601</v>
      </c>
      <c r="F28" s="14" t="str">
        <f>IFERROR(AVERAGEIFS(RII_Data!$K$5:$K$186,RII_Data!$A$5:$A$186,"M15",RII_Data!$G$5:$G$186,$A28,RII_Data!$H$5:$H$186,"Direct"),"")</f>
        <v/>
      </c>
      <c r="G28" s="14">
        <f>IFERROR(AVERAGEIFS(RII_Data!$K$5:$K$186,RII_Data!$A$5:$A$186,"M01",RII_Data!$G$5:$G$186,$A28,RII_Data!$H$5:$H$186,"Direct"),"")</f>
        <v>0.90043006012269045</v>
      </c>
      <c r="H28" s="12">
        <f t="shared" si="0"/>
        <v>3</v>
      </c>
      <c r="I28" s="26">
        <f t="shared" si="1"/>
        <v>0.91474612374917363</v>
      </c>
      <c r="J28" s="12">
        <f t="shared" si="2"/>
        <v>7</v>
      </c>
      <c r="K28" s="12">
        <f t="shared" si="3"/>
        <v>4</v>
      </c>
      <c r="L28" s="26">
        <f t="shared" si="4"/>
        <v>0.91116710784255284</v>
      </c>
      <c r="M28" s="12">
        <f t="shared" si="5"/>
        <v>3</v>
      </c>
    </row>
    <row r="29" spans="1:13" x14ac:dyDescent="0.35">
      <c r="A29" s="15" t="s">
        <v>213</v>
      </c>
      <c r="B29" s="16" t="s">
        <v>436</v>
      </c>
      <c r="C29" s="14">
        <f>IFERROR(AVERAGEIFS(RII_Data!$K$5:$K$186,RII_Data!$A$5:$A$186,"M06",RII_Data!$G$5:$G$186,$A29,RII_Data!$H$5:$H$186,"Direct"),"")</f>
        <v>1.2467298191759555</v>
      </c>
      <c r="D29" s="14">
        <f>IFERROR(AVERAGEIFS(RII_Data!$K$5:$K$186,RII_Data!$A$5:$A$186,"M10",RII_Data!$G$5:$G$186,$A29,RII_Data!$H$5:$H$186,"Direct"),"")</f>
        <v>0.88435296139805597</v>
      </c>
      <c r="E29" s="14" t="str">
        <f>IFERROR(AVERAGEIFS(RII_Data!$K$5:$K$186,RII_Data!$A$5:$A$186,"M14",RII_Data!$G$5:$G$186,$A29,RII_Data!$H$5:$H$186,"Direct"),"")</f>
        <v/>
      </c>
      <c r="F29" s="14">
        <f>IFERROR(AVERAGEIFS(RII_Data!$K$5:$K$186,RII_Data!$A$5:$A$186,"M15",RII_Data!$G$5:$G$186,$A29,RII_Data!$H$5:$H$186,"Direct"),"")</f>
        <v>0.9106230259330873</v>
      </c>
      <c r="G29" s="14">
        <f>IFERROR(AVERAGEIFS(RII_Data!$K$5:$K$186,RII_Data!$A$5:$A$186,"M01",RII_Data!$G$5:$G$186,$A29,RII_Data!$H$5:$H$186,"Direct"),"")</f>
        <v>-0.59119145361589953</v>
      </c>
      <c r="H29" s="12">
        <f t="shared" si="0"/>
        <v>3</v>
      </c>
      <c r="I29" s="26">
        <f t="shared" si="1"/>
        <v>1.0139019355023662</v>
      </c>
      <c r="J29" s="12">
        <f t="shared" si="2"/>
        <v>4</v>
      </c>
      <c r="K29" s="12">
        <f t="shared" si="3"/>
        <v>4</v>
      </c>
      <c r="L29" s="26">
        <f t="shared" si="4"/>
        <v>0.61262858822279975</v>
      </c>
      <c r="M29" s="12">
        <f t="shared" si="5"/>
        <v>9</v>
      </c>
    </row>
    <row r="30" spans="1:13" x14ac:dyDescent="0.35">
      <c r="A30" s="15" t="s">
        <v>192</v>
      </c>
      <c r="B30" s="16" t="s">
        <v>437</v>
      </c>
      <c r="C30" s="14" t="str">
        <f>IFERROR(AVERAGEIFS(RII_Data!$K$5:$K$186,RII_Data!$A$5:$A$186,"M06",RII_Data!$G$5:$G$186,$A30,RII_Data!$H$5:$H$186,"Direct"),"")</f>
        <v/>
      </c>
      <c r="D30" s="14">
        <f>IFERROR(AVERAGEIFS(RII_Data!$K$5:$K$186,RII_Data!$A$5:$A$186,"M10",RII_Data!$G$5:$G$186,$A30,RII_Data!$H$5:$H$186,"Direct"),"")</f>
        <v>1.4008212737897965</v>
      </c>
      <c r="E30" s="14">
        <f>IFERROR(AVERAGEIFS(RII_Data!$K$5:$K$186,RII_Data!$A$5:$A$186,"M14",RII_Data!$G$5:$G$186,$A30,RII_Data!$H$5:$H$186,"Direct"),"")</f>
        <v>1.2433728533282145</v>
      </c>
      <c r="F30" s="14" t="str">
        <f>IFERROR(AVERAGEIFS(RII_Data!$K$5:$K$186,RII_Data!$A$5:$A$186,"M15",RII_Data!$G$5:$G$186,$A30,RII_Data!$H$5:$H$186,"Direct"),"")</f>
        <v/>
      </c>
      <c r="G30" s="14">
        <f>IFERROR(AVERAGEIFS(RII_Data!$K$5:$K$186,RII_Data!$A$5:$A$186,"M01",RII_Data!$G$5:$G$186,$A30,RII_Data!$H$5:$H$186,"Direct"),"")</f>
        <v>-0.15461930325338535</v>
      </c>
      <c r="H30" s="12">
        <f t="shared" si="0"/>
        <v>2</v>
      </c>
      <c r="I30" s="26">
        <f t="shared" si="1"/>
        <v>1.3220970635590055</v>
      </c>
      <c r="J30" s="12">
        <f t="shared" si="2"/>
        <v>1</v>
      </c>
      <c r="K30" s="12">
        <f t="shared" si="3"/>
        <v>3</v>
      </c>
      <c r="L30" s="26">
        <f t="shared" si="4"/>
        <v>0.82985827462154182</v>
      </c>
      <c r="M30" s="12">
        <f t="shared" si="5"/>
        <v>4</v>
      </c>
    </row>
    <row r="31" spans="1:13" x14ac:dyDescent="0.35">
      <c r="A31" s="15" t="s">
        <v>208</v>
      </c>
      <c r="B31" s="16" t="s">
        <v>438</v>
      </c>
      <c r="C31" s="14" t="str">
        <f>IFERROR(AVERAGEIFS(RII_Data!$K$5:$K$186,RII_Data!$A$5:$A$186,"M06",RII_Data!$G$5:$G$186,$A31,RII_Data!$H$5:$H$186,"Direct"),"")</f>
        <v/>
      </c>
      <c r="D31" s="14">
        <f>IFERROR(AVERAGEIFS(RII_Data!$K$5:$K$186,RII_Data!$A$5:$A$186,"M10",RII_Data!$G$5:$G$186,$A31,RII_Data!$H$5:$H$186,"Direct"),"")</f>
        <v>3.6324744754825437E-2</v>
      </c>
      <c r="E31" s="14">
        <f>IFERROR(AVERAGEIFS(RII_Data!$K$5:$K$186,RII_Data!$A$5:$A$186,"M14",RII_Data!$G$5:$G$186,$A31,RII_Data!$H$5:$H$186,"Direct"),"")</f>
        <v>-1.1886790328005814</v>
      </c>
      <c r="F31" s="14" t="str">
        <f>IFERROR(AVERAGEIFS(RII_Data!$K$5:$K$186,RII_Data!$A$5:$A$186,"M15",RII_Data!$G$5:$G$186,$A31,RII_Data!$H$5:$H$186,"Direct"),"")</f>
        <v/>
      </c>
      <c r="G31" s="14">
        <f>IFERROR(AVERAGEIFS(RII_Data!$K$5:$K$186,RII_Data!$A$5:$A$186,"M01",RII_Data!$G$5:$G$186,$A31,RII_Data!$H$5:$H$186,"Direct"),"")</f>
        <v>-0.44566740349506145</v>
      </c>
      <c r="H31" s="12">
        <f t="shared" si="0"/>
        <v>2</v>
      </c>
      <c r="I31" s="26">
        <f t="shared" si="1"/>
        <v>-0.57617714402287801</v>
      </c>
      <c r="J31" s="12">
        <f t="shared" si="2"/>
        <v>25</v>
      </c>
      <c r="K31" s="12">
        <f t="shared" si="3"/>
        <v>3</v>
      </c>
      <c r="L31" s="26">
        <f t="shared" si="4"/>
        <v>-0.53267389718027247</v>
      </c>
      <c r="M31" s="12">
        <f t="shared" si="5"/>
        <v>26</v>
      </c>
    </row>
    <row r="32" spans="1:13" x14ac:dyDescent="0.35">
      <c r="A32" s="15" t="s">
        <v>181</v>
      </c>
      <c r="B32" s="16" t="s">
        <v>439</v>
      </c>
      <c r="C32" s="14" t="str">
        <f>IFERROR(AVERAGEIFS(RII_Data!$K$5:$K$186,RII_Data!$A$5:$A$186,"M06",RII_Data!$G$5:$G$186,$A32,RII_Data!$H$5:$H$186,"Direct"),"")</f>
        <v/>
      </c>
      <c r="D32" s="14">
        <f>IFERROR(AVERAGEIFS(RII_Data!$K$5:$K$186,RII_Data!$A$5:$A$186,"M10",RII_Data!$G$5:$G$186,$A32,RII_Data!$H$5:$H$186,"Direct"),"")</f>
        <v>0.69306840125296643</v>
      </c>
      <c r="E32" s="14">
        <f>IFERROR(AVERAGEIFS(RII_Data!$K$5:$K$186,RII_Data!$A$5:$A$186,"M14",RII_Data!$G$5:$G$186,$A32,RII_Data!$H$5:$H$186,"Direct"),"")</f>
        <v>1.2946229888596643</v>
      </c>
      <c r="F32" s="14" t="str">
        <f>IFERROR(AVERAGEIFS(RII_Data!$K$5:$K$186,RII_Data!$A$5:$A$186,"M15",RII_Data!$G$5:$G$186,$A32,RII_Data!$H$5:$H$186,"Direct"),"")</f>
        <v/>
      </c>
      <c r="G32" s="14">
        <f>IFERROR(AVERAGEIFS(RII_Data!$K$5:$K$186,RII_Data!$A$5:$A$186,"M01",RII_Data!$G$5:$G$186,$A32,RII_Data!$H$5:$H$186,"Direct"),"")</f>
        <v>0.13642879698829075</v>
      </c>
      <c r="H32" s="12">
        <f t="shared" si="0"/>
        <v>2</v>
      </c>
      <c r="I32" s="26">
        <f t="shared" si="1"/>
        <v>0.99384569505631537</v>
      </c>
      <c r="J32" s="12">
        <f t="shared" si="2"/>
        <v>5</v>
      </c>
      <c r="K32" s="12">
        <f t="shared" si="3"/>
        <v>3</v>
      </c>
      <c r="L32" s="26">
        <f t="shared" si="4"/>
        <v>0.70804006236697381</v>
      </c>
      <c r="M32" s="12">
        <f t="shared" si="5"/>
        <v>6</v>
      </c>
    </row>
    <row r="33" spans="1:13" x14ac:dyDescent="0.35">
      <c r="A33" s="15" t="s">
        <v>205</v>
      </c>
      <c r="B33" s="16" t="s">
        <v>440</v>
      </c>
      <c r="C33" s="14">
        <f>IFERROR(AVERAGEIFS(RII_Data!$K$5:$K$186,RII_Data!$A$5:$A$186,"M06",RII_Data!$G$5:$G$186,$A33,RII_Data!$H$5:$H$186,"Direct"),"")</f>
        <v>-0.71678055732803625</v>
      </c>
      <c r="D33" s="14">
        <f>IFERROR(AVERAGEIFS(RII_Data!$K$5:$K$186,RII_Data!$A$5:$A$186,"M10",RII_Data!$G$5:$G$186,$A33,RII_Data!$H$5:$H$186,"Direct"),"")</f>
        <v>-0.12945520737091887</v>
      </c>
      <c r="E33" s="14" t="str">
        <f>IFERROR(AVERAGEIFS(RII_Data!$K$5:$K$186,RII_Data!$A$5:$A$186,"M14",RII_Data!$G$5:$G$186,$A33,RII_Data!$H$5:$H$186,"Direct"),"")</f>
        <v/>
      </c>
      <c r="F33" s="14" t="str">
        <f>IFERROR(AVERAGEIFS(RII_Data!$K$5:$K$186,RII_Data!$A$5:$A$186,"M15",RII_Data!$G$5:$G$186,$A33,RII_Data!$H$5:$H$186,"Direct"),"")</f>
        <v/>
      </c>
      <c r="G33" s="14">
        <f>IFERROR(AVERAGEIFS(RII_Data!$K$5:$K$186,RII_Data!$A$5:$A$186,"M01",RII_Data!$G$5:$G$186,$A33,RII_Data!$H$5:$H$186,"Direct"),"")</f>
        <v>-0.84585854132736615</v>
      </c>
      <c r="H33" s="12">
        <f t="shared" si="0"/>
        <v>2</v>
      </c>
      <c r="I33" s="26">
        <f t="shared" si="1"/>
        <v>-0.42311788234947756</v>
      </c>
      <c r="J33" s="12">
        <f t="shared" si="2"/>
        <v>23</v>
      </c>
      <c r="K33" s="12">
        <f t="shared" si="3"/>
        <v>3</v>
      </c>
      <c r="L33" s="26">
        <f t="shared" si="4"/>
        <v>-0.56403143534210709</v>
      </c>
      <c r="M33" s="12">
        <f t="shared" si="5"/>
        <v>27</v>
      </c>
    </row>
    <row r="34" spans="1:13" x14ac:dyDescent="0.35">
      <c r="A34" s="15" t="s">
        <v>229</v>
      </c>
      <c r="B34" s="16" t="s">
        <v>441</v>
      </c>
      <c r="C34" s="14" t="str">
        <f>IFERROR(AVERAGEIFS(RII_Data!$K$5:$K$186,RII_Data!$A$5:$A$186,"M06",RII_Data!$G$5:$G$186,$A34,RII_Data!$H$5:$H$186,"Direct"),"")</f>
        <v/>
      </c>
      <c r="D34" s="14">
        <f>IFERROR(AVERAGEIFS(RII_Data!$K$5:$K$186,RII_Data!$A$5:$A$186,"M10",RII_Data!$G$5:$G$186,$A34,RII_Data!$H$5:$H$186,"Direct"),"")</f>
        <v>0.2148570008902424</v>
      </c>
      <c r="E34" s="14">
        <f>IFERROR(AVERAGEIFS(RII_Data!$K$5:$K$186,RII_Data!$A$5:$A$186,"M14",RII_Data!$G$5:$G$186,$A34,RII_Data!$H$5:$H$186,"Direct"),"")</f>
        <v>0.69825777540279466</v>
      </c>
      <c r="F34" s="14" t="str">
        <f>IFERROR(AVERAGEIFS(RII_Data!$K$5:$K$186,RII_Data!$A$5:$A$186,"M15",RII_Data!$G$5:$G$186,$A34,RII_Data!$H$5:$H$186,"Direct"),"")</f>
        <v/>
      </c>
      <c r="G34" s="14" t="str">
        <f>IFERROR(AVERAGEIFS(RII_Data!$K$5:$K$186,RII_Data!$A$5:$A$186,"M01",RII_Data!$G$5:$G$186,$A34,RII_Data!$H$5:$H$186,"Direct"),"")</f>
        <v/>
      </c>
      <c r="H34" s="12">
        <f t="shared" si="0"/>
        <v>2</v>
      </c>
      <c r="I34" s="26">
        <f t="shared" si="1"/>
        <v>0.45655738814651853</v>
      </c>
      <c r="J34" s="12">
        <f t="shared" si="2"/>
        <v>12</v>
      </c>
      <c r="K34" s="12">
        <f t="shared" si="3"/>
        <v>2</v>
      </c>
      <c r="L34" s="26">
        <f t="shared" si="4"/>
        <v>0.45655738814651853</v>
      </c>
      <c r="M34" s="12">
        <f t="shared" si="5"/>
        <v>12</v>
      </c>
    </row>
    <row r="35" spans="1:13" x14ac:dyDescent="0.35">
      <c r="A35" s="15" t="s">
        <v>198</v>
      </c>
      <c r="B35" s="16" t="s">
        <v>442</v>
      </c>
      <c r="C35" s="14">
        <f>IFERROR(AVERAGEIFS(RII_Data!$K$5:$K$186,RII_Data!$A$5:$A$186,"M06",RII_Data!$G$5:$G$186,$A35,RII_Data!$H$5:$H$186,"Direct"),"")</f>
        <v>-0.89709739120242582</v>
      </c>
      <c r="D35" s="14">
        <f>IFERROR(AVERAGEIFS(RII_Data!$K$5:$K$186,RII_Data!$A$5:$A$186,"M10",RII_Data!$G$5:$G$186,$A35,RII_Data!$H$5:$H$186,"Direct"),"")</f>
        <v>-0.30798746350633438</v>
      </c>
      <c r="E35" s="14">
        <f>IFERROR(AVERAGEIFS(RII_Data!$K$5:$K$186,RII_Data!$A$5:$A$186,"M14",RII_Data!$G$5:$G$186,$A35,RII_Data!$H$5:$H$186,"Direct"),"")</f>
        <v>-0.63890485164502986</v>
      </c>
      <c r="F35" s="14" t="str">
        <f>IFERROR(AVERAGEIFS(RII_Data!$K$5:$K$186,RII_Data!$A$5:$A$186,"M15",RII_Data!$G$5:$G$186,$A35,RII_Data!$H$5:$H$186,"Direct"),"")</f>
        <v/>
      </c>
      <c r="G35" s="14" t="str">
        <f>IFERROR(AVERAGEIFS(RII_Data!$K$5:$K$186,RII_Data!$A$5:$A$186,"M01",RII_Data!$G$5:$G$186,$A35,RII_Data!$H$5:$H$186,"Direct"),"")</f>
        <v/>
      </c>
      <c r="H35" s="12">
        <f t="shared" si="0"/>
        <v>3</v>
      </c>
      <c r="I35" s="26">
        <f t="shared" si="1"/>
        <v>-0.61466323545126345</v>
      </c>
      <c r="J35" s="12">
        <f t="shared" si="2"/>
        <v>27</v>
      </c>
      <c r="K35" s="12">
        <f t="shared" si="3"/>
        <v>3</v>
      </c>
      <c r="L35" s="26">
        <f t="shared" si="4"/>
        <v>-0.61466323545126345</v>
      </c>
      <c r="M35" s="12">
        <f t="shared" si="5"/>
        <v>29</v>
      </c>
    </row>
    <row r="36" spans="1:13" x14ac:dyDescent="0.35">
      <c r="A36" s="15" t="s">
        <v>203</v>
      </c>
      <c r="B36" s="16" t="s">
        <v>443</v>
      </c>
      <c r="C36" s="14" t="str">
        <f>IFERROR(AVERAGEIFS(RII_Data!$K$5:$K$186,RII_Data!$A$5:$A$186,"M06",RII_Data!$G$5:$G$186,$A36,RII_Data!$H$5:$H$186,"Direct"),"")</f>
        <v/>
      </c>
      <c r="D36" s="14" t="str">
        <f>IFERROR(AVERAGEIFS(RII_Data!$K$5:$K$186,RII_Data!$A$5:$A$186,"M10",RII_Data!$G$5:$G$186,$A36,RII_Data!$H$5:$H$186,"Direct"),"")</f>
        <v/>
      </c>
      <c r="E36" s="14" t="str">
        <f>IFERROR(AVERAGEIFS(RII_Data!$K$5:$K$186,RII_Data!$A$5:$A$186,"M14",RII_Data!$G$5:$G$186,$A36,RII_Data!$H$5:$H$186,"Direct"),"")</f>
        <v/>
      </c>
      <c r="F36" s="14" t="str">
        <f>IFERROR(AVERAGEIFS(RII_Data!$K$5:$K$186,RII_Data!$A$5:$A$186,"M15",RII_Data!$G$5:$G$186,$A36,RII_Data!$H$5:$H$186,"Direct"),"")</f>
        <v/>
      </c>
      <c r="G36" s="14">
        <f>IFERROR(AVERAGEIFS(RII_Data!$K$5:$K$186,RII_Data!$A$5:$A$186,"M01",RII_Data!$G$5:$G$186,$A36,RII_Data!$H$5:$H$186,"Direct"),"")</f>
        <v>6.3666771927871693E-2</v>
      </c>
      <c r="H36" s="12">
        <f t="shared" si="0"/>
        <v>0</v>
      </c>
      <c r="I36" s="26" t="str">
        <f t="shared" si="1"/>
        <v/>
      </c>
      <c r="J36" s="12" t="str">
        <f t="shared" si="2"/>
        <v/>
      </c>
      <c r="K36" s="12">
        <f t="shared" si="3"/>
        <v>1</v>
      </c>
      <c r="L36" s="26">
        <f t="shared" si="4"/>
        <v>6.3666771927871693E-2</v>
      </c>
      <c r="M36" s="12">
        <f t="shared" si="5"/>
        <v>17</v>
      </c>
    </row>
    <row r="37" spans="1:13" x14ac:dyDescent="0.35">
      <c r="A37" s="15" t="s">
        <v>350</v>
      </c>
      <c r="B37" s="16" t="s">
        <v>444</v>
      </c>
      <c r="C37" s="14" t="str">
        <f>IFERROR(AVERAGEIFS(RII_Data!$K$5:$K$186,RII_Data!$A$5:$A$186,"M06",RII_Data!$G$5:$G$186,$A37,RII_Data!$H$5:$H$186,"Direct"),"")</f>
        <v/>
      </c>
      <c r="D37" s="14">
        <f>IFERROR(AVERAGEIFS(RII_Data!$K$5:$K$186,RII_Data!$A$5:$A$186,"M10",RII_Data!$G$5:$G$186,$A37,RII_Data!$H$5:$H$186,"Direct"),"")</f>
        <v>-3.1517512576633306</v>
      </c>
      <c r="E37" s="14" t="str">
        <f>IFERROR(AVERAGEIFS(RII_Data!$K$5:$K$186,RII_Data!$A$5:$A$186,"M14",RII_Data!$G$5:$G$186,$A37,RII_Data!$H$5:$H$186,"Direct"),"")</f>
        <v/>
      </c>
      <c r="F37" s="14" t="str">
        <f>IFERROR(AVERAGEIFS(RII_Data!$K$5:$K$186,RII_Data!$A$5:$A$186,"M15",RII_Data!$G$5:$G$186,$A37,RII_Data!$H$5:$H$186,"Direct"),"")</f>
        <v/>
      </c>
      <c r="G37" s="14" t="str">
        <f>IFERROR(AVERAGEIFS(RII_Data!$K$5:$K$186,RII_Data!$A$5:$A$186,"M01",RII_Data!$G$5:$G$186,$A37,RII_Data!$H$5:$H$186,"Direct"),"")</f>
        <v/>
      </c>
      <c r="H37" s="12">
        <f t="shared" si="0"/>
        <v>1</v>
      </c>
      <c r="I37" s="26">
        <f t="shared" si="1"/>
        <v>-3.1517512576633306</v>
      </c>
      <c r="J37" s="12">
        <f t="shared" si="2"/>
        <v>34</v>
      </c>
      <c r="K37" s="12">
        <f t="shared" si="3"/>
        <v>1</v>
      </c>
      <c r="L37" s="26">
        <f t="shared" si="4"/>
        <v>-3.1517512576633306</v>
      </c>
      <c r="M37" s="12">
        <f t="shared" si="5"/>
        <v>35</v>
      </c>
    </row>
    <row r="38" spans="1:13" x14ac:dyDescent="0.35">
      <c r="A38" s="15" t="s">
        <v>352</v>
      </c>
      <c r="B38" s="16" t="s">
        <v>445</v>
      </c>
      <c r="C38" s="14" t="str">
        <f>IFERROR(AVERAGEIFS(RII_Data!$K$5:$K$186,RII_Data!$A$5:$A$186,"M06",RII_Data!$G$5:$G$186,$A38,RII_Data!$H$5:$H$186,"Direct"),"")</f>
        <v/>
      </c>
      <c r="D38" s="14" t="str">
        <f>IFERROR(AVERAGEIFS(RII_Data!$K$5:$K$186,RII_Data!$A$5:$A$186,"M10",RII_Data!$G$5:$G$186,$A38,RII_Data!$H$5:$H$186,"Direct"),"")</f>
        <v/>
      </c>
      <c r="E38" s="14" t="str">
        <f>IFERROR(AVERAGEIFS(RII_Data!$K$5:$K$186,RII_Data!$A$5:$A$186,"M14",RII_Data!$G$5:$G$186,$A38,RII_Data!$H$5:$H$186,"Direct"),"")</f>
        <v/>
      </c>
      <c r="F38" s="14">
        <f>IFERROR(AVERAGEIFS(RII_Data!$K$5:$K$186,RII_Data!$A$5:$A$186,"M15",RII_Data!$G$5:$G$186,$A38,RII_Data!$H$5:$H$186,"Direct"),"")</f>
        <v>1.254110336637102</v>
      </c>
      <c r="G38" s="14" t="str">
        <f>IFERROR(AVERAGEIFS(RII_Data!$K$5:$K$186,RII_Data!$A$5:$A$186,"M01",RII_Data!$G$5:$G$186,$A38,RII_Data!$H$5:$H$186,"Direct"),"")</f>
        <v/>
      </c>
      <c r="H38" s="12">
        <f t="shared" si="0"/>
        <v>1</v>
      </c>
      <c r="I38" s="26">
        <f t="shared" si="1"/>
        <v>1.254110336637102</v>
      </c>
      <c r="J38" s="12">
        <f t="shared" si="2"/>
        <v>2</v>
      </c>
      <c r="K38" s="12">
        <f t="shared" si="3"/>
        <v>1</v>
      </c>
      <c r="L38" s="26">
        <f t="shared" si="4"/>
        <v>1.254110336637102</v>
      </c>
      <c r="M38" s="12">
        <f t="shared" si="5"/>
        <v>1</v>
      </c>
    </row>
    <row r="39" spans="1:13" x14ac:dyDescent="0.35">
      <c r="A39" s="15" t="s">
        <v>269</v>
      </c>
      <c r="B39" s="16" t="s">
        <v>446</v>
      </c>
      <c r="C39" s="14">
        <f>IFERROR(AVERAGEIFS(RII_Data!$K$5:$K$186,RII_Data!$A$5:$A$186,"M06",RII_Data!$G$5:$G$186,$A39,RII_Data!$H$5:$H$186,"Direct"),"")</f>
        <v>0.5254423477952217</v>
      </c>
      <c r="D39" s="14" t="str">
        <f>IFERROR(AVERAGEIFS(RII_Data!$K$5:$K$186,RII_Data!$A$5:$A$186,"M10",RII_Data!$G$5:$G$186,$A39,RII_Data!$H$5:$H$186,"Direct"),"")</f>
        <v/>
      </c>
      <c r="E39" s="14" t="str">
        <f>IFERROR(AVERAGEIFS(RII_Data!$K$5:$K$186,RII_Data!$A$5:$A$186,"M14",RII_Data!$G$5:$G$186,$A39,RII_Data!$H$5:$H$186,"Direct"),"")</f>
        <v/>
      </c>
      <c r="F39" s="14" t="str">
        <f>IFERROR(AVERAGEIFS(RII_Data!$K$5:$K$186,RII_Data!$A$5:$A$186,"M15",RII_Data!$G$5:$G$186,$A39,RII_Data!$H$5:$H$186,"Direct"),"")</f>
        <v/>
      </c>
      <c r="G39" s="14" t="str">
        <f>IFERROR(AVERAGEIFS(RII_Data!$K$5:$K$186,RII_Data!$A$5:$A$186,"M01",RII_Data!$G$5:$G$186,$A39,RII_Data!$H$5:$H$186,"Direct"),"")</f>
        <v/>
      </c>
      <c r="H39" s="12">
        <f t="shared" si="0"/>
        <v>1</v>
      </c>
      <c r="I39" s="26">
        <f t="shared" si="1"/>
        <v>0.5254423477952217</v>
      </c>
      <c r="J39" s="12">
        <f t="shared" si="2"/>
        <v>11</v>
      </c>
      <c r="K39" s="12">
        <f t="shared" si="3"/>
        <v>1</v>
      </c>
      <c r="L39" s="26">
        <f t="shared" si="4"/>
        <v>0.5254423477952217</v>
      </c>
      <c r="M39" s="12">
        <f t="shared" si="5"/>
        <v>11</v>
      </c>
    </row>
    <row r="40" spans="1:13" x14ac:dyDescent="0.35">
      <c r="A40" s="15" t="s">
        <v>195</v>
      </c>
      <c r="B40" s="16" t="s">
        <v>447</v>
      </c>
      <c r="C40" s="14" t="str">
        <f>IFERROR(AVERAGEIFS(RII_Data!$K$5:$K$186,RII_Data!$A$5:$A$186,"M06",RII_Data!$G$5:$G$186,$A40,RII_Data!$H$5:$H$186,"Direct"),"")</f>
        <v/>
      </c>
      <c r="D40" s="14">
        <f>IFERROR(AVERAGEIFS(RII_Data!$K$5:$K$186,RII_Data!$A$5:$A$186,"M10",RII_Data!$G$5:$G$186,$A40,RII_Data!$H$5:$H$186,"Direct"),"")</f>
        <v>-0.9456026639899664</v>
      </c>
      <c r="E40" s="14" t="str">
        <f>IFERROR(AVERAGEIFS(RII_Data!$K$5:$K$186,RII_Data!$A$5:$A$186,"M14",RII_Data!$G$5:$G$186,$A40,RII_Data!$H$5:$H$186,"Direct"),"")</f>
        <v/>
      </c>
      <c r="F40" s="14">
        <f>IFERROR(AVERAGEIFS(RII_Data!$K$5:$K$186,RII_Data!$A$5:$A$186,"M15",RII_Data!$G$5:$G$186,$A40,RII_Data!$H$5:$H$186,"Direct"),"")</f>
        <v>-1.2647966085256708</v>
      </c>
      <c r="G40" s="14">
        <f>IFERROR(AVERAGEIFS(RII_Data!$K$5:$K$186,RII_Data!$A$5:$A$186,"M01",RII_Data!$G$5:$G$186,$A40,RII_Data!$H$5:$H$186,"Direct"),"")</f>
        <v>0.39109588469975731</v>
      </c>
      <c r="H40" s="12">
        <f t="shared" si="0"/>
        <v>2</v>
      </c>
      <c r="I40" s="26">
        <f t="shared" si="1"/>
        <v>-1.1051996362578187</v>
      </c>
      <c r="J40" s="12">
        <f t="shared" si="2"/>
        <v>30</v>
      </c>
      <c r="K40" s="12">
        <f t="shared" si="3"/>
        <v>3</v>
      </c>
      <c r="L40" s="26">
        <f t="shared" si="4"/>
        <v>-0.60643446260529332</v>
      </c>
      <c r="M40" s="12">
        <f t="shared" si="5"/>
        <v>28</v>
      </c>
    </row>
    <row r="41" spans="1:13" x14ac:dyDescent="0.35">
      <c r="A41" s="15" t="s">
        <v>222</v>
      </c>
      <c r="B41" s="16" t="s">
        <v>448</v>
      </c>
      <c r="C41" s="14">
        <f>IFERROR(AVERAGEIFS(RII_Data!$K$5:$K$186,RII_Data!$A$5:$A$186,"M06",RII_Data!$G$5:$G$186,$A41,RII_Data!$H$5:$H$186,"Direct"),"")</f>
        <v>0.68572397790578976</v>
      </c>
      <c r="D41" s="14" t="str">
        <f>IFERROR(AVERAGEIFS(RII_Data!$K$5:$K$186,RII_Data!$A$5:$A$186,"M10",RII_Data!$G$5:$G$186,$A41,RII_Data!$H$5:$H$186,"Direct"),"")</f>
        <v/>
      </c>
      <c r="E41" s="14" t="str">
        <f>IFERROR(AVERAGEIFS(RII_Data!$K$5:$K$186,RII_Data!$A$5:$A$186,"M14",RII_Data!$G$5:$G$186,$A41,RII_Data!$H$5:$H$186,"Direct"),"")</f>
        <v/>
      </c>
      <c r="F41" s="14">
        <f>IFERROR(AVERAGEIFS(RII_Data!$K$5:$K$186,RII_Data!$A$5:$A$186,"M15",RII_Data!$G$5:$G$186,$A41,RII_Data!$H$5:$H$186,"Direct"),"")</f>
        <v>-0.66941860330537895</v>
      </c>
      <c r="G41" s="14">
        <f>IFERROR(AVERAGEIFS(RII_Data!$K$5:$K$186,RII_Data!$A$5:$A$186,"M01",RII_Data!$G$5:$G$186,$A41,RII_Data!$H$5:$H$186,"Direct"),"")</f>
        <v>-1.4279547418107184</v>
      </c>
      <c r="H41" s="12">
        <f t="shared" si="0"/>
        <v>2</v>
      </c>
      <c r="I41" s="26">
        <f t="shared" si="1"/>
        <v>8.1526873002054079E-3</v>
      </c>
      <c r="J41" s="12">
        <f t="shared" si="2"/>
        <v>15</v>
      </c>
      <c r="K41" s="12">
        <f t="shared" si="3"/>
        <v>3</v>
      </c>
      <c r="L41" s="26">
        <f t="shared" si="4"/>
        <v>-0.47054978907010253</v>
      </c>
      <c r="M41" s="12">
        <f t="shared" si="5"/>
        <v>25</v>
      </c>
    </row>
    <row r="42" spans="1:13" x14ac:dyDescent="0.35">
      <c r="A42" s="15" t="s">
        <v>325</v>
      </c>
      <c r="B42" s="16" t="s">
        <v>449</v>
      </c>
      <c r="C42" s="14" t="str">
        <f>IFERROR(AVERAGEIFS(RII_Data!$K$5:$K$186,RII_Data!$A$5:$A$186,"M06",RII_Data!$G$5:$G$186,$A42,RII_Data!$H$5:$H$186,"Direct"),"")</f>
        <v/>
      </c>
      <c r="D42" s="14">
        <f>IFERROR(AVERAGEIFS(RII_Data!$K$5:$K$186,RII_Data!$A$5:$A$186,"M10",RII_Data!$G$5:$G$186,$A42,RII_Data!$H$5:$H$186,"Direct"),"")</f>
        <v>0.69944455325780264</v>
      </c>
      <c r="E42" s="14">
        <f>IFERROR(AVERAGEIFS(RII_Data!$K$5:$K$186,RII_Data!$A$5:$A$186,"M14",RII_Data!$G$5:$G$186,$A42,RII_Data!$H$5:$H$186,"Direct"),"")</f>
        <v>0.68428046571239975</v>
      </c>
      <c r="F42" s="14" t="str">
        <f>IFERROR(AVERAGEIFS(RII_Data!$K$5:$K$186,RII_Data!$A$5:$A$186,"M15",RII_Data!$G$5:$G$186,$A42,RII_Data!$H$5:$H$186,"Direct"),"")</f>
        <v/>
      </c>
      <c r="G42" s="14" t="str">
        <f>IFERROR(AVERAGEIFS(RII_Data!$K$5:$K$186,RII_Data!$A$5:$A$186,"M01",RII_Data!$G$5:$G$186,$A42,RII_Data!$H$5:$H$186,"Direct"),"")</f>
        <v/>
      </c>
      <c r="H42" s="12">
        <f t="shared" si="0"/>
        <v>2</v>
      </c>
      <c r="I42" s="26">
        <f t="shared" si="1"/>
        <v>0.6918625094851012</v>
      </c>
      <c r="J42" s="12">
        <f t="shared" si="2"/>
        <v>9</v>
      </c>
      <c r="K42" s="12">
        <f t="shared" si="3"/>
        <v>2</v>
      </c>
      <c r="L42" s="26">
        <f t="shared" si="4"/>
        <v>0.6918625094851012</v>
      </c>
      <c r="M42" s="12">
        <f t="shared" si="5"/>
        <v>7</v>
      </c>
    </row>
    <row r="43" spans="1:13" x14ac:dyDescent="0.35">
      <c r="A43" s="15" t="s">
        <v>254</v>
      </c>
      <c r="B43" s="16" t="s">
        <v>450</v>
      </c>
      <c r="C43" s="14">
        <f>IFERROR(AVERAGEIFS(RII_Data!$K$5:$K$186,RII_Data!$A$5:$A$186,"M06",RII_Data!$G$5:$G$186,$A43,RII_Data!$H$5:$H$186,"Direct"),"")</f>
        <v>0.47534427044407962</v>
      </c>
      <c r="D43" s="14" t="str">
        <f>IFERROR(AVERAGEIFS(RII_Data!$K$5:$K$186,RII_Data!$A$5:$A$186,"M10",RII_Data!$G$5:$G$186,$A43,RII_Data!$H$5:$H$186,"Direct"),"")</f>
        <v/>
      </c>
      <c r="E43" s="14" t="str">
        <f>IFERROR(AVERAGEIFS(RII_Data!$K$5:$K$186,RII_Data!$A$5:$A$186,"M14",RII_Data!$G$5:$G$186,$A43,RII_Data!$H$5:$H$186,"Direct"),"")</f>
        <v/>
      </c>
      <c r="F43" s="14">
        <f>IFERROR(AVERAGEIFS(RII_Data!$K$5:$K$186,RII_Data!$A$5:$A$186,"M15",RII_Data!$G$5:$G$186,$A43,RII_Data!$H$5:$H$186,"Direct"),"")</f>
        <v>0.15495094238425566</v>
      </c>
      <c r="G43" s="14" t="str">
        <f>IFERROR(AVERAGEIFS(RII_Data!$K$5:$K$186,RII_Data!$A$5:$A$186,"M01",RII_Data!$G$5:$G$186,$A43,RII_Data!$H$5:$H$186,"Direct"),"")</f>
        <v/>
      </c>
      <c r="H43" s="12">
        <f t="shared" si="0"/>
        <v>2</v>
      </c>
      <c r="I43" s="26">
        <f t="shared" si="1"/>
        <v>0.31514760641416761</v>
      </c>
      <c r="J43" s="12">
        <f t="shared" si="2"/>
        <v>13</v>
      </c>
      <c r="K43" s="12">
        <f t="shared" si="3"/>
        <v>2</v>
      </c>
      <c r="L43" s="26">
        <f t="shared" si="4"/>
        <v>0.31514760641416761</v>
      </c>
      <c r="M43" s="12">
        <f t="shared" si="5"/>
        <v>14</v>
      </c>
    </row>
    <row r="44" spans="1:13" x14ac:dyDescent="0.35">
      <c r="A44" s="15" t="s">
        <v>256</v>
      </c>
      <c r="B44" s="16" t="s">
        <v>451</v>
      </c>
      <c r="C44" s="14">
        <f>IFERROR(AVERAGEIFS(RII_Data!$K$5:$K$186,RII_Data!$A$5:$A$186,"M06",RII_Data!$G$5:$G$186,$A44,RII_Data!$H$5:$H$186,"Direct"),"")</f>
        <v>0.82597040425253643</v>
      </c>
      <c r="D44" s="14" t="str">
        <f>IFERROR(AVERAGEIFS(RII_Data!$K$5:$K$186,RII_Data!$A$5:$A$186,"M10",RII_Data!$G$5:$G$186,$A44,RII_Data!$H$5:$H$186,"Direct"),"")</f>
        <v/>
      </c>
      <c r="E44" s="14" t="str">
        <f>IFERROR(AVERAGEIFS(RII_Data!$K$5:$K$186,RII_Data!$A$5:$A$186,"M14",RII_Data!$G$5:$G$186,$A44,RII_Data!$H$5:$H$186,"Direct"),"")</f>
        <v/>
      </c>
      <c r="F44" s="14" t="str">
        <f>IFERROR(AVERAGEIFS(RII_Data!$K$5:$K$186,RII_Data!$A$5:$A$186,"M15",RII_Data!$G$5:$G$186,$A44,RII_Data!$H$5:$H$186,"Direct"),"")</f>
        <v/>
      </c>
      <c r="G44" s="14" t="str">
        <f>IFERROR(AVERAGEIFS(RII_Data!$K$5:$K$186,RII_Data!$A$5:$A$186,"M01",RII_Data!$G$5:$G$186,$A44,RII_Data!$H$5:$H$186,"Direct"),"")</f>
        <v/>
      </c>
      <c r="H44" s="12">
        <f t="shared" si="0"/>
        <v>1</v>
      </c>
      <c r="I44" s="26">
        <f t="shared" si="1"/>
        <v>0.82597040425253643</v>
      </c>
      <c r="J44" s="12">
        <f t="shared" si="2"/>
        <v>8</v>
      </c>
      <c r="K44" s="12">
        <f t="shared" si="3"/>
        <v>1</v>
      </c>
      <c r="L44" s="26">
        <f t="shared" si="4"/>
        <v>0.82597040425253643</v>
      </c>
      <c r="M44" s="12">
        <f t="shared" si="5"/>
        <v>5</v>
      </c>
    </row>
    <row r="45" spans="1:13" x14ac:dyDescent="0.35">
      <c r="A45" s="15" t="s">
        <v>280</v>
      </c>
      <c r="B45" s="16" t="s">
        <v>452</v>
      </c>
      <c r="C45" s="14" t="str">
        <f>IFERROR(AVERAGEIFS(RII_Data!$K$5:$K$186,RII_Data!$A$5:$A$186,"M06",RII_Data!$G$5:$G$186,$A45,RII_Data!$H$5:$H$186,"Direct"),"")</f>
        <v/>
      </c>
      <c r="D45" s="14" t="str">
        <f>IFERROR(AVERAGEIFS(RII_Data!$K$5:$K$186,RII_Data!$A$5:$A$186,"M10",RII_Data!$G$5:$G$186,$A45,RII_Data!$H$5:$H$186,"Direct"),"")</f>
        <v/>
      </c>
      <c r="E45" s="14">
        <f>IFERROR(AVERAGEIFS(RII_Data!$K$5:$K$186,RII_Data!$A$5:$A$186,"M14",RII_Data!$G$5:$G$186,$A45,RII_Data!$H$5:$H$186,"Direct"),"")</f>
        <v>-1.6266347364329705</v>
      </c>
      <c r="F45" s="14" t="str">
        <f>IFERROR(AVERAGEIFS(RII_Data!$K$5:$K$186,RII_Data!$A$5:$A$186,"M15",RII_Data!$G$5:$G$186,$A45,RII_Data!$H$5:$H$186,"Direct"),"")</f>
        <v/>
      </c>
      <c r="G45" s="14" t="str">
        <f>IFERROR(AVERAGEIFS(RII_Data!$K$5:$K$186,RII_Data!$A$5:$A$186,"M01",RII_Data!$G$5:$G$186,$A45,RII_Data!$H$5:$H$186,"Direct"),"")</f>
        <v/>
      </c>
      <c r="H45" s="12">
        <f t="shared" si="0"/>
        <v>1</v>
      </c>
      <c r="I45" s="26">
        <f t="shared" si="1"/>
        <v>-1.6266347364329705</v>
      </c>
      <c r="J45" s="12">
        <f t="shared" si="2"/>
        <v>32</v>
      </c>
      <c r="K45" s="12">
        <f t="shared" si="3"/>
        <v>1</v>
      </c>
      <c r="L45" s="26">
        <f t="shared" si="4"/>
        <v>-1.6266347364329705</v>
      </c>
      <c r="M45" s="12">
        <f t="shared" si="5"/>
        <v>33</v>
      </c>
    </row>
    <row r="46" spans="1:13" x14ac:dyDescent="0.35">
      <c r="A46" s="15" t="s">
        <v>272</v>
      </c>
      <c r="B46" s="16" t="s">
        <v>453</v>
      </c>
      <c r="C46" s="14">
        <f>IFERROR(AVERAGEIFS(RII_Data!$K$5:$K$186,RII_Data!$A$5:$A$186,"M06",RII_Data!$G$5:$G$186,$A46,RII_Data!$H$5:$H$186,"Direct"),"")</f>
        <v>-9.5669104766407304E-2</v>
      </c>
      <c r="D46" s="14" t="str">
        <f>IFERROR(AVERAGEIFS(RII_Data!$K$5:$K$186,RII_Data!$A$5:$A$186,"M10",RII_Data!$G$5:$G$186,$A46,RII_Data!$H$5:$H$186,"Direct"),"")</f>
        <v/>
      </c>
      <c r="E46" s="14" t="str">
        <f>IFERROR(AVERAGEIFS(RII_Data!$K$5:$K$186,RII_Data!$A$5:$A$186,"M14",RII_Data!$G$5:$G$186,$A46,RII_Data!$H$5:$H$186,"Direct"),"")</f>
        <v/>
      </c>
      <c r="F46" s="14" t="str">
        <f>IFERROR(AVERAGEIFS(RII_Data!$K$5:$K$186,RII_Data!$A$5:$A$186,"M15",RII_Data!$G$5:$G$186,$A46,RII_Data!$H$5:$H$186,"Direct"),"")</f>
        <v/>
      </c>
      <c r="G46" s="14" t="str">
        <f>IFERROR(AVERAGEIFS(RII_Data!$K$5:$K$186,RII_Data!$A$5:$A$186,"M01",RII_Data!$G$5:$G$186,$A46,RII_Data!$H$5:$H$186,"Direct"),"")</f>
        <v/>
      </c>
      <c r="H46" s="12">
        <f t="shared" si="0"/>
        <v>1</v>
      </c>
      <c r="I46" s="26">
        <f t="shared" si="1"/>
        <v>-9.5669104766407304E-2</v>
      </c>
      <c r="J46" s="12">
        <f t="shared" si="2"/>
        <v>17</v>
      </c>
      <c r="K46" s="12">
        <f t="shared" si="3"/>
        <v>1</v>
      </c>
      <c r="L46" s="26">
        <f t="shared" si="4"/>
        <v>-9.5669104766407304E-2</v>
      </c>
      <c r="M46" s="12">
        <f t="shared" si="5"/>
        <v>18</v>
      </c>
    </row>
    <row r="47" spans="1:13" x14ac:dyDescent="0.35">
      <c r="A47" s="15" t="s">
        <v>265</v>
      </c>
      <c r="B47" s="16" t="s">
        <v>454</v>
      </c>
      <c r="C47" s="14" t="str">
        <f>IFERROR(AVERAGEIFS(RII_Data!$K$5:$K$186,RII_Data!$A$5:$A$186,"M06",RII_Data!$G$5:$G$186,$A47,RII_Data!$H$5:$H$186,"Direct"),"")</f>
        <v/>
      </c>
      <c r="D47" s="14">
        <f>IFERROR(AVERAGEIFS(RII_Data!$K$5:$K$186,RII_Data!$A$5:$A$186,"M10",RII_Data!$G$5:$G$186,$A47,RII_Data!$H$5:$H$186,"Direct"),"")</f>
        <v>-0.26973055147731717</v>
      </c>
      <c r="E47" s="14" t="str">
        <f>IFERROR(AVERAGEIFS(RII_Data!$K$5:$K$186,RII_Data!$A$5:$A$186,"M14",RII_Data!$G$5:$G$186,$A47,RII_Data!$H$5:$H$186,"Direct"),"")</f>
        <v/>
      </c>
      <c r="F47" s="14" t="str">
        <f>IFERROR(AVERAGEIFS(RII_Data!$K$5:$K$186,RII_Data!$A$5:$A$186,"M15",RII_Data!$G$5:$G$186,$A47,RII_Data!$H$5:$H$186,"Direct"),"")</f>
        <v/>
      </c>
      <c r="G47" s="14" t="str">
        <f>IFERROR(AVERAGEIFS(RII_Data!$K$5:$K$186,RII_Data!$A$5:$A$186,"M01",RII_Data!$G$5:$G$186,$A47,RII_Data!$H$5:$H$186,"Direct"),"")</f>
        <v/>
      </c>
      <c r="H47" s="12">
        <f t="shared" si="0"/>
        <v>1</v>
      </c>
      <c r="I47" s="26">
        <f t="shared" si="1"/>
        <v>-0.26973055147731717</v>
      </c>
      <c r="J47" s="12">
        <f t="shared" si="2"/>
        <v>21</v>
      </c>
      <c r="K47" s="12">
        <f t="shared" si="3"/>
        <v>1</v>
      </c>
      <c r="L47" s="26">
        <f t="shared" si="4"/>
        <v>-0.26973055147731717</v>
      </c>
      <c r="M47" s="12">
        <f t="shared" si="5"/>
        <v>23</v>
      </c>
    </row>
    <row r="48" spans="1:13" x14ac:dyDescent="0.35">
      <c r="A48" s="15" t="s">
        <v>374</v>
      </c>
      <c r="B48" s="16" t="s">
        <v>455</v>
      </c>
      <c r="C48" s="14" t="str">
        <f>IFERROR(AVERAGEIFS(RII_Data!$K$5:$K$186,RII_Data!$A$5:$A$186,"M06",RII_Data!$G$5:$G$186,$A48,RII_Data!$H$5:$H$186,"Direct"),"")</f>
        <v/>
      </c>
      <c r="D48" s="14" t="str">
        <f>IFERROR(AVERAGEIFS(RII_Data!$K$5:$K$186,RII_Data!$A$5:$A$186,"M10",RII_Data!$G$5:$G$186,$A48,RII_Data!$H$5:$H$186,"Direct"),"")</f>
        <v/>
      </c>
      <c r="E48" s="14" t="str">
        <f>IFERROR(AVERAGEIFS(RII_Data!$K$5:$K$186,RII_Data!$A$5:$A$186,"M14",RII_Data!$G$5:$G$186,$A48,RII_Data!$H$5:$H$186,"Direct"),"")</f>
        <v/>
      </c>
      <c r="F48" s="14">
        <f>IFERROR(AVERAGEIFS(RII_Data!$K$5:$K$186,RII_Data!$A$5:$A$186,"M15",RII_Data!$G$5:$G$186,$A48,RII_Data!$H$5:$H$186,"Direct"),"")</f>
        <v>-0.99000675996245946</v>
      </c>
      <c r="G48" s="14" t="str">
        <f>IFERROR(AVERAGEIFS(RII_Data!$K$5:$K$186,RII_Data!$A$5:$A$186,"M01",RII_Data!$G$5:$G$186,$A48,RII_Data!$H$5:$H$186,"Direct"),"")</f>
        <v/>
      </c>
      <c r="H48" s="12">
        <f t="shared" si="0"/>
        <v>1</v>
      </c>
      <c r="I48" s="26">
        <f t="shared" si="1"/>
        <v>-0.99000675996245946</v>
      </c>
      <c r="J48" s="12">
        <f t="shared" si="2"/>
        <v>29</v>
      </c>
      <c r="K48" s="12">
        <f t="shared" si="3"/>
        <v>1</v>
      </c>
      <c r="L48" s="26">
        <f t="shared" si="4"/>
        <v>-0.99000675996245946</v>
      </c>
      <c r="M48" s="12">
        <f t="shared" si="5"/>
        <v>31</v>
      </c>
    </row>
    <row r="49" spans="1:13" x14ac:dyDescent="0.35">
      <c r="A49" s="15" t="s">
        <v>239</v>
      </c>
      <c r="B49" s="16" t="s">
        <v>456</v>
      </c>
      <c r="C49" s="14">
        <f>IFERROR(AVERAGEIFS(RII_Data!$K$5:$K$186,RII_Data!$A$5:$A$186,"M06",RII_Data!$G$5:$G$186,$A49,RII_Data!$H$5:$H$186,"Direct"),"")</f>
        <v>0.9662168305992842</v>
      </c>
      <c r="D49" s="14" t="str">
        <f>IFERROR(AVERAGEIFS(RII_Data!$K$5:$K$186,RII_Data!$A$5:$A$186,"M10",RII_Data!$G$5:$G$186,$A49,RII_Data!$H$5:$H$186,"Direct"),"")</f>
        <v/>
      </c>
      <c r="E49" s="14" t="str">
        <f>IFERROR(AVERAGEIFS(RII_Data!$K$5:$K$186,RII_Data!$A$5:$A$186,"M14",RII_Data!$G$5:$G$186,$A49,RII_Data!$H$5:$H$186,"Direct"),"")</f>
        <v/>
      </c>
      <c r="F49" s="14" t="str">
        <f>IFERROR(AVERAGEIFS(RII_Data!$K$5:$K$186,RII_Data!$A$5:$A$186,"M15",RII_Data!$G$5:$G$186,$A49,RII_Data!$H$5:$H$186,"Direct"),"")</f>
        <v/>
      </c>
      <c r="G49" s="14" t="str">
        <f>IFERROR(AVERAGEIFS(RII_Data!$K$5:$K$186,RII_Data!$A$5:$A$186,"M01",RII_Data!$G$5:$G$186,$A49,RII_Data!$H$5:$H$186,"Direct"),"")</f>
        <v/>
      </c>
      <c r="H49" s="12">
        <f t="shared" si="0"/>
        <v>1</v>
      </c>
      <c r="I49" s="26">
        <f t="shared" si="1"/>
        <v>0.9662168305992842</v>
      </c>
      <c r="J49" s="12">
        <f t="shared" si="2"/>
        <v>6</v>
      </c>
      <c r="K49" s="12">
        <f t="shared" si="3"/>
        <v>1</v>
      </c>
      <c r="L49" s="26">
        <f t="shared" si="4"/>
        <v>0.9662168305992842</v>
      </c>
      <c r="M49" s="12">
        <f t="shared" si="5"/>
        <v>2</v>
      </c>
    </row>
    <row r="50" spans="1:13" x14ac:dyDescent="0.35">
      <c r="A50" s="15" t="s">
        <v>241</v>
      </c>
      <c r="B50" s="16" t="s">
        <v>457</v>
      </c>
      <c r="C50" s="14" t="str">
        <f>IFERROR(AVERAGEIFS(RII_Data!$K$5:$K$186,RII_Data!$A$5:$A$186,"M06",RII_Data!$G$5:$G$186,$A50,RII_Data!$H$5:$H$186,"Direct"),"")</f>
        <v/>
      </c>
      <c r="D50" s="14">
        <f>IFERROR(AVERAGEIFS(RII_Data!$K$5:$K$186,RII_Data!$A$5:$A$186,"M10",RII_Data!$G$5:$G$186,$A50,RII_Data!$H$5:$H$186,"Direct"),"")</f>
        <v>-0.33349207152567967</v>
      </c>
      <c r="E50" s="14" t="str">
        <f>IFERROR(AVERAGEIFS(RII_Data!$K$5:$K$186,RII_Data!$A$5:$A$186,"M14",RII_Data!$G$5:$G$186,$A50,RII_Data!$H$5:$H$186,"Direct"),"")</f>
        <v/>
      </c>
      <c r="F50" s="14" t="str">
        <f>IFERROR(AVERAGEIFS(RII_Data!$K$5:$K$186,RII_Data!$A$5:$A$186,"M15",RII_Data!$G$5:$G$186,$A50,RII_Data!$H$5:$H$186,"Direct"),"")</f>
        <v/>
      </c>
      <c r="G50" s="14" t="str">
        <f>IFERROR(AVERAGEIFS(RII_Data!$K$5:$K$186,RII_Data!$A$5:$A$186,"M01",RII_Data!$G$5:$G$186,$A50,RII_Data!$H$5:$H$186,"Direct"),"")</f>
        <v/>
      </c>
      <c r="H50" s="12">
        <f t="shared" si="0"/>
        <v>1</v>
      </c>
      <c r="I50" s="26">
        <f t="shared" si="1"/>
        <v>-0.33349207152567967</v>
      </c>
      <c r="J50" s="12">
        <f t="shared" si="2"/>
        <v>22</v>
      </c>
      <c r="K50" s="12">
        <f t="shared" si="3"/>
        <v>1</v>
      </c>
      <c r="L50" s="26">
        <f t="shared" si="4"/>
        <v>-0.33349207152567967</v>
      </c>
      <c r="M50" s="12">
        <f t="shared" si="5"/>
        <v>24</v>
      </c>
    </row>
    <row r="51" spans="1:13" x14ac:dyDescent="0.35">
      <c r="A51" s="15" t="s">
        <v>243</v>
      </c>
      <c r="B51" s="16" t="s">
        <v>458</v>
      </c>
      <c r="C51" s="14" t="str">
        <f>IFERROR(AVERAGEIFS(RII_Data!$K$5:$K$186,RII_Data!$A$5:$A$186,"M06",RII_Data!$G$5:$G$186,$A51,RII_Data!$H$5:$H$186,"Direct"),"")</f>
        <v/>
      </c>
      <c r="D51" s="14" t="str">
        <f>IFERROR(AVERAGEIFS(RII_Data!$K$5:$K$186,RII_Data!$A$5:$A$186,"M10",RII_Data!$G$5:$G$186,$A51,RII_Data!$H$5:$H$186,"Direct"),"")</f>
        <v/>
      </c>
      <c r="E51" s="14" t="str">
        <f>IFERROR(AVERAGEIFS(RII_Data!$K$5:$K$186,RII_Data!$A$5:$A$186,"M14",RII_Data!$G$5:$G$186,$A51,RII_Data!$H$5:$H$186,"Direct"),"")</f>
        <v/>
      </c>
      <c r="F51" s="14" t="str">
        <f>IFERROR(AVERAGEIFS(RII_Data!$K$5:$K$186,RII_Data!$A$5:$A$186,"M15",RII_Data!$G$5:$G$186,$A51,RII_Data!$H$5:$H$186,"Direct"),"")</f>
        <v/>
      </c>
      <c r="G51" s="14" t="str">
        <f>IFERROR(AVERAGEIFS(RII_Data!$K$5:$K$186,RII_Data!$A$5:$A$186,"M01",RII_Data!$G$5:$G$186,$A51,RII_Data!$H$5:$H$186,"Direct"),"")</f>
        <v/>
      </c>
      <c r="H51" s="12">
        <f t="shared" si="0"/>
        <v>0</v>
      </c>
      <c r="I51" s="26" t="str">
        <f t="shared" si="1"/>
        <v/>
      </c>
      <c r="J51" s="12" t="str">
        <f t="shared" si="2"/>
        <v/>
      </c>
      <c r="K51" s="12">
        <f t="shared" si="3"/>
        <v>0</v>
      </c>
      <c r="L51" s="26" t="str">
        <f t="shared" si="4"/>
        <v/>
      </c>
      <c r="M51" s="12" t="str">
        <f t="shared" si="5"/>
        <v/>
      </c>
    </row>
    <row r="52" spans="1:13" x14ac:dyDescent="0.35">
      <c r="A52" s="15" t="s">
        <v>249</v>
      </c>
      <c r="B52" s="16" t="s">
        <v>459</v>
      </c>
      <c r="C52" s="14" t="str">
        <f>IFERROR(AVERAGEIFS(RII_Data!$K$5:$K$186,RII_Data!$A$5:$A$186,"M06",RII_Data!$G$5:$G$186,$A52,RII_Data!$H$5:$H$186,"Direct"),"")</f>
        <v/>
      </c>
      <c r="D52" s="14" t="str">
        <f>IFERROR(AVERAGEIFS(RII_Data!$K$5:$K$186,RII_Data!$A$5:$A$186,"M10",RII_Data!$G$5:$G$186,$A52,RII_Data!$H$5:$H$186,"Direct"),"")</f>
        <v/>
      </c>
      <c r="E52" s="14" t="str">
        <f>IFERROR(AVERAGEIFS(RII_Data!$K$5:$K$186,RII_Data!$A$5:$A$186,"M14",RII_Data!$G$5:$G$186,$A52,RII_Data!$H$5:$H$186,"Direct"),"")</f>
        <v/>
      </c>
      <c r="F52" s="14" t="str">
        <f>IFERROR(AVERAGEIFS(RII_Data!$K$5:$K$186,RII_Data!$A$5:$A$186,"M15",RII_Data!$G$5:$G$186,$A52,RII_Data!$H$5:$H$186,"Direct"),"")</f>
        <v/>
      </c>
      <c r="G52" s="14" t="str">
        <f>IFERROR(AVERAGEIFS(RII_Data!$K$5:$K$186,RII_Data!$A$5:$A$186,"M01",RII_Data!$G$5:$G$186,$A52,RII_Data!$H$5:$H$186,"Direct"),"")</f>
        <v/>
      </c>
      <c r="H52" s="12">
        <f t="shared" si="0"/>
        <v>0</v>
      </c>
      <c r="I52" s="26" t="str">
        <f t="shared" si="1"/>
        <v/>
      </c>
      <c r="J52" s="12" t="str">
        <f t="shared" si="2"/>
        <v/>
      </c>
      <c r="K52" s="12">
        <f t="shared" si="3"/>
        <v>0</v>
      </c>
      <c r="L52" s="26" t="str">
        <f t="shared" si="4"/>
        <v/>
      </c>
      <c r="M52" s="12" t="str">
        <f t="shared" si="5"/>
        <v/>
      </c>
    </row>
    <row r="53" spans="1:13" x14ac:dyDescent="0.35">
      <c r="A53" s="15" t="s">
        <v>224</v>
      </c>
      <c r="B53" s="16" t="s">
        <v>460</v>
      </c>
      <c r="C53" s="14" t="str">
        <f>IFERROR(AVERAGEIFS(RII_Data!$K$5:$K$186,RII_Data!$A$5:$A$186,"M06",RII_Data!$G$5:$G$186,$A53,RII_Data!$H$5:$H$186,"Direct"),"")</f>
        <v/>
      </c>
      <c r="D53" s="14">
        <f>IFERROR(AVERAGEIFS(RII_Data!$K$5:$K$186,RII_Data!$A$5:$A$186,"M10",RII_Data!$G$5:$G$186,$A53,RII_Data!$H$5:$H$186,"Direct"),"")</f>
        <v>-0.49927202365142398</v>
      </c>
      <c r="E53" s="14">
        <f>IFERROR(AVERAGEIFS(RII_Data!$K$5:$K$186,RII_Data!$A$5:$A$186,"M14",RII_Data!$G$5:$G$186,$A53,RII_Data!$H$5:$H$186,"Direct"),"")</f>
        <v>-0.76935974208872027</v>
      </c>
      <c r="F53" s="14">
        <f>IFERROR(AVERAGEIFS(RII_Data!$K$5:$K$186,RII_Data!$A$5:$A$186,"M15",RII_Data!$G$5:$G$186,$A53,RII_Data!$H$5:$H$186,"Direct"),"")</f>
        <v>-1.3655528863321817</v>
      </c>
      <c r="G53" s="14">
        <f>IFERROR(AVERAGEIFS(RII_Data!$K$5:$K$186,RII_Data!$A$5:$A$186,"M01",RII_Data!$G$5:$G$186,$A53,RII_Data!$H$5:$H$186,"Direct"),"")</f>
        <v>-1.7553838545826039</v>
      </c>
      <c r="H53" s="12">
        <f t="shared" si="0"/>
        <v>3</v>
      </c>
      <c r="I53" s="26">
        <f t="shared" si="1"/>
        <v>-0.87806155069077541</v>
      </c>
      <c r="J53" s="12">
        <f t="shared" si="2"/>
        <v>28</v>
      </c>
      <c r="K53" s="12">
        <f t="shared" si="3"/>
        <v>4</v>
      </c>
      <c r="L53" s="26">
        <f t="shared" si="4"/>
        <v>-1.0973921266637325</v>
      </c>
      <c r="M53" s="12">
        <f t="shared" si="5"/>
        <v>32</v>
      </c>
    </row>
    <row r="54" spans="1:13" x14ac:dyDescent="0.35">
      <c r="A54" s="15" t="s">
        <v>296</v>
      </c>
      <c r="B54" s="16" t="s">
        <v>461</v>
      </c>
      <c r="C54" s="14">
        <f>IFERROR(AVERAGEIFS(RII_Data!$K$5:$K$186,RII_Data!$A$5:$A$186,"M06",RII_Data!$G$5:$G$186,$A54,RII_Data!$H$5:$H$186,"Direct"),"")</f>
        <v>-1.2477235250108816</v>
      </c>
      <c r="D54" s="14">
        <f>IFERROR(AVERAGEIFS(RII_Data!$K$5:$K$186,RII_Data!$A$5:$A$186,"M10",RII_Data!$G$5:$G$186,$A54,RII_Data!$H$5:$H$186,"Direct"),"")</f>
        <v>0.91623372142223758</v>
      </c>
      <c r="E54" s="14" t="str">
        <f>IFERROR(AVERAGEIFS(RII_Data!$K$5:$K$186,RII_Data!$A$5:$A$186,"M14",RII_Data!$G$5:$G$186,$A54,RII_Data!$H$5:$H$186,"Direct"),"")</f>
        <v/>
      </c>
      <c r="F54" s="14" t="str">
        <f>IFERROR(AVERAGEIFS(RII_Data!$K$5:$K$186,RII_Data!$A$5:$A$186,"M15",RII_Data!$G$5:$G$186,$A54,RII_Data!$H$5:$H$186,"Direct"),"")</f>
        <v/>
      </c>
      <c r="G54" s="14" t="str">
        <f>IFERROR(AVERAGEIFS(RII_Data!$K$5:$K$186,RII_Data!$A$5:$A$186,"M01",RII_Data!$G$5:$G$186,$A54,RII_Data!$H$5:$H$186,"Direct"),"")</f>
        <v/>
      </c>
      <c r="H54" s="12">
        <f t="shared" si="0"/>
        <v>2</v>
      </c>
      <c r="I54" s="26">
        <f t="shared" si="1"/>
        <v>-0.165744901794322</v>
      </c>
      <c r="J54" s="12">
        <f t="shared" si="2"/>
        <v>19</v>
      </c>
      <c r="K54" s="12">
        <f t="shared" si="3"/>
        <v>2</v>
      </c>
      <c r="L54" s="26">
        <f t="shared" si="4"/>
        <v>-0.165744901794322</v>
      </c>
      <c r="M54" s="12">
        <f t="shared" si="5"/>
        <v>20</v>
      </c>
    </row>
    <row r="55" spans="1:13" x14ac:dyDescent="0.35">
      <c r="A55" s="15" t="s">
        <v>334</v>
      </c>
      <c r="B55" s="16" t="s">
        <v>462</v>
      </c>
      <c r="C55" s="14" t="str">
        <f>IFERROR(AVERAGEIFS(RII_Data!$K$5:$K$186,RII_Data!$A$5:$A$186,"M06",RII_Data!$G$5:$G$186,$A55,RII_Data!$H$5:$H$186,"Direct"),"")</f>
        <v/>
      </c>
      <c r="D55" s="14">
        <f>IFERROR(AVERAGEIFS(RII_Data!$K$5:$K$186,RII_Data!$A$5:$A$186,"M10",RII_Data!$G$5:$G$186,$A55,RII_Data!$H$5:$H$186,"Direct"),"")</f>
        <v>-0.10395059935157359</v>
      </c>
      <c r="E55" s="14" t="str">
        <f>IFERROR(AVERAGEIFS(RII_Data!$K$5:$K$186,RII_Data!$A$5:$A$186,"M14",RII_Data!$G$5:$G$186,$A55,RII_Data!$H$5:$H$186,"Direct"),"")</f>
        <v/>
      </c>
      <c r="F55" s="14" t="str">
        <f>IFERROR(AVERAGEIFS(RII_Data!$K$5:$K$186,RII_Data!$A$5:$A$186,"M15",RII_Data!$G$5:$G$186,$A55,RII_Data!$H$5:$H$186,"Direct"),"")</f>
        <v/>
      </c>
      <c r="G55" s="14" t="str">
        <f>IFERROR(AVERAGEIFS(RII_Data!$K$5:$K$186,RII_Data!$A$5:$A$186,"M01",RII_Data!$G$5:$G$186,$A55,RII_Data!$H$5:$H$186,"Direct"),"")</f>
        <v/>
      </c>
      <c r="H55" s="12">
        <f t="shared" si="0"/>
        <v>1</v>
      </c>
      <c r="I55" s="26">
        <f t="shared" si="1"/>
        <v>-0.10395059935157359</v>
      </c>
      <c r="J55" s="12">
        <f t="shared" si="2"/>
        <v>18</v>
      </c>
      <c r="K55" s="12">
        <f t="shared" si="3"/>
        <v>1</v>
      </c>
      <c r="L55" s="26">
        <f t="shared" si="4"/>
        <v>-0.10395059935157359</v>
      </c>
      <c r="M55" s="12">
        <f t="shared" si="5"/>
        <v>19</v>
      </c>
    </row>
    <row r="56" spans="1:13" x14ac:dyDescent="0.35">
      <c r="A56" s="15" t="s">
        <v>303</v>
      </c>
      <c r="B56" s="16" t="s">
        <v>463</v>
      </c>
      <c r="C56" s="14">
        <f>IFERROR(AVERAGEIFS(RII_Data!$K$5:$K$186,RII_Data!$A$5:$A$186,"M06",RII_Data!$G$5:$G$186,$A56,RII_Data!$H$5:$H$186,"Direct"),"")</f>
        <v>-2.6001299828935664</v>
      </c>
      <c r="D56" s="14" t="str">
        <f>IFERROR(AVERAGEIFS(RII_Data!$K$5:$K$186,RII_Data!$A$5:$A$186,"M10",RII_Data!$G$5:$G$186,$A56,RII_Data!$H$5:$H$186,"Direct"),"")</f>
        <v/>
      </c>
      <c r="E56" s="14" t="str">
        <f>IFERROR(AVERAGEIFS(RII_Data!$K$5:$K$186,RII_Data!$A$5:$A$186,"M14",RII_Data!$G$5:$G$186,$A56,RII_Data!$H$5:$H$186,"Direct"),"")</f>
        <v/>
      </c>
      <c r="F56" s="14" t="str">
        <f>IFERROR(AVERAGEIFS(RII_Data!$K$5:$K$186,RII_Data!$A$5:$A$186,"M15",RII_Data!$G$5:$G$186,$A56,RII_Data!$H$5:$H$186,"Direct"),"")</f>
        <v/>
      </c>
      <c r="G56" s="14" t="str">
        <f>IFERROR(AVERAGEIFS(RII_Data!$K$5:$K$186,RII_Data!$A$5:$A$186,"M01",RII_Data!$G$5:$G$186,$A56,RII_Data!$H$5:$H$186,"Direct"),"")</f>
        <v/>
      </c>
      <c r="H56" s="12">
        <f t="shared" si="0"/>
        <v>1</v>
      </c>
      <c r="I56" s="26">
        <f t="shared" si="1"/>
        <v>-2.6001299828935664</v>
      </c>
      <c r="J56" s="12">
        <f t="shared" si="2"/>
        <v>33</v>
      </c>
      <c r="K56" s="12">
        <f t="shared" si="3"/>
        <v>1</v>
      </c>
      <c r="L56" s="26">
        <f t="shared" si="4"/>
        <v>-2.6001299828935664</v>
      </c>
      <c r="M56" s="12">
        <f t="shared" si="5"/>
        <v>34</v>
      </c>
    </row>
    <row r="57" spans="1:13" x14ac:dyDescent="0.35">
      <c r="A57" s="15" t="s">
        <v>411</v>
      </c>
      <c r="B57" s="16" t="s">
        <v>464</v>
      </c>
      <c r="C57" s="14" t="str">
        <f>IFERROR(AVERAGEIFS(RII_Data!$K$5:$K$186,RII_Data!$A$5:$A$186,"M06",RII_Data!$G$5:$G$186,$A57,RII_Data!$H$5:$H$186,"Direct"),"")</f>
        <v/>
      </c>
      <c r="D57" s="14" t="str">
        <f>IFERROR(AVERAGEIFS(RII_Data!$K$5:$K$186,RII_Data!$A$5:$A$186,"M10",RII_Data!$G$5:$G$186,$A57,RII_Data!$H$5:$H$186,"Direct"),"")</f>
        <v/>
      </c>
      <c r="E57" s="14" t="str">
        <f>IFERROR(AVERAGEIFS(RII_Data!$K$5:$K$186,RII_Data!$A$5:$A$186,"M14",RII_Data!$G$5:$G$186,$A57,RII_Data!$H$5:$H$186,"Direct"),"")</f>
        <v/>
      </c>
      <c r="F57" s="14" t="str">
        <f>IFERROR(AVERAGEIFS(RII_Data!$K$5:$K$186,RII_Data!$A$5:$A$186,"M15",RII_Data!$G$5:$G$186,$A57,RII_Data!$H$5:$H$186,"Direct"),"")</f>
        <v/>
      </c>
      <c r="G57" s="14" t="str">
        <f>IFERROR(AVERAGEIFS(RII_Data!$K$5:$K$186,RII_Data!$A$5:$A$186,"M01",RII_Data!$G$5:$G$186,$A57,RII_Data!$H$5:$H$186,"Direct"),"")</f>
        <v/>
      </c>
      <c r="H57" s="12">
        <f t="shared" si="0"/>
        <v>0</v>
      </c>
      <c r="I57" s="26" t="str">
        <f t="shared" si="1"/>
        <v/>
      </c>
      <c r="J57" s="12" t="str">
        <f t="shared" si="2"/>
        <v/>
      </c>
      <c r="K57" s="12">
        <f t="shared" si="3"/>
        <v>0</v>
      </c>
      <c r="L57" s="26" t="str">
        <f t="shared" si="4"/>
        <v/>
      </c>
      <c r="M57" s="12" t="str">
        <f t="shared" si="5"/>
        <v/>
      </c>
    </row>
    <row r="59" spans="1:13" x14ac:dyDescent="0.35">
      <c r="A59" s="21" t="s">
        <v>470</v>
      </c>
    </row>
    <row r="60" spans="1:13" x14ac:dyDescent="0.35">
      <c r="A60" s="22" t="s">
        <v>547</v>
      </c>
    </row>
    <row r="61" spans="1:13" x14ac:dyDescent="0.35">
      <c r="A61" s="22" t="s">
        <v>548</v>
      </c>
    </row>
    <row r="62" spans="1:13" x14ac:dyDescent="0.35">
      <c r="A62" s="22" t="s">
        <v>549</v>
      </c>
    </row>
    <row r="63" spans="1:13" x14ac:dyDescent="0.35">
      <c r="A63" s="22" t="s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it works</vt:lpstr>
      <vt:lpstr>Studies</vt:lpstr>
      <vt:lpstr>RII_Data</vt:lpstr>
      <vt:lpstr>Seed_Calculation</vt:lpstr>
      <vt:lpstr>Validation</vt:lpstr>
      <vt:lpstr>Other_indices</vt:lpstr>
      <vt:lpstr>Standardised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MOZE</cp:lastModifiedBy>
  <dcterms:created xsi:type="dcterms:W3CDTF">2026-10-06T17:30:57Z</dcterms:created>
  <dcterms:modified xsi:type="dcterms:W3CDTF">2026-10-06T17:30:58Z</dcterms:modified>
</cp:coreProperties>
</file>