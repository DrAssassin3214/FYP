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isks" sheetId="3" state="visible" r:id="rId5"/>
    <sheet name="Totals" sheetId="4" state="visible" r:id="rId6"/>
    <sheet name="Matrix" sheetId="5" state="visible" r:id="rId7"/>
    <sheet name="Respons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<sst xmlns="http://schemas.openxmlformats.org/spreadsheetml/2006/main" count="177" uniqueCount="132">
  <si>
    <t xml:space="preserve">Manual check of the tool's calculations</t>
  </si>
  <si>
    <t xml:space="preserve">Case</t>
  </si>
  <si>
    <t xml:space="preserve">ILLUSTRATIVE analysis example. Activity: Brick masonry, ground-floor walls.</t>
  </si>
  <si>
    <t xml:space="preserve">What this is</t>
  </si>
  <si>
    <t xml:space="preserve">Closed-form quantities recomputed by hand as live Excel formulas from the inputs on the Inputs sheet, beside the number the tool printed, with a difference and a PASS / FAIL formula. If you change a blue input, the hand column recomputes but the pasted tool column does not, so differences will then appear.</t>
  </si>
  <si>
    <t xml:space="preserve">Checked here</t>
  </si>
  <si>
    <t xml:space="preserve">Delay moments by distribution kind; event EMV = p x (mean delay x delay cost + direct cost); 5 x 5 class and level; net benefit of each response (EMV removed - secondary EMV - cost); expected total delay and probability of any delay against the simulation (within 3 standard errors).</t>
  </si>
  <si>
    <t xml:space="preserve">NOT checked here</t>
  </si>
  <si>
    <t xml:space="preserve">Simulated duration and cost percentiles (P50, P90), liquidated-damage costs, and the option comparison need the full distribution. They are checked by the validation scripts in report/scripts/validation_2026-10-09/ (exact grid convolution and a large independent simulation).</t>
  </si>
  <si>
    <t xml:space="preserve">Occurrence correlation</t>
  </si>
  <si>
    <t xml:space="preserve">No occurrence correlation was entered; the independence formulas apply.</t>
  </si>
  <si>
    <t xml:space="preserve">Colour legend</t>
  </si>
  <si>
    <t xml:space="preserve">Blue on yellow = input. Blue on white = value pasted from the tool. Black = formula. Green = link to another sheet.</t>
  </si>
  <si>
    <t xml:space="preserve">Not evidence</t>
  </si>
  <si>
    <t xml:space="preserve">A PASS shows the arithmetic is right, not that the entered probabilities, delays and costs describe a real site.</t>
  </si>
  <si>
    <t xml:space="preserve">Tool run</t>
  </si>
  <si>
    <t xml:space="preserve">n = 10000, seed = 12345, criterion = min_expected_total_cost.</t>
  </si>
  <si>
    <t xml:space="preserve">Overall</t>
  </si>
  <si>
    <t xml:space="preserve">Inputs (from the case)</t>
  </si>
  <si>
    <t xml:space="preserve">Quantity</t>
  </si>
  <si>
    <t xml:space="preserve">Value</t>
  </si>
  <si>
    <t xml:space="preserve">Unit</t>
  </si>
  <si>
    <t xml:space="preserve">Planned duration T0</t>
  </si>
  <si>
    <t xml:space="preserve">days</t>
  </si>
  <si>
    <t xml:space="preserve">Deadline</t>
  </si>
  <si>
    <t xml:space="preserve">days (blank = none)</t>
  </si>
  <si>
    <t xml:space="preserve">Delay cost per day Cd</t>
  </si>
  <si>
    <t xml:space="preserve">INR per day</t>
  </si>
  <si>
    <t xml:space="preserve">Liquidated damages per day</t>
  </si>
  <si>
    <t xml:space="preserve">INR per day (not used in these checks)</t>
  </si>
  <si>
    <t xml:space="preserve">Simulation draws n</t>
  </si>
  <si>
    <t xml:space="preserve">draws</t>
  </si>
  <si>
    <t xml:space="preserve">Seed</t>
  </si>
  <si>
    <t xml:space="preserve">Risk id</t>
  </si>
  <si>
    <t xml:space="preserve">Name</t>
  </si>
  <si>
    <t xml:space="preserve">Delay kind</t>
  </si>
  <si>
    <t xml:space="preserve">a (min)</t>
  </si>
  <si>
    <t xml:space="preserve">m (mode)</t>
  </si>
  <si>
    <t xml:space="preserve">b (max)</t>
  </si>
  <si>
    <t xml:space="preserve">lambda</t>
  </si>
  <si>
    <t xml:space="preserve">p</t>
  </si>
  <si>
    <t xml:space="preserve">Direct cost if it occurs</t>
  </si>
  <si>
    <t xml:space="preserve">R-MAT</t>
  </si>
  <si>
    <t xml:space="preserve">Brick / material shortage</t>
  </si>
  <si>
    <t xml:space="preserve">pert</t>
  </si>
  <si>
    <t xml:space="preserve">R-LAB</t>
  </si>
  <si>
    <t xml:space="preserve">Labour absenteeism / shortage</t>
  </si>
  <si>
    <t xml:space="preserve">R-RWK</t>
  </si>
  <si>
    <t xml:space="preserve">Rework due to workmanship</t>
  </si>
  <si>
    <t xml:space="preserve">R-WX</t>
  </si>
  <si>
    <t xml:space="preserve">Rain / monsoon stoppage</t>
  </si>
  <si>
    <t xml:space="preserve">R-PLAN</t>
  </si>
  <si>
    <t xml:space="preserve">Poor planning or unrealistic scheduling</t>
  </si>
  <si>
    <t xml:space="preserve">R-SAFE</t>
  </si>
  <si>
    <t xml:space="preserve">Unsafe conditions / work at height</t>
  </si>
  <si>
    <t xml:space="preserve">R-SKILL</t>
  </si>
  <si>
    <t xml:space="preserve">Unskilled or unqualified labour</t>
  </si>
  <si>
    <t xml:space="preserve">Response id</t>
  </si>
  <si>
    <t xml:space="preserve">Targets risk</t>
  </si>
  <si>
    <t xml:space="preserve">Cost</t>
  </si>
  <si>
    <t xml:space="preserve">p after</t>
  </si>
  <si>
    <t xml:space="preserve">Delay-after kind</t>
  </si>
  <si>
    <t xml:space="preserve">a</t>
  </si>
  <si>
    <t xml:space="preserve">m</t>
  </si>
  <si>
    <t xml:space="preserve">b</t>
  </si>
  <si>
    <t xml:space="preserve">Feasible?</t>
  </si>
  <si>
    <t xml:space="preserve">M-BUF</t>
  </si>
  <si>
    <t xml:space="preserve">Yes</t>
  </si>
  <si>
    <t xml:space="preserve">M-SUP</t>
  </si>
  <si>
    <t xml:space="preserve">M-GANG</t>
  </si>
  <si>
    <t xml:space="preserve">M-COV</t>
  </si>
  <si>
    <t xml:space="preserve">M-QC</t>
  </si>
  <si>
    <t xml:space="preserve">M-MECH</t>
  </si>
  <si>
    <t xml:space="preserve">No</t>
  </si>
  <si>
    <t xml:space="preserve">Secondary risk id</t>
  </si>
  <si>
    <t xml:space="preserve">Direct cost</t>
  </si>
  <si>
    <t xml:space="preserve">S-CONG</t>
  </si>
  <si>
    <t xml:space="preserve">Probability class edges (lower-edge inclusive)</t>
  </si>
  <si>
    <t xml:space="preserve">Impact edges (fraction of T0)</t>
  </si>
  <si>
    <t xml:space="preserve">Level cut-offs on score (Low &lt;=, Moderate &lt;=, High &lt;=)</t>
  </si>
  <si>
    <t xml:space="preserve">Per-risk moments and event EMV: hand vs tool</t>
  </si>
  <si>
    <t xml:space="preserve">Mean delay if it occurs (d)</t>
  </si>
  <si>
    <t xml:space="preserve">Variance (d^2)</t>
  </si>
  <si>
    <t xml:space="preserve">Conditional cost
=mean x Cd + direct</t>
  </si>
  <si>
    <t xml:space="preserve">Event EMV
=p x conditional cost</t>
  </si>
  <si>
    <t xml:space="preserve">Tool mean (d)</t>
  </si>
  <si>
    <t xml:space="preserve">Tool EMV</t>
  </si>
  <si>
    <t xml:space="preserve">Mean diff</t>
  </si>
  <si>
    <t xml:space="preserve">EMV diff</t>
  </si>
  <si>
    <t xml:space="preserve">Result</t>
  </si>
  <si>
    <t xml:space="preserve">1 - p</t>
  </si>
  <si>
    <t xml:space="preserve">Expected total delay and probability of any delay: hand vs simulation</t>
  </si>
  <si>
    <t xml:space="preserve">Hand (formula)</t>
  </si>
  <si>
    <t xml:space="preserve">Tool (simulated)</t>
  </si>
  <si>
    <t xml:space="preserve">Difference</t>
  </si>
  <si>
    <t xml:space="preserve">Tolerance (3 standard errors)</t>
  </si>
  <si>
    <t xml:space="preserve">Expected total delay (d) = sum of p x mean</t>
  </si>
  <si>
    <t xml:space="preserve">Probability of any delay = 1 - product(1 - p)</t>
  </si>
  <si>
    <t xml:space="preserve">Sum of event EMV (cost units)</t>
  </si>
  <si>
    <t xml:space="preserve">Tolerance for the first two rows uses the tool's own standard error of the mean and the binomial standard error at the number of draws used. A simulation will miss its exact value by more than 3 standard errors about 3 times in 1,000.</t>
  </si>
  <si>
    <t xml:space="preserve">5 x 5 class and level: hand vs tool</t>
  </si>
  <si>
    <t xml:space="preserve">Mean delay (d)</t>
  </si>
  <si>
    <t xml:space="preserve">Ratio = mean / T0</t>
  </si>
  <si>
    <t xml:space="preserve">Probability class</t>
  </si>
  <si>
    <t xml:space="preserve">Impact class</t>
  </si>
  <si>
    <t xml:space="preserve">Score</t>
  </si>
  <si>
    <t xml:space="preserve">Level</t>
  </si>
  <si>
    <t xml:space="preserve">Tool p class</t>
  </si>
  <si>
    <t xml:space="preserve">Tool impact class</t>
  </si>
  <si>
    <t xml:space="preserve">Tool score</t>
  </si>
  <si>
    <t xml:space="preserve">Tool level</t>
  </si>
  <si>
    <t xml:space="preserve">High</t>
  </si>
  <si>
    <t xml:space="preserve">Moderate</t>
  </si>
  <si>
    <t xml:space="preserve">Low</t>
  </si>
  <si>
    <t xml:space="preserve">Net benefit of each response: hand vs tool (this response alone, analytic, linear cost)</t>
  </si>
  <si>
    <t xml:space="preserve">Response</t>
  </si>
  <si>
    <t xml:space="preserve">Targets</t>
  </si>
  <si>
    <t xml:space="preserve">EMV before</t>
  </si>
  <si>
    <t xml:space="preserve">p after (or original p)</t>
  </si>
  <si>
    <t xml:space="preserve">Mean delay after (d)</t>
  </si>
  <si>
    <t xml:space="preserve">EMV after</t>
  </si>
  <si>
    <t xml:space="preserve">Secondary EMV</t>
  </si>
  <si>
    <t xml:space="preserve">Net benefit
=before - after - secondary - cost</t>
  </si>
  <si>
    <t xml:space="preserve">Break-even: cost / EMV before</t>
  </si>
  <si>
    <t xml:space="preserve">Tool EMV before</t>
  </si>
  <si>
    <t xml:space="preserve">Tool EMV after</t>
  </si>
  <si>
    <t xml:space="preserve">Tool secondary</t>
  </si>
  <si>
    <t xml:space="preserve">Tool net</t>
  </si>
  <si>
    <t xml:space="preserve">Net diff</t>
  </si>
  <si>
    <t xml:space="preserve">Secondary risks created by a response (hand EMV = p x (mean x Cd + direct cost))</t>
  </si>
  <si>
    <t xml:space="preserve">Secondary risk</t>
  </si>
  <si>
    <t xml:space="preserve">EMV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</si>
</sst>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####"/>
    <numFmt numFmtId="166" formatCode="0.0###"/>
    <numFmt numFmtId="167" formatCode="#,##0"/>
    <numFmt numFmtId="168" formatCode="0"/>
    <numFmt numFmtId="169" formatCode="0.0000"/>
    <numFmt numFmtId="170" formatCode="0.000000"/>
    <numFmt numFmtId="171" formatCode="#,##0.00"/>
    <numFmt numFmtId="172" formatCode="0.0E+00"/>
    <numFmt numFmtId="173" formatCode="0.00000"/>
    <numFmt numFmtId="174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3" t="s">
        <v>2</v>
      </c>
    </row>
    <row r="4" customFormat="false" ht="48" hidden="false" customHeight="true" outlineLevel="0" collapsed="false">
      <c r="A4" s="2" t="s">
        <v>3</v>
      </c>
      <c r="B4" s="3" t="s">
        <v>4</v>
      </c>
    </row>
    <row r="5" customFormat="false" ht="48" hidden="false" customHeight="true" outlineLevel="0" collapsed="false">
      <c r="A5" s="2" t="s">
        <v>5</v>
      </c>
      <c r="B5" s="3" t="s">
        <v>6</v>
      </c>
    </row>
    <row r="6" customFormat="false" ht="48" hidden="false" customHeight="true" outlineLevel="0" collapsed="false">
      <c r="A6" s="2" t="s">
        <v>7</v>
      </c>
      <c r="B6" s="3" t="s">
        <v>8</v>
      </c>
    </row>
    <row r="7" customFormat="false" ht="48" hidden="false" customHeight="true" outlineLevel="0" collapsed="false">
      <c r="A7" s="2" t="s">
        <v>9</v>
      </c>
      <c r="B7" s="3" t="s">
        <v>10</v>
      </c>
    </row>
    <row r="8" customFormat="false" ht="48" hidden="false" customHeight="true" outlineLevel="0" collapsed="false">
      <c r="A8" s="2" t="s">
        <v>11</v>
      </c>
      <c r="B8" s="3" t="s">
        <v>12</v>
      </c>
    </row>
    <row r="9" customFormat="false" ht="48" hidden="false" customHeight="true" outlineLevel="0" collapsed="false">
      <c r="A9" s="2" t="s">
        <v>13</v>
      </c>
      <c r="B9" s="3" t="s">
        <v>14</v>
      </c>
    </row>
    <row r="10" customFormat="false" ht="48" hidden="false" customHeight="true" outlineLevel="0" collapsed="false">
      <c r="A10" s="2" t="s">
        <v>15</v>
      </c>
      <c r="B10" s="3" t="s">
        <v>16</v>
      </c>
    </row>
    <row r="12" customFormat="false" ht="15" hidden="false" customHeight="false" outlineLevel="0" collapsed="false">
      <c r="A12" s="4" t="s">
        <v>17</v>
      </c>
      <c r="B12" s="4" t="str">
        <f aca="false">IF((COUNTIF(Risks!K4:K10,"FAIL")+COUNTIF(Totals!F4:F6,"FAIL")+COUNTIF(Matrix!M4:M10,"FAIL")+COUNTIF(Responses!R4:R9,"FAIL"))=0,"ALL "&amp;(COUNTIF(Risks!K4:K10,"PASS")+COUNTIF(Totals!F4:F6,"PASS")+COUNTIF(Matrix!M4:M10,"PASS")+COUNTIF(Responses!R4:R9,"PASS"))&amp;" CHECKS PASS",(COUNTIF(Risks!K4:K10,"FAIL")+COUNTIF(Totals!F4:F6,"FAIL")+COUNTIF(Matrix!M4:M10,"FAIL")+COUNTIF(Responses!R4:R9,"FAIL"))&amp;" OF "&amp;((COUNTIF(Risks!K4:K10,"PASS")+COUNTIF(Totals!F4:F6,"PASS")+COUNTIF(Matrix!M4:M10,"PASS")+COUNTIF(Responses!R4:R9,"PASS"))+(COUNTIF(Risks!K4:K10,"FAIL")+COUNTIF(Totals!F4:F6,"FAIL")+COUNTIF(Matrix!M4:M10,"FAIL")+COUNTIF(Responses!R4:R9,"FAIL")))&amp;" CHECKS FAIL")</f>
        <v>ALL 23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18</v>
      </c>
    </row>
    <row r="3" customFormat="false" ht="21.75" hidden="false" customHeight="true" outlineLevel="0" collapsed="false">
      <c r="A3" s="5" t="s">
        <v>19</v>
      </c>
      <c r="B3" s="5" t="s">
        <v>20</v>
      </c>
      <c r="C3" s="5" t="s">
        <v>21</v>
      </c>
    </row>
    <row r="4" customFormat="false" ht="15" hidden="false" customHeight="false" outlineLevel="0" collapsed="false">
      <c r="A4" s="4" t="s">
        <v>22</v>
      </c>
      <c r="B4" s="6" t="n">
        <v>16</v>
      </c>
      <c r="C4" s="7" t="s">
        <v>23</v>
      </c>
    </row>
    <row r="5" customFormat="false" ht="15" hidden="false" customHeight="false" outlineLevel="0" collapsed="false">
      <c r="A5" s="4" t="s">
        <v>24</v>
      </c>
      <c r="B5" s="6" t="n">
        <v>20</v>
      </c>
      <c r="C5" s="7" t="s">
        <v>25</v>
      </c>
    </row>
    <row r="6" customFormat="false" ht="15" hidden="false" customHeight="false" outlineLevel="0" collapsed="false">
      <c r="A6" s="4" t="s">
        <v>26</v>
      </c>
      <c r="B6" s="6" t="n">
        <v>8000</v>
      </c>
      <c r="C6" s="7" t="s">
        <v>27</v>
      </c>
    </row>
    <row r="7" customFormat="false" ht="15" hidden="false" customHeight="false" outlineLevel="0" collapsed="false">
      <c r="A7" s="4" t="s">
        <v>28</v>
      </c>
      <c r="B7" s="6" t="n">
        <v>5000</v>
      </c>
      <c r="C7" s="7" t="s">
        <v>29</v>
      </c>
    </row>
    <row r="8" customFormat="false" ht="15" hidden="false" customHeight="false" outlineLevel="0" collapsed="false">
      <c r="A8" s="4" t="s">
        <v>30</v>
      </c>
      <c r="B8" s="6" t="n">
        <v>10000</v>
      </c>
      <c r="C8" s="7" t="s">
        <v>31</v>
      </c>
    </row>
    <row r="9" customFormat="false" ht="15" hidden="false" customHeight="false" outlineLevel="0" collapsed="false">
      <c r="A9" s="4" t="s">
        <v>32</v>
      </c>
      <c r="B9" s="6" t="n">
        <v>12345</v>
      </c>
      <c r="C9" s="7"/>
    </row>
    <row r="12" customFormat="false" ht="30" hidden="false" customHeight="true" outlineLevel="0" collapsed="false">
      <c r="A12" s="5" t="s">
        <v>33</v>
      </c>
      <c r="B12" s="5" t="s">
        <v>34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40</v>
      </c>
      <c r="I12" s="5" t="s">
        <v>41</v>
      </c>
    </row>
    <row r="13" customFormat="false" ht="15" hidden="false" customHeight="false" outlineLevel="0" collapsed="false">
      <c r="A13" s="4" t="s">
        <v>42</v>
      </c>
      <c r="B13" s="7" t="s">
        <v>43</v>
      </c>
      <c r="C13" s="8" t="s">
        <v>44</v>
      </c>
      <c r="D13" s="9" t="n">
        <v>1</v>
      </c>
      <c r="E13" s="9" t="n">
        <v>3</v>
      </c>
      <c r="F13" s="9" t="n">
        <v>8</v>
      </c>
      <c r="G13" s="9" t="n">
        <v>4</v>
      </c>
      <c r="H13" s="9" t="n">
        <v>0.5</v>
      </c>
      <c r="I13" s="10" t="n">
        <v>0</v>
      </c>
    </row>
    <row r="14" customFormat="false" ht="15" hidden="false" customHeight="false" outlineLevel="0" collapsed="false">
      <c r="A14" s="4" t="s">
        <v>45</v>
      </c>
      <c r="B14" s="7" t="s">
        <v>46</v>
      </c>
      <c r="C14" s="8" t="s">
        <v>44</v>
      </c>
      <c r="D14" s="9" t="n">
        <v>1</v>
      </c>
      <c r="E14" s="9" t="n">
        <v>2</v>
      </c>
      <c r="F14" s="9" t="n">
        <v>6</v>
      </c>
      <c r="G14" s="9" t="n">
        <v>4</v>
      </c>
      <c r="H14" s="9" t="n">
        <v>0.35</v>
      </c>
      <c r="I14" s="10" t="n">
        <v>0</v>
      </c>
    </row>
    <row r="15" customFormat="false" ht="15" hidden="false" customHeight="false" outlineLevel="0" collapsed="false">
      <c r="A15" s="4" t="s">
        <v>47</v>
      </c>
      <c r="B15" s="7" t="s">
        <v>48</v>
      </c>
      <c r="C15" s="8" t="s">
        <v>44</v>
      </c>
      <c r="D15" s="9" t="n">
        <v>1</v>
      </c>
      <c r="E15" s="9" t="n">
        <v>2</v>
      </c>
      <c r="F15" s="9" t="n">
        <v>5</v>
      </c>
      <c r="G15" s="9" t="n">
        <v>4</v>
      </c>
      <c r="H15" s="9" t="n">
        <v>0.25</v>
      </c>
      <c r="I15" s="10" t="n">
        <v>0</v>
      </c>
    </row>
    <row r="16" customFormat="false" ht="15" hidden="false" customHeight="false" outlineLevel="0" collapsed="false">
      <c r="A16" s="4" t="s">
        <v>49</v>
      </c>
      <c r="B16" s="7" t="s">
        <v>50</v>
      </c>
      <c r="C16" s="8" t="s">
        <v>44</v>
      </c>
      <c r="D16" s="9" t="n">
        <v>1</v>
      </c>
      <c r="E16" s="9" t="n">
        <v>2</v>
      </c>
      <c r="F16" s="9" t="n">
        <v>7</v>
      </c>
      <c r="G16" s="9" t="n">
        <v>4</v>
      </c>
      <c r="H16" s="9" t="n">
        <v>0.2</v>
      </c>
      <c r="I16" s="10" t="n">
        <v>0</v>
      </c>
    </row>
    <row r="17" customFormat="false" ht="15" hidden="false" customHeight="false" outlineLevel="0" collapsed="false">
      <c r="A17" s="4" t="s">
        <v>51</v>
      </c>
      <c r="B17" s="7" t="s">
        <v>52</v>
      </c>
      <c r="C17" s="8" t="s">
        <v>44</v>
      </c>
      <c r="D17" s="9" t="n">
        <v>1</v>
      </c>
      <c r="E17" s="9" t="n">
        <v>1</v>
      </c>
      <c r="F17" s="9" t="n">
        <v>3</v>
      </c>
      <c r="G17" s="9" t="n">
        <v>4</v>
      </c>
      <c r="H17" s="9" t="n">
        <v>0.1</v>
      </c>
      <c r="I17" s="10" t="n">
        <v>0</v>
      </c>
    </row>
    <row r="18" customFormat="false" ht="15" hidden="false" customHeight="false" outlineLevel="0" collapsed="false">
      <c r="A18" s="4" t="s">
        <v>53</v>
      </c>
      <c r="B18" s="7" t="s">
        <v>54</v>
      </c>
      <c r="C18" s="8" t="s">
        <v>44</v>
      </c>
      <c r="D18" s="9" t="n">
        <v>1</v>
      </c>
      <c r="E18" s="9" t="n">
        <v>2</v>
      </c>
      <c r="F18" s="9" t="n">
        <v>6</v>
      </c>
      <c r="G18" s="9" t="n">
        <v>4</v>
      </c>
      <c r="H18" s="9" t="n">
        <v>0.3</v>
      </c>
      <c r="I18" s="10" t="n">
        <v>0</v>
      </c>
    </row>
    <row r="19" customFormat="false" ht="15" hidden="false" customHeight="false" outlineLevel="0" collapsed="false">
      <c r="A19" s="4" t="s">
        <v>55</v>
      </c>
      <c r="B19" s="7" t="s">
        <v>56</v>
      </c>
      <c r="C19" s="8" t="s">
        <v>44</v>
      </c>
      <c r="D19" s="9" t="n">
        <v>1</v>
      </c>
      <c r="E19" s="9" t="n">
        <v>2</v>
      </c>
      <c r="F19" s="9" t="n">
        <v>5</v>
      </c>
      <c r="G19" s="9" t="n">
        <v>4</v>
      </c>
      <c r="H19" s="9" t="n">
        <v>0.22</v>
      </c>
      <c r="I19" s="10" t="n">
        <v>0</v>
      </c>
    </row>
    <row r="22" customFormat="false" ht="30" hidden="false" customHeight="true" outlineLevel="0" collapsed="false">
      <c r="A22" s="5" t="s">
        <v>57</v>
      </c>
      <c r="B22" s="5" t="s">
        <v>58</v>
      </c>
      <c r="C22" s="5" t="s">
        <v>59</v>
      </c>
      <c r="D22" s="5" t="s">
        <v>60</v>
      </c>
      <c r="E22" s="5" t="s">
        <v>61</v>
      </c>
      <c r="F22" s="5" t="s">
        <v>62</v>
      </c>
      <c r="G22" s="5" t="s">
        <v>63</v>
      </c>
      <c r="H22" s="5" t="s">
        <v>64</v>
      </c>
      <c r="I22" s="5" t="s">
        <v>39</v>
      </c>
      <c r="J22" s="5" t="s">
        <v>65</v>
      </c>
    </row>
    <row r="23" customFormat="false" ht="15" hidden="false" customHeight="false" outlineLevel="0" collapsed="false">
      <c r="A23" s="4" t="s">
        <v>66</v>
      </c>
      <c r="B23" s="7" t="s">
        <v>42</v>
      </c>
      <c r="C23" s="10" t="n">
        <v>6000</v>
      </c>
      <c r="D23" s="9" t="n">
        <v>0.2</v>
      </c>
      <c r="E23" s="8"/>
      <c r="F23" s="9"/>
      <c r="G23" s="9"/>
      <c r="H23" s="9"/>
      <c r="I23" s="9"/>
      <c r="J23" s="8" t="s">
        <v>67</v>
      </c>
    </row>
    <row r="24" customFormat="false" ht="15" hidden="false" customHeight="false" outlineLevel="0" collapsed="false">
      <c r="A24" s="4" t="s">
        <v>68</v>
      </c>
      <c r="B24" s="7" t="s">
        <v>42</v>
      </c>
      <c r="C24" s="10" t="n">
        <v>3000</v>
      </c>
      <c r="D24" s="9" t="n">
        <v>0.35</v>
      </c>
      <c r="E24" s="8"/>
      <c r="F24" s="9"/>
      <c r="G24" s="9"/>
      <c r="H24" s="9"/>
      <c r="I24" s="9"/>
      <c r="J24" s="8" t="s">
        <v>67</v>
      </c>
    </row>
    <row r="25" customFormat="false" ht="15" hidden="false" customHeight="false" outlineLevel="0" collapsed="false">
      <c r="A25" s="4" t="s">
        <v>69</v>
      </c>
      <c r="B25" s="7" t="s">
        <v>45</v>
      </c>
      <c r="C25" s="10" t="n">
        <v>9000</v>
      </c>
      <c r="D25" s="9"/>
      <c r="E25" s="8" t="s">
        <v>44</v>
      </c>
      <c r="F25" s="9" t="n">
        <v>0</v>
      </c>
      <c r="G25" s="9" t="n">
        <v>1</v>
      </c>
      <c r="H25" s="9" t="n">
        <v>3</v>
      </c>
      <c r="I25" s="9" t="n">
        <v>4</v>
      </c>
      <c r="J25" s="8" t="s">
        <v>67</v>
      </c>
    </row>
    <row r="26" customFormat="false" ht="15" hidden="false" customHeight="false" outlineLevel="0" collapsed="false">
      <c r="A26" s="4" t="s">
        <v>70</v>
      </c>
      <c r="B26" s="7" t="s">
        <v>49</v>
      </c>
      <c r="C26" s="10" t="n">
        <v>2500</v>
      </c>
      <c r="D26" s="9" t="n">
        <v>0.12</v>
      </c>
      <c r="E26" s="8"/>
      <c r="F26" s="9"/>
      <c r="G26" s="9"/>
      <c r="H26" s="9"/>
      <c r="I26" s="9"/>
      <c r="J26" s="8" t="s">
        <v>67</v>
      </c>
    </row>
    <row r="27" customFormat="false" ht="15" hidden="false" customHeight="false" outlineLevel="0" collapsed="false">
      <c r="A27" s="4" t="s">
        <v>71</v>
      </c>
      <c r="B27" s="7" t="s">
        <v>47</v>
      </c>
      <c r="C27" s="10" t="n">
        <v>1500</v>
      </c>
      <c r="D27" s="9" t="n">
        <v>0.15</v>
      </c>
      <c r="E27" s="8"/>
      <c r="F27" s="9"/>
      <c r="G27" s="9"/>
      <c r="H27" s="9"/>
      <c r="I27" s="9"/>
      <c r="J27" s="8" t="s">
        <v>67</v>
      </c>
    </row>
    <row r="28" customFormat="false" ht="15" hidden="false" customHeight="false" outlineLevel="0" collapsed="false">
      <c r="A28" s="4" t="s">
        <v>72</v>
      </c>
      <c r="B28" s="7" t="s">
        <v>55</v>
      </c>
      <c r="C28" s="10" t="n">
        <v>4000</v>
      </c>
      <c r="D28" s="9" t="n">
        <v>0.1</v>
      </c>
      <c r="E28" s="8"/>
      <c r="F28" s="9"/>
      <c r="G28" s="9"/>
      <c r="H28" s="9"/>
      <c r="I28" s="9"/>
      <c r="J28" s="8" t="s">
        <v>73</v>
      </c>
    </row>
    <row r="31" customFormat="false" ht="30" hidden="false" customHeight="true" outlineLevel="0" collapsed="false">
      <c r="A31" s="5" t="s">
        <v>57</v>
      </c>
      <c r="B31" s="5" t="s">
        <v>74</v>
      </c>
      <c r="C31" s="5" t="s">
        <v>40</v>
      </c>
      <c r="D31" s="5" t="s">
        <v>35</v>
      </c>
      <c r="E31" s="5" t="s">
        <v>62</v>
      </c>
      <c r="F31" s="5" t="s">
        <v>63</v>
      </c>
      <c r="G31" s="5" t="s">
        <v>64</v>
      </c>
      <c r="H31" s="5" t="s">
        <v>39</v>
      </c>
      <c r="I31" s="5" t="s">
        <v>75</v>
      </c>
    </row>
    <row r="32" customFormat="false" ht="15" hidden="false" customHeight="false" outlineLevel="0" collapsed="false">
      <c r="A32" s="4" t="s">
        <v>69</v>
      </c>
      <c r="B32" s="7" t="s">
        <v>76</v>
      </c>
      <c r="C32" s="9" t="n">
        <v>0.3</v>
      </c>
      <c r="D32" s="8" t="s">
        <v>44</v>
      </c>
      <c r="E32" s="9" t="n">
        <v>0</v>
      </c>
      <c r="F32" s="9" t="n">
        <v>1</v>
      </c>
      <c r="G32" s="9" t="n">
        <v>2</v>
      </c>
      <c r="H32" s="9" t="n">
        <v>4</v>
      </c>
      <c r="I32" s="10" t="n">
        <v>0</v>
      </c>
    </row>
    <row r="35" customFormat="false" ht="15" hidden="false" customHeight="false" outlineLevel="0" collapsed="false">
      <c r="A35" s="4" t="s">
        <v>77</v>
      </c>
      <c r="B35" s="9" t="n">
        <v>0.2</v>
      </c>
      <c r="C35" s="9" t="n">
        <v>0.4</v>
      </c>
      <c r="D35" s="9" t="n">
        <v>0.6</v>
      </c>
      <c r="E35" s="9" t="n">
        <v>0.8</v>
      </c>
    </row>
    <row r="36" customFormat="false" ht="15" hidden="false" customHeight="false" outlineLevel="0" collapsed="false">
      <c r="A36" s="4" t="s">
        <v>78</v>
      </c>
      <c r="B36" s="9" t="n">
        <v>0.02</v>
      </c>
      <c r="C36" s="9" t="n">
        <v>0.05</v>
      </c>
      <c r="D36" s="9" t="n">
        <v>0.1</v>
      </c>
      <c r="E36" s="9" t="n">
        <v>0.2</v>
      </c>
    </row>
    <row r="37" customFormat="false" ht="15" hidden="false" customHeight="false" outlineLevel="0" collapsed="false">
      <c r="A37" s="4" t="s">
        <v>79</v>
      </c>
      <c r="B37" s="11" t="n">
        <v>5</v>
      </c>
      <c r="C37" s="11" t="n">
        <v>10</v>
      </c>
      <c r="D37" s="11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80</v>
      </c>
    </row>
    <row r="3" customFormat="false" ht="51.75" hidden="false" customHeight="true" outlineLevel="0" collapsed="false">
      <c r="A3" s="5" t="s">
        <v>33</v>
      </c>
      <c r="B3" s="5" t="s">
        <v>40</v>
      </c>
      <c r="C3" s="5" t="s">
        <v>81</v>
      </c>
      <c r="D3" s="5" t="s">
        <v>82</v>
      </c>
      <c r="E3" s="5" t="s">
        <v>83</v>
      </c>
      <c r="F3" s="5" t="s">
        <v>84</v>
      </c>
      <c r="G3" s="5" t="s">
        <v>85</v>
      </c>
      <c r="H3" s="5" t="s">
        <v>86</v>
      </c>
      <c r="I3" s="5" t="s">
        <v>87</v>
      </c>
      <c r="J3" s="5" t="s">
        <v>88</v>
      </c>
      <c r="K3" s="5" t="s">
        <v>89</v>
      </c>
      <c r="M3" s="5" t="s">
        <v>90</v>
      </c>
    </row>
    <row r="4" customFormat="false" ht="15" hidden="false" customHeight="false" outlineLevel="0" collapsed="false">
      <c r="A4" s="12" t="str">
        <f aca="false">Inputs!A13</f>
        <v>R-MAT</v>
      </c>
      <c r="B4" s="13" t="n">
        <f aca="false">Inputs!H13</f>
        <v>0.5</v>
      </c>
      <c r="C4" s="14" t="n">
        <f aca="false">IF(Inputs!$C13="pert",(Inputs!$D13+Inputs!$G13*Inputs!$E13+Inputs!$F13)/(Inputs!$G13+2),IF(Inputs!$C13="triangular",(Inputs!$D13+Inputs!$E13+Inputs!$F13)/3,IF(Inputs!$C13="uniform",(Inputs!$D13+Inputs!$F13)/2,Inputs!$E13)))</f>
        <v>3.5</v>
      </c>
      <c r="D4" s="15" t="n">
        <f aca="false">IF(Inputs!$C13="pert",((IF(Inputs!$C13="pert",(Inputs!$D13+Inputs!$G13*Inputs!$E13+Inputs!$F13)/(Inputs!$G13+2),IF(Inputs!$C13="triangular",(Inputs!$D13+Inputs!$E13+Inputs!$F13)/3,IF(Inputs!$C13="uniform",(Inputs!$D13+Inputs!$F13)/2,Inputs!$E13))))-Inputs!$D13)*(Inputs!$F13-(IF(Inputs!$C13="pert",(Inputs!$D13+Inputs!$G13*Inputs!$E13+Inputs!$F13)/(Inputs!$G13+2),IF(Inputs!$C13="triangular",(Inputs!$D13+Inputs!$E13+Inputs!$F13)/3,IF(Inputs!$C13="uniform",(Inputs!$D13+Inputs!$F13)/2,Inputs!$E13)))))/(Inputs!$G13+3),IF(Inputs!$C13="triangular",(Inputs!$D13^2+Inputs!$E13^2+Inputs!$F13^2-Inputs!$D13*Inputs!$E13-Inputs!$D13*Inputs!$F13-Inputs!$E13*Inputs!$F13)/18,IF(Inputs!$C13="uniform",(Inputs!$F13-Inputs!$D13)^2/12,0)))</f>
        <v>1.60714285714286</v>
      </c>
      <c r="E4" s="16" t="n">
        <f aca="false">C4*Inputs!$B$6+Inputs!I13</f>
        <v>28000</v>
      </c>
      <c r="F4" s="16" t="n">
        <f aca="false">B4*E4</f>
        <v>14000</v>
      </c>
      <c r="G4" s="17" t="n">
        <v>3.5</v>
      </c>
      <c r="H4" s="18" t="n">
        <v>14000</v>
      </c>
      <c r="I4" s="19" t="n">
        <f aca="false">C4-G4</f>
        <v>0</v>
      </c>
      <c r="J4" s="19" t="n">
        <f aca="false">F4-H4</f>
        <v>0</v>
      </c>
      <c r="K4" s="20" t="str">
        <f aca="false">IF(AND(ABS(I4)&lt;=0.000001*(1+ABS(G4)),ABS(J4)&lt;=0.000001*(1+ABS(H4))),"PASS","FAIL")</f>
        <v>PASS</v>
      </c>
      <c r="M4" s="21" t="n">
        <f aca="false">1-B4</f>
        <v>0.5</v>
      </c>
    </row>
    <row r="5" customFormat="false" ht="15" hidden="false" customHeight="false" outlineLevel="0" collapsed="false">
      <c r="A5" s="12" t="str">
        <f aca="false">Inputs!A14</f>
        <v>R-LAB</v>
      </c>
      <c r="B5" s="13" t="n">
        <f aca="false">Inputs!H14</f>
        <v>0.35</v>
      </c>
      <c r="C5" s="14" t="n">
        <f aca="false">IF(Inputs!$C14="pert",(Inputs!$D14+Inputs!$G14*Inputs!$E14+Inputs!$F14)/(Inputs!$G14+2),IF(Inputs!$C14="triangular",(Inputs!$D14+Inputs!$E14+Inputs!$F14)/3,IF(Inputs!$C14="uniform",(Inputs!$D14+Inputs!$F14)/2,Inputs!$E14)))</f>
        <v>2.5</v>
      </c>
      <c r="D5" s="15" t="n">
        <f aca="false">IF(Inputs!$C14="pert",((IF(Inputs!$C14="pert",(Inputs!$D14+Inputs!$G14*Inputs!$E14+Inputs!$F14)/(Inputs!$G14+2),IF(Inputs!$C14="triangular",(Inputs!$D14+Inputs!$E14+Inputs!$F14)/3,IF(Inputs!$C14="uniform",(Inputs!$D14+Inputs!$F14)/2,Inputs!$E14))))-Inputs!$D14)*(Inputs!$F14-(IF(Inputs!$C14="pert",(Inputs!$D14+Inputs!$G14*Inputs!$E14+Inputs!$F14)/(Inputs!$G14+2),IF(Inputs!$C14="triangular",(Inputs!$D14+Inputs!$E14+Inputs!$F14)/3,IF(Inputs!$C14="uniform",(Inputs!$D14+Inputs!$F14)/2,Inputs!$E14)))))/(Inputs!$G14+3),IF(Inputs!$C14="triangular",(Inputs!$D14^2+Inputs!$E14^2+Inputs!$F14^2-Inputs!$D14*Inputs!$E14-Inputs!$D14*Inputs!$F14-Inputs!$E14*Inputs!$F14)/18,IF(Inputs!$C14="uniform",(Inputs!$F14-Inputs!$D14)^2/12,0)))</f>
        <v>0.75</v>
      </c>
      <c r="E5" s="16" t="n">
        <f aca="false">C5*Inputs!$B$6+Inputs!I14</f>
        <v>20000</v>
      </c>
      <c r="F5" s="16" t="n">
        <f aca="false">B5*E5</f>
        <v>7000</v>
      </c>
      <c r="G5" s="17" t="n">
        <v>2.5</v>
      </c>
      <c r="H5" s="18" t="n">
        <v>7000</v>
      </c>
      <c r="I5" s="19" t="n">
        <f aca="false">C5-G5</f>
        <v>0</v>
      </c>
      <c r="J5" s="19" t="n">
        <f aca="false">F5-H5</f>
        <v>0</v>
      </c>
      <c r="K5" s="20" t="str">
        <f aca="false">IF(AND(ABS(I5)&lt;=0.000001*(1+ABS(G5)),ABS(J5)&lt;=0.000001*(1+ABS(H5))),"PASS","FAIL")</f>
        <v>PASS</v>
      </c>
      <c r="M5" s="21" t="n">
        <f aca="false">1-B5</f>
        <v>0.65</v>
      </c>
    </row>
    <row r="6" customFormat="false" ht="15" hidden="false" customHeight="false" outlineLevel="0" collapsed="false">
      <c r="A6" s="12" t="str">
        <f aca="false">Inputs!A15</f>
        <v>R-RWK</v>
      </c>
      <c r="B6" s="13" t="n">
        <f aca="false">Inputs!H15</f>
        <v>0.25</v>
      </c>
      <c r="C6" s="14" t="n">
        <f aca="false">IF(Inputs!$C15="pert",(Inputs!$D15+Inputs!$G15*Inputs!$E15+Inputs!$F15)/(Inputs!$G15+2),IF(Inputs!$C15="triangular",(Inputs!$D15+Inputs!$E15+Inputs!$F15)/3,IF(Inputs!$C15="uniform",(Inputs!$D15+Inputs!$F15)/2,Inputs!$E15)))</f>
        <v>2.33333333333333</v>
      </c>
      <c r="D6" s="15" t="n">
        <f aca="false">IF(Inputs!$C15="pert",((IF(Inputs!$C15="pert",(Inputs!$D15+Inputs!$G15*Inputs!$E15+Inputs!$F15)/(Inputs!$G15+2),IF(Inputs!$C15="triangular",(Inputs!$D15+Inputs!$E15+Inputs!$F15)/3,IF(Inputs!$C15="uniform",(Inputs!$D15+Inputs!$F15)/2,Inputs!$E15))))-Inputs!$D15)*(Inputs!$F15-(IF(Inputs!$C15="pert",(Inputs!$D15+Inputs!$G15*Inputs!$E15+Inputs!$F15)/(Inputs!$G15+2),IF(Inputs!$C15="triangular",(Inputs!$D15+Inputs!$E15+Inputs!$F15)/3,IF(Inputs!$C15="uniform",(Inputs!$D15+Inputs!$F15)/2,Inputs!$E15)))))/(Inputs!$G15+3),IF(Inputs!$C15="triangular",(Inputs!$D15^2+Inputs!$E15^2+Inputs!$F15^2-Inputs!$D15*Inputs!$E15-Inputs!$D15*Inputs!$F15-Inputs!$E15*Inputs!$F15)/18,IF(Inputs!$C15="uniform",(Inputs!$F15-Inputs!$D15)^2/12,0)))</f>
        <v>0.507936507936508</v>
      </c>
      <c r="E6" s="16" t="n">
        <f aca="false">C6*Inputs!$B$6+Inputs!I15</f>
        <v>18666.6666666667</v>
      </c>
      <c r="F6" s="16" t="n">
        <f aca="false">B6*E6</f>
        <v>4666.66666666667</v>
      </c>
      <c r="G6" s="17" t="n">
        <v>2.33333333333333</v>
      </c>
      <c r="H6" s="18" t="n">
        <v>4666.66666666667</v>
      </c>
      <c r="I6" s="19" t="n">
        <f aca="false">C6-G6</f>
        <v>0</v>
      </c>
      <c r="J6" s="19" t="n">
        <f aca="false">F6-H6</f>
        <v>0</v>
      </c>
      <c r="K6" s="20" t="str">
        <f aca="false">IF(AND(ABS(I6)&lt;=0.000001*(1+ABS(G6)),ABS(J6)&lt;=0.000001*(1+ABS(H6))),"PASS","FAIL")</f>
        <v>PASS</v>
      </c>
      <c r="M6" s="21" t="n">
        <f aca="false">1-B6</f>
        <v>0.75</v>
      </c>
    </row>
    <row r="7" customFormat="false" ht="15" hidden="false" customHeight="false" outlineLevel="0" collapsed="false">
      <c r="A7" s="12" t="str">
        <f aca="false">Inputs!A16</f>
        <v>R-WX</v>
      </c>
      <c r="B7" s="13" t="n">
        <f aca="false">Inputs!H16</f>
        <v>0.2</v>
      </c>
      <c r="C7" s="14" t="n">
        <f aca="false">IF(Inputs!$C16="pert",(Inputs!$D16+Inputs!$G16*Inputs!$E16+Inputs!$F16)/(Inputs!$G16+2),IF(Inputs!$C16="triangular",(Inputs!$D16+Inputs!$E16+Inputs!$F16)/3,IF(Inputs!$C16="uniform",(Inputs!$D16+Inputs!$F16)/2,Inputs!$E16)))</f>
        <v>2.66666666666667</v>
      </c>
      <c r="D7" s="15" t="n">
        <f aca="false">IF(Inputs!$C16="pert",((IF(Inputs!$C16="pert",(Inputs!$D16+Inputs!$G16*Inputs!$E16+Inputs!$F16)/(Inputs!$G16+2),IF(Inputs!$C16="triangular",(Inputs!$D16+Inputs!$E16+Inputs!$F16)/3,IF(Inputs!$C16="uniform",(Inputs!$D16+Inputs!$F16)/2,Inputs!$E16))))-Inputs!$D16)*(Inputs!$F16-(IF(Inputs!$C16="pert",(Inputs!$D16+Inputs!$G16*Inputs!$E16+Inputs!$F16)/(Inputs!$G16+2),IF(Inputs!$C16="triangular",(Inputs!$D16+Inputs!$E16+Inputs!$F16)/3,IF(Inputs!$C16="uniform",(Inputs!$D16+Inputs!$F16)/2,Inputs!$E16)))))/(Inputs!$G16+3),IF(Inputs!$C16="triangular",(Inputs!$D16^2+Inputs!$E16^2+Inputs!$F16^2-Inputs!$D16*Inputs!$E16-Inputs!$D16*Inputs!$F16-Inputs!$E16*Inputs!$F16)/18,IF(Inputs!$C16="uniform",(Inputs!$F16-Inputs!$D16)^2/12,0)))</f>
        <v>1.03174603174603</v>
      </c>
      <c r="E7" s="16" t="n">
        <f aca="false">C7*Inputs!$B$6+Inputs!I16</f>
        <v>21333.3333333333</v>
      </c>
      <c r="F7" s="16" t="n">
        <f aca="false">B7*E7</f>
        <v>4266.66666666667</v>
      </c>
      <c r="G7" s="17" t="n">
        <v>2.66666666666667</v>
      </c>
      <c r="H7" s="18" t="n">
        <v>4266.66666666667</v>
      </c>
      <c r="I7" s="19" t="n">
        <f aca="false">C7-G7</f>
        <v>0</v>
      </c>
      <c r="J7" s="19" t="n">
        <f aca="false">F7-H7</f>
        <v>0</v>
      </c>
      <c r="K7" s="20" t="str">
        <f aca="false">IF(AND(ABS(I7)&lt;=0.000001*(1+ABS(G7)),ABS(J7)&lt;=0.000001*(1+ABS(H7))),"PASS","FAIL")</f>
        <v>PASS</v>
      </c>
      <c r="M7" s="21" t="n">
        <f aca="false">1-B7</f>
        <v>0.8</v>
      </c>
    </row>
    <row r="8" customFormat="false" ht="15" hidden="false" customHeight="false" outlineLevel="0" collapsed="false">
      <c r="A8" s="12" t="str">
        <f aca="false">Inputs!A17</f>
        <v>R-PLAN</v>
      </c>
      <c r="B8" s="13" t="n">
        <f aca="false">Inputs!H17</f>
        <v>0.1</v>
      </c>
      <c r="C8" s="14" t="n">
        <f aca="false">IF(Inputs!$C17="pert",(Inputs!$D17+Inputs!$G17*Inputs!$E17+Inputs!$F17)/(Inputs!$G17+2),IF(Inputs!$C17="triangular",(Inputs!$D17+Inputs!$E17+Inputs!$F17)/3,IF(Inputs!$C17="uniform",(Inputs!$D17+Inputs!$F17)/2,Inputs!$E17)))</f>
        <v>1.33333333333333</v>
      </c>
      <c r="D8" s="15" t="n">
        <f aca="false">IF(Inputs!$C17="pert",((IF(Inputs!$C17="pert",(Inputs!$D17+Inputs!$G17*Inputs!$E17+Inputs!$F17)/(Inputs!$G17+2),IF(Inputs!$C17="triangular",(Inputs!$D17+Inputs!$E17+Inputs!$F17)/3,IF(Inputs!$C17="uniform",(Inputs!$D17+Inputs!$F17)/2,Inputs!$E17))))-Inputs!$D17)*(Inputs!$F17-(IF(Inputs!$C17="pert",(Inputs!$D17+Inputs!$G17*Inputs!$E17+Inputs!$F17)/(Inputs!$G17+2),IF(Inputs!$C17="triangular",(Inputs!$D17+Inputs!$E17+Inputs!$F17)/3,IF(Inputs!$C17="uniform",(Inputs!$D17+Inputs!$F17)/2,Inputs!$E17)))))/(Inputs!$G17+3),IF(Inputs!$C17="triangular",(Inputs!$D17^2+Inputs!$E17^2+Inputs!$F17^2-Inputs!$D17*Inputs!$E17-Inputs!$D17*Inputs!$F17-Inputs!$E17*Inputs!$F17)/18,IF(Inputs!$C17="uniform",(Inputs!$F17-Inputs!$D17)^2/12,0)))</f>
        <v>0.0793650793650794</v>
      </c>
      <c r="E8" s="16" t="n">
        <f aca="false">C8*Inputs!$B$6+Inputs!I17</f>
        <v>10666.6666666667</v>
      </c>
      <c r="F8" s="16" t="n">
        <f aca="false">B8*E8</f>
        <v>1066.66666666667</v>
      </c>
      <c r="G8" s="17" t="n">
        <v>1.33333333333333</v>
      </c>
      <c r="H8" s="18" t="n">
        <v>1066.66666666667</v>
      </c>
      <c r="I8" s="19" t="n">
        <f aca="false">C8-G8</f>
        <v>0</v>
      </c>
      <c r="J8" s="19" t="n">
        <f aca="false">F8-H8</f>
        <v>0</v>
      </c>
      <c r="K8" s="20" t="str">
        <f aca="false">IF(AND(ABS(I8)&lt;=0.000001*(1+ABS(G8)),ABS(J8)&lt;=0.000001*(1+ABS(H8))),"PASS","FAIL")</f>
        <v>PASS</v>
      </c>
      <c r="M8" s="21" t="n">
        <f aca="false">1-B8</f>
        <v>0.9</v>
      </c>
    </row>
    <row r="9" customFormat="false" ht="15" hidden="false" customHeight="false" outlineLevel="0" collapsed="false">
      <c r="A9" s="12" t="str">
        <f aca="false">Inputs!A18</f>
        <v>R-SAFE</v>
      </c>
      <c r="B9" s="13" t="n">
        <f aca="false">Inputs!H18</f>
        <v>0.3</v>
      </c>
      <c r="C9" s="14" t="n">
        <f aca="false">IF(Inputs!$C18="pert",(Inputs!$D18+Inputs!$G18*Inputs!$E18+Inputs!$F18)/(Inputs!$G18+2),IF(Inputs!$C18="triangular",(Inputs!$D18+Inputs!$E18+Inputs!$F18)/3,IF(Inputs!$C18="uniform",(Inputs!$D18+Inputs!$F18)/2,Inputs!$E18)))</f>
        <v>2.5</v>
      </c>
      <c r="D9" s="15" t="n">
        <f aca="false">IF(Inputs!$C18="pert",((IF(Inputs!$C18="pert",(Inputs!$D18+Inputs!$G18*Inputs!$E18+Inputs!$F18)/(Inputs!$G18+2),IF(Inputs!$C18="triangular",(Inputs!$D18+Inputs!$E18+Inputs!$F18)/3,IF(Inputs!$C18="uniform",(Inputs!$D18+Inputs!$F18)/2,Inputs!$E18))))-Inputs!$D18)*(Inputs!$F18-(IF(Inputs!$C18="pert",(Inputs!$D18+Inputs!$G18*Inputs!$E18+Inputs!$F18)/(Inputs!$G18+2),IF(Inputs!$C18="triangular",(Inputs!$D18+Inputs!$E18+Inputs!$F18)/3,IF(Inputs!$C18="uniform",(Inputs!$D18+Inputs!$F18)/2,Inputs!$E18)))))/(Inputs!$G18+3),IF(Inputs!$C18="triangular",(Inputs!$D18^2+Inputs!$E18^2+Inputs!$F18^2-Inputs!$D18*Inputs!$E18-Inputs!$D18*Inputs!$F18-Inputs!$E18*Inputs!$F18)/18,IF(Inputs!$C18="uniform",(Inputs!$F18-Inputs!$D18)^2/12,0)))</f>
        <v>0.75</v>
      </c>
      <c r="E9" s="16" t="n">
        <f aca="false">C9*Inputs!$B$6+Inputs!I18</f>
        <v>20000</v>
      </c>
      <c r="F9" s="16" t="n">
        <f aca="false">B9*E9</f>
        <v>6000</v>
      </c>
      <c r="G9" s="17" t="n">
        <v>2.5</v>
      </c>
      <c r="H9" s="18" t="n">
        <v>6000</v>
      </c>
      <c r="I9" s="19" t="n">
        <f aca="false">C9-G9</f>
        <v>0</v>
      </c>
      <c r="J9" s="19" t="n">
        <f aca="false">F9-H9</f>
        <v>0</v>
      </c>
      <c r="K9" s="20" t="str">
        <f aca="false">IF(AND(ABS(I9)&lt;=0.000001*(1+ABS(G9)),ABS(J9)&lt;=0.000001*(1+ABS(H9))),"PASS","FAIL")</f>
        <v>PASS</v>
      </c>
      <c r="M9" s="21" t="n">
        <f aca="false">1-B9</f>
        <v>0.7</v>
      </c>
    </row>
    <row r="10" customFormat="false" ht="15" hidden="false" customHeight="false" outlineLevel="0" collapsed="false">
      <c r="A10" s="12" t="str">
        <f aca="false">Inputs!A19</f>
        <v>R-SKILL</v>
      </c>
      <c r="B10" s="13" t="n">
        <f aca="false">Inputs!H19</f>
        <v>0.22</v>
      </c>
      <c r="C10" s="14" t="n">
        <f aca="false">IF(Inputs!$C19="pert",(Inputs!$D19+Inputs!$G19*Inputs!$E19+Inputs!$F19)/(Inputs!$G19+2),IF(Inputs!$C19="triangular",(Inputs!$D19+Inputs!$E19+Inputs!$F19)/3,IF(Inputs!$C19="uniform",(Inputs!$D19+Inputs!$F19)/2,Inputs!$E19)))</f>
        <v>2.33333333333333</v>
      </c>
      <c r="D10" s="15" t="n">
        <f aca="false">IF(Inputs!$C19="pert",((IF(Inputs!$C19="pert",(Inputs!$D19+Inputs!$G19*Inputs!$E19+Inputs!$F19)/(Inputs!$G19+2),IF(Inputs!$C19="triangular",(Inputs!$D19+Inputs!$E19+Inputs!$F19)/3,IF(Inputs!$C19="uniform",(Inputs!$D19+Inputs!$F19)/2,Inputs!$E19))))-Inputs!$D19)*(Inputs!$F19-(IF(Inputs!$C19="pert",(Inputs!$D19+Inputs!$G19*Inputs!$E19+Inputs!$F19)/(Inputs!$G19+2),IF(Inputs!$C19="triangular",(Inputs!$D19+Inputs!$E19+Inputs!$F19)/3,IF(Inputs!$C19="uniform",(Inputs!$D19+Inputs!$F19)/2,Inputs!$E19)))))/(Inputs!$G19+3),IF(Inputs!$C19="triangular",(Inputs!$D19^2+Inputs!$E19^2+Inputs!$F19^2-Inputs!$D19*Inputs!$E19-Inputs!$D19*Inputs!$F19-Inputs!$E19*Inputs!$F19)/18,IF(Inputs!$C19="uniform",(Inputs!$F19-Inputs!$D19)^2/12,0)))</f>
        <v>0.507936507936508</v>
      </c>
      <c r="E10" s="16" t="n">
        <f aca="false">C10*Inputs!$B$6+Inputs!I19</f>
        <v>18666.6666666667</v>
      </c>
      <c r="F10" s="16" t="n">
        <f aca="false">B10*E10</f>
        <v>4106.66666666667</v>
      </c>
      <c r="G10" s="17" t="n">
        <v>2.33333333333333</v>
      </c>
      <c r="H10" s="18" t="n">
        <v>4106.66666666667</v>
      </c>
      <c r="I10" s="19" t="n">
        <f aca="false">C10-G10</f>
        <v>0</v>
      </c>
      <c r="J10" s="19" t="n">
        <f aca="false">F10-H10</f>
        <v>0</v>
      </c>
      <c r="K10" s="20" t="str">
        <f aca="false">IF(AND(ABS(I10)&lt;=0.000001*(1+ABS(G10)),ABS(J10)&lt;=0.000001*(1+ABS(H10))),"PASS","FAIL")</f>
        <v>PASS</v>
      </c>
      <c r="M10" s="21" t="n">
        <f aca="false">1-B10</f>
        <v>0.78</v>
      </c>
    </row>
  </sheetData>
  <conditionalFormatting sqref="K4:K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91</v>
      </c>
    </row>
    <row r="3" customFormat="false" ht="43.5" hidden="false" customHeight="true" outlineLevel="0" collapsed="false">
      <c r="A3" s="5" t="s">
        <v>19</v>
      </c>
      <c r="B3" s="5" t="s">
        <v>92</v>
      </c>
      <c r="C3" s="5" t="s">
        <v>93</v>
      </c>
      <c r="D3" s="5" t="s">
        <v>94</v>
      </c>
      <c r="E3" s="5" t="s">
        <v>95</v>
      </c>
      <c r="F3" s="5" t="s">
        <v>89</v>
      </c>
    </row>
    <row r="4" customFormat="false" ht="15" hidden="false" customHeight="false" outlineLevel="0" collapsed="false">
      <c r="A4" s="4" t="s">
        <v>96</v>
      </c>
      <c r="B4" s="14" t="n">
        <f aca="false">SUMPRODUCT(Risks!$B$4:$B$10,Risks!$C$4:$C$10)</f>
        <v>5.13833333333333</v>
      </c>
      <c r="C4" s="17" t="n">
        <v>5.1322848108272</v>
      </c>
      <c r="D4" s="14" t="n">
        <f aca="false">B4-C4</f>
        <v>0.0060485225061333</v>
      </c>
      <c r="E4" s="17" t="n">
        <v>0.100231847964769</v>
      </c>
      <c r="F4" s="20" t="str">
        <f aca="false">IF(ABS(D4)&lt;=E4,"PASS","FAIL")</f>
        <v>PASS</v>
      </c>
    </row>
    <row r="5" customFormat="false" ht="15" hidden="false" customHeight="false" outlineLevel="0" collapsed="false">
      <c r="A5" s="4" t="s">
        <v>97</v>
      </c>
      <c r="B5" s="14" t="n">
        <f aca="false">1-PRODUCT(Risks!$M$4:$M$10)</f>
        <v>0.904177</v>
      </c>
      <c r="C5" s="17" t="n">
        <v>0.8975</v>
      </c>
      <c r="D5" s="14" t="n">
        <f aca="false">B5-C5</f>
        <v>0.00667700000000004</v>
      </c>
      <c r="E5" s="17" t="n">
        <v>0.00883045057762626</v>
      </c>
      <c r="F5" s="20" t="str">
        <f aca="false">IF(ABS(D5)&lt;=E5,"PASS","FAIL")</f>
        <v>PASS</v>
      </c>
    </row>
    <row r="6" customFormat="false" ht="15" hidden="false" customHeight="false" outlineLevel="0" collapsed="false">
      <c r="A6" s="4" t="s">
        <v>98</v>
      </c>
      <c r="B6" s="16" t="n">
        <f aca="false">SUM(Risks!$F$4:$F$10)</f>
        <v>41106.6666666667</v>
      </c>
      <c r="C6" s="18" t="n">
        <v>41106.6666666667</v>
      </c>
      <c r="D6" s="19" t="n">
        <f aca="false">B6-C6</f>
        <v>0</v>
      </c>
      <c r="E6" s="19" t="n">
        <f aca="false">0.000001*(1+ABS(C6))</f>
        <v>0.0411076666666667</v>
      </c>
      <c r="F6" s="20" t="str">
        <f aca="false">IF(ABS(D6)&lt;=E6,"PASS","FAIL")</f>
        <v>PASS</v>
      </c>
    </row>
    <row r="8" customFormat="false" ht="43.5" hidden="false" customHeight="true" outlineLevel="0" collapsed="false">
      <c r="A8" s="3" t="s">
        <v>99</v>
      </c>
      <c r="B8" s="3"/>
      <c r="C8" s="3"/>
      <c r="D8" s="3"/>
      <c r="E8" s="3"/>
      <c r="F8" s="3"/>
    </row>
  </sheetData>
  <mergeCells count="1">
    <mergeCell ref="A8:F8"/>
  </mergeCells>
  <conditionalFormatting sqref="F4:F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100</v>
      </c>
    </row>
    <row r="3" customFormat="false" ht="39.75" hidden="false" customHeight="true" outlineLevel="0" collapsed="false">
      <c r="A3" s="5" t="s">
        <v>33</v>
      </c>
      <c r="B3" s="5" t="s">
        <v>40</v>
      </c>
      <c r="C3" s="5" t="s">
        <v>101</v>
      </c>
      <c r="D3" s="5" t="s">
        <v>102</v>
      </c>
      <c r="E3" s="5" t="s">
        <v>103</v>
      </c>
      <c r="F3" s="5" t="s">
        <v>104</v>
      </c>
      <c r="G3" s="5" t="s">
        <v>105</v>
      </c>
      <c r="H3" s="5" t="s">
        <v>106</v>
      </c>
      <c r="I3" s="5" t="s">
        <v>107</v>
      </c>
      <c r="J3" s="5" t="s">
        <v>108</v>
      </c>
      <c r="K3" s="5" t="s">
        <v>109</v>
      </c>
      <c r="L3" s="5" t="s">
        <v>110</v>
      </c>
      <c r="M3" s="5" t="s">
        <v>89</v>
      </c>
    </row>
    <row r="4" customFormat="false" ht="15" hidden="false" customHeight="false" outlineLevel="0" collapsed="false">
      <c r="A4" s="12" t="str">
        <f aca="false">Risks!A4</f>
        <v>R-MAT</v>
      </c>
      <c r="B4" s="13" t="n">
        <f aca="false">Risks!B4</f>
        <v>0.5</v>
      </c>
      <c r="C4" s="22" t="n">
        <f aca="false">Risks!C4</f>
        <v>3.5</v>
      </c>
      <c r="D4" s="23" t="n">
        <f aca="false">C4/Inputs!$B$4</f>
        <v>0.21875</v>
      </c>
      <c r="E4" s="24" t="n">
        <f aca="false">1+(B4&gt;=Inputs!$B$35-0.000000000001)+(B4&gt;=Inputs!$C$35-0.000000000001)+(B4&gt;=Inputs!$D$35-0.000000000001)+(B4&gt;=Inputs!$E$35-0.000000000001)</f>
        <v>3</v>
      </c>
      <c r="F4" s="24" t="n">
        <f aca="false">1+(D4&gt;=Inputs!$B$36-0.000000000001)+(D4&gt;=Inputs!$C$36-0.000000000001)+(D4&gt;=Inputs!$D$36-0.000000000001)+(D4&gt;=Inputs!$E$36-0.000000000001)</f>
        <v>5</v>
      </c>
      <c r="G4" s="24" t="n">
        <f aca="false">E4*F4</f>
        <v>15</v>
      </c>
      <c r="H4" s="7" t="str">
        <f aca="false">IF(G4&lt;=Inputs!$B$37,"Low",IF(G4&lt;=Inputs!$C$37,"Moderate",IF(G4&lt;=Inputs!$D$37,"High","Extreme")))</f>
        <v>High</v>
      </c>
      <c r="I4" s="25" t="n">
        <v>3</v>
      </c>
      <c r="J4" s="25" t="n">
        <v>5</v>
      </c>
      <c r="K4" s="25" t="n">
        <v>15</v>
      </c>
      <c r="L4" s="26" t="s">
        <v>111</v>
      </c>
      <c r="M4" s="20" t="str">
        <f aca="false">IF(AND(E4=I4,F4=J4,G4=K4,H4=L4),"PASS","FAIL")</f>
        <v>PASS</v>
      </c>
    </row>
    <row r="5" customFormat="false" ht="15" hidden="false" customHeight="false" outlineLevel="0" collapsed="false">
      <c r="A5" s="12" t="str">
        <f aca="false">Risks!A5</f>
        <v>R-LAB</v>
      </c>
      <c r="B5" s="13" t="n">
        <f aca="false">Risks!B5</f>
        <v>0.35</v>
      </c>
      <c r="C5" s="22" t="n">
        <f aca="false">Risks!C5</f>
        <v>2.5</v>
      </c>
      <c r="D5" s="23" t="n">
        <f aca="false">C5/Inputs!$B$4</f>
        <v>0.15625</v>
      </c>
      <c r="E5" s="24" t="n">
        <f aca="false">1+(B5&gt;=Inputs!$B$35-0.000000000001)+(B5&gt;=Inputs!$C$35-0.000000000001)+(B5&gt;=Inputs!$D$35-0.000000000001)+(B5&gt;=Inputs!$E$35-0.000000000001)</f>
        <v>2</v>
      </c>
      <c r="F5" s="24" t="n">
        <f aca="false">1+(D5&gt;=Inputs!$B$36-0.000000000001)+(D5&gt;=Inputs!$C$36-0.000000000001)+(D5&gt;=Inputs!$D$36-0.000000000001)+(D5&gt;=Inputs!$E$36-0.000000000001)</f>
        <v>4</v>
      </c>
      <c r="G5" s="24" t="n">
        <f aca="false">E5*F5</f>
        <v>8</v>
      </c>
      <c r="H5" s="7" t="str">
        <f aca="false">IF(G5&lt;=Inputs!$B$37,"Low",IF(G5&lt;=Inputs!$C$37,"Moderate",IF(G5&lt;=Inputs!$D$37,"High","Extreme")))</f>
        <v>Moderate</v>
      </c>
      <c r="I5" s="25" t="n">
        <v>2</v>
      </c>
      <c r="J5" s="25" t="n">
        <v>4</v>
      </c>
      <c r="K5" s="25" t="n">
        <v>8</v>
      </c>
      <c r="L5" s="26" t="s">
        <v>112</v>
      </c>
      <c r="M5" s="20" t="str">
        <f aca="false">IF(AND(E5=I5,F5=J5,G5=K5,H5=L5),"PASS","FAIL")</f>
        <v>PASS</v>
      </c>
    </row>
    <row r="6" customFormat="false" ht="15" hidden="false" customHeight="false" outlineLevel="0" collapsed="false">
      <c r="A6" s="12" t="str">
        <f aca="false">Risks!A6</f>
        <v>R-RWK</v>
      </c>
      <c r="B6" s="13" t="n">
        <f aca="false">Risks!B6</f>
        <v>0.25</v>
      </c>
      <c r="C6" s="22" t="n">
        <f aca="false">Risks!C6</f>
        <v>2.33333333333333</v>
      </c>
      <c r="D6" s="23" t="n">
        <f aca="false">C6/Inputs!$B$4</f>
        <v>0.145833333333333</v>
      </c>
      <c r="E6" s="24" t="n">
        <f aca="false">1+(B6&gt;=Inputs!$B$35-0.000000000001)+(B6&gt;=Inputs!$C$35-0.000000000001)+(B6&gt;=Inputs!$D$35-0.000000000001)+(B6&gt;=Inputs!$E$35-0.000000000001)</f>
        <v>2</v>
      </c>
      <c r="F6" s="24" t="n">
        <f aca="false">1+(D6&gt;=Inputs!$B$36-0.000000000001)+(D6&gt;=Inputs!$C$36-0.000000000001)+(D6&gt;=Inputs!$D$36-0.000000000001)+(D6&gt;=Inputs!$E$36-0.000000000001)</f>
        <v>4</v>
      </c>
      <c r="G6" s="24" t="n">
        <f aca="false">E6*F6</f>
        <v>8</v>
      </c>
      <c r="H6" s="7" t="str">
        <f aca="false">IF(G6&lt;=Inputs!$B$37,"Low",IF(G6&lt;=Inputs!$C$37,"Moderate",IF(G6&lt;=Inputs!$D$37,"High","Extreme")))</f>
        <v>Moderate</v>
      </c>
      <c r="I6" s="25" t="n">
        <v>2</v>
      </c>
      <c r="J6" s="25" t="n">
        <v>4</v>
      </c>
      <c r="K6" s="25" t="n">
        <v>8</v>
      </c>
      <c r="L6" s="26" t="s">
        <v>112</v>
      </c>
      <c r="M6" s="20" t="str">
        <f aca="false">IF(AND(E6=I6,F6=J6,G6=K6,H6=L6),"PASS","FAIL")</f>
        <v>PASS</v>
      </c>
    </row>
    <row r="7" customFormat="false" ht="15" hidden="false" customHeight="false" outlineLevel="0" collapsed="false">
      <c r="A7" s="12" t="str">
        <f aca="false">Risks!A7</f>
        <v>R-WX</v>
      </c>
      <c r="B7" s="13" t="n">
        <f aca="false">Risks!B7</f>
        <v>0.2</v>
      </c>
      <c r="C7" s="22" t="n">
        <f aca="false">Risks!C7</f>
        <v>2.66666666666667</v>
      </c>
      <c r="D7" s="23" t="n">
        <f aca="false">C7/Inputs!$B$4</f>
        <v>0.166666666666667</v>
      </c>
      <c r="E7" s="24" t="n">
        <f aca="false">1+(B7&gt;=Inputs!$B$35-0.000000000001)+(B7&gt;=Inputs!$C$35-0.000000000001)+(B7&gt;=Inputs!$D$35-0.000000000001)+(B7&gt;=Inputs!$E$35-0.000000000001)</f>
        <v>2</v>
      </c>
      <c r="F7" s="24" t="n">
        <f aca="false">1+(D7&gt;=Inputs!$B$36-0.000000000001)+(D7&gt;=Inputs!$C$36-0.000000000001)+(D7&gt;=Inputs!$D$36-0.000000000001)+(D7&gt;=Inputs!$E$36-0.000000000001)</f>
        <v>4</v>
      </c>
      <c r="G7" s="24" t="n">
        <f aca="false">E7*F7</f>
        <v>8</v>
      </c>
      <c r="H7" s="7" t="str">
        <f aca="false">IF(G7&lt;=Inputs!$B$37,"Low",IF(G7&lt;=Inputs!$C$37,"Moderate",IF(G7&lt;=Inputs!$D$37,"High","Extreme")))</f>
        <v>Moderate</v>
      </c>
      <c r="I7" s="25" t="n">
        <v>2</v>
      </c>
      <c r="J7" s="25" t="n">
        <v>4</v>
      </c>
      <c r="K7" s="25" t="n">
        <v>8</v>
      </c>
      <c r="L7" s="26" t="s">
        <v>112</v>
      </c>
      <c r="M7" s="20" t="str">
        <f aca="false">IF(AND(E7=I7,F7=J7,G7=K7,H7=L7),"PASS","FAIL")</f>
        <v>PASS</v>
      </c>
    </row>
    <row r="8" customFormat="false" ht="15" hidden="false" customHeight="false" outlineLevel="0" collapsed="false">
      <c r="A8" s="12" t="str">
        <f aca="false">Risks!A8</f>
        <v>R-PLAN</v>
      </c>
      <c r="B8" s="13" t="n">
        <f aca="false">Risks!B8</f>
        <v>0.1</v>
      </c>
      <c r="C8" s="22" t="n">
        <f aca="false">Risks!C8</f>
        <v>1.33333333333333</v>
      </c>
      <c r="D8" s="23" t="n">
        <f aca="false">C8/Inputs!$B$4</f>
        <v>0.0833333333333333</v>
      </c>
      <c r="E8" s="24" t="n">
        <f aca="false">1+(B8&gt;=Inputs!$B$35-0.000000000001)+(B8&gt;=Inputs!$C$35-0.000000000001)+(B8&gt;=Inputs!$D$35-0.000000000001)+(B8&gt;=Inputs!$E$35-0.000000000001)</f>
        <v>1</v>
      </c>
      <c r="F8" s="24" t="n">
        <f aca="false">1+(D8&gt;=Inputs!$B$36-0.000000000001)+(D8&gt;=Inputs!$C$36-0.000000000001)+(D8&gt;=Inputs!$D$36-0.000000000001)+(D8&gt;=Inputs!$E$36-0.000000000001)</f>
        <v>3</v>
      </c>
      <c r="G8" s="24" t="n">
        <f aca="false">E8*F8</f>
        <v>3</v>
      </c>
      <c r="H8" s="7" t="str">
        <f aca="false">IF(G8&lt;=Inputs!$B$37,"Low",IF(G8&lt;=Inputs!$C$37,"Moderate",IF(G8&lt;=Inputs!$D$37,"High","Extreme")))</f>
        <v>Low</v>
      </c>
      <c r="I8" s="25" t="n">
        <v>1</v>
      </c>
      <c r="J8" s="25" t="n">
        <v>3</v>
      </c>
      <c r="K8" s="25" t="n">
        <v>3</v>
      </c>
      <c r="L8" s="26" t="s">
        <v>113</v>
      </c>
      <c r="M8" s="20" t="str">
        <f aca="false">IF(AND(E8=I8,F8=J8,G8=K8,H8=L8),"PASS","FAIL")</f>
        <v>PASS</v>
      </c>
    </row>
    <row r="9" customFormat="false" ht="15" hidden="false" customHeight="false" outlineLevel="0" collapsed="false">
      <c r="A9" s="12" t="str">
        <f aca="false">Risks!A9</f>
        <v>R-SAFE</v>
      </c>
      <c r="B9" s="13" t="n">
        <f aca="false">Risks!B9</f>
        <v>0.3</v>
      </c>
      <c r="C9" s="22" t="n">
        <f aca="false">Risks!C9</f>
        <v>2.5</v>
      </c>
      <c r="D9" s="23" t="n">
        <f aca="false">C9/Inputs!$B$4</f>
        <v>0.15625</v>
      </c>
      <c r="E9" s="24" t="n">
        <f aca="false">1+(B9&gt;=Inputs!$B$35-0.000000000001)+(B9&gt;=Inputs!$C$35-0.000000000001)+(B9&gt;=Inputs!$D$35-0.000000000001)+(B9&gt;=Inputs!$E$35-0.000000000001)</f>
        <v>2</v>
      </c>
      <c r="F9" s="24" t="n">
        <f aca="false">1+(D9&gt;=Inputs!$B$36-0.000000000001)+(D9&gt;=Inputs!$C$36-0.000000000001)+(D9&gt;=Inputs!$D$36-0.000000000001)+(D9&gt;=Inputs!$E$36-0.000000000001)</f>
        <v>4</v>
      </c>
      <c r="G9" s="24" t="n">
        <f aca="false">E9*F9</f>
        <v>8</v>
      </c>
      <c r="H9" s="7" t="str">
        <f aca="false">IF(G9&lt;=Inputs!$B$37,"Low",IF(G9&lt;=Inputs!$C$37,"Moderate",IF(G9&lt;=Inputs!$D$37,"High","Extreme")))</f>
        <v>Moderate</v>
      </c>
      <c r="I9" s="25" t="n">
        <v>2</v>
      </c>
      <c r="J9" s="25" t="n">
        <v>4</v>
      </c>
      <c r="K9" s="25" t="n">
        <v>8</v>
      </c>
      <c r="L9" s="26" t="s">
        <v>112</v>
      </c>
      <c r="M9" s="20" t="str">
        <f aca="false">IF(AND(E9=I9,F9=J9,G9=K9,H9=L9),"PASS","FAIL")</f>
        <v>PASS</v>
      </c>
    </row>
    <row r="10" customFormat="false" ht="15" hidden="false" customHeight="false" outlineLevel="0" collapsed="false">
      <c r="A10" s="12" t="str">
        <f aca="false">Risks!A10</f>
        <v>R-SKILL</v>
      </c>
      <c r="B10" s="13" t="n">
        <f aca="false">Risks!B10</f>
        <v>0.22</v>
      </c>
      <c r="C10" s="22" t="n">
        <f aca="false">Risks!C10</f>
        <v>2.33333333333333</v>
      </c>
      <c r="D10" s="23" t="n">
        <f aca="false">C10/Inputs!$B$4</f>
        <v>0.145833333333333</v>
      </c>
      <c r="E10" s="24" t="n">
        <f aca="false">1+(B10&gt;=Inputs!$B$35-0.000000000001)+(B10&gt;=Inputs!$C$35-0.000000000001)+(B10&gt;=Inputs!$D$35-0.000000000001)+(B10&gt;=Inputs!$E$35-0.000000000001)</f>
        <v>2</v>
      </c>
      <c r="F10" s="24" t="n">
        <f aca="false">1+(D10&gt;=Inputs!$B$36-0.000000000001)+(D10&gt;=Inputs!$C$36-0.000000000001)+(D10&gt;=Inputs!$D$36-0.000000000001)+(D10&gt;=Inputs!$E$36-0.000000000001)</f>
        <v>4</v>
      </c>
      <c r="G10" s="24" t="n">
        <f aca="false">E10*F10</f>
        <v>8</v>
      </c>
      <c r="H10" s="7" t="str">
        <f aca="false">IF(G10&lt;=Inputs!$B$37,"Low",IF(G10&lt;=Inputs!$C$37,"Moderate",IF(G10&lt;=Inputs!$D$37,"High","Extreme")))</f>
        <v>Moderate</v>
      </c>
      <c r="I10" s="25" t="n">
        <v>2</v>
      </c>
      <c r="J10" s="25" t="n">
        <v>4</v>
      </c>
      <c r="K10" s="25" t="n">
        <v>8</v>
      </c>
      <c r="L10" s="26" t="s">
        <v>112</v>
      </c>
      <c r="M10" s="20" t="str">
        <f aca="false">IF(AND(E10=I10,F10=J10,G10=K10,H10=L10),"PASS","FAIL")</f>
        <v>PASS</v>
      </c>
    </row>
  </sheetData>
  <conditionalFormatting sqref="M4:M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6" min="13" style="0" width="14"/>
    <col collapsed="false" customWidth="true" hidden="false" outlineLevel="0" max="17" min="17" style="0" width="12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" t="s">
        <v>114</v>
      </c>
    </row>
    <row r="3" customFormat="false" ht="63.75" hidden="false" customHeight="true" outlineLevel="0" collapsed="false">
      <c r="A3" s="5" t="s">
        <v>115</v>
      </c>
      <c r="B3" s="5" t="s">
        <v>116</v>
      </c>
      <c r="C3" s="5" t="s">
        <v>117</v>
      </c>
      <c r="D3" s="5" t="s">
        <v>118</v>
      </c>
      <c r="E3" s="5" t="s">
        <v>119</v>
      </c>
      <c r="F3" s="5" t="s">
        <v>75</v>
      </c>
      <c r="G3" s="5" t="s">
        <v>120</v>
      </c>
      <c r="H3" s="5" t="s">
        <v>121</v>
      </c>
      <c r="I3" s="5" t="s">
        <v>59</v>
      </c>
      <c r="J3" s="5" t="s">
        <v>122</v>
      </c>
      <c r="K3" s="5" t="s">
        <v>123</v>
      </c>
      <c r="L3" s="5" t="s">
        <v>65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89</v>
      </c>
    </row>
    <row r="4" customFormat="false" ht="15" hidden="false" customHeight="false" outlineLevel="0" collapsed="false">
      <c r="A4" s="12" t="str">
        <f aca="false">Inputs!A23</f>
        <v>M-BUF</v>
      </c>
      <c r="B4" s="12" t="str">
        <f aca="false">Inputs!B23</f>
        <v>R-MAT</v>
      </c>
      <c r="C4" s="27" t="n">
        <f aca="false">INDEX(Risks!$F$4:$F$10,MATCH(Inputs!$B23,Risks!$A$4:$A$10,0))</f>
        <v>14000</v>
      </c>
      <c r="D4" s="21" t="n">
        <f aca="false">IF(ISNUMBER(Inputs!D23),Inputs!D23,INDEX(Risks!$B$4:$B$10,MATCH(Inputs!$B23,Risks!$A$4:$A$10,0)))</f>
        <v>0.2</v>
      </c>
      <c r="E4" s="14" t="n">
        <f aca="false">IF(ISNUMBER(Inputs!G23),IF(Inputs!$E23="pert",(Inputs!$F23+Inputs!$I23*Inputs!$G23+Inputs!$H23)/(Inputs!$I23+2),IF(Inputs!$E23="triangular",(Inputs!$F23+Inputs!$G23+Inputs!$H23)/3,IF(Inputs!$E23="uniform",(Inputs!$F23+Inputs!$H23)/2,Inputs!$G23))),INDEX(Risks!$C$4:$C$10,MATCH(Inputs!$B23,Risks!$A$4:$A$10,0)))</f>
        <v>3.5</v>
      </c>
      <c r="F4" s="27" t="n">
        <f aca="false">INDEX(Inputs!$I$13:$I$19,MATCH(Inputs!$B23,Inputs!$A$13:$A$19,0))</f>
        <v>0</v>
      </c>
      <c r="G4" s="16" t="n">
        <f aca="false">D4*(E4*Inputs!$B$6+F4)</f>
        <v>5600</v>
      </c>
      <c r="H4" s="16" t="n">
        <f aca="false">SUMIFS($E$15:$E$16,$A$15:$A$16,A4)</f>
        <v>0</v>
      </c>
      <c r="I4" s="28" t="n">
        <f aca="false">Inputs!C23</f>
        <v>6000</v>
      </c>
      <c r="J4" s="29" t="n">
        <f aca="false">C4-G4-H4-I4</f>
        <v>2400</v>
      </c>
      <c r="K4" s="14" t="n">
        <f aca="false">IF(C4=0,"n/a",I4/C4)</f>
        <v>0.428571428571429</v>
      </c>
      <c r="L4" s="30" t="str">
        <f aca="false">Inputs!J23</f>
        <v>Yes</v>
      </c>
      <c r="M4" s="18" t="n">
        <v>14000</v>
      </c>
      <c r="N4" s="18" t="n">
        <v>5600</v>
      </c>
      <c r="O4" s="18" t="n">
        <v>0</v>
      </c>
      <c r="P4" s="31" t="n">
        <v>2400</v>
      </c>
      <c r="Q4" s="19" t="n">
        <f aca="false">J4-P4</f>
        <v>0</v>
      </c>
      <c r="R4" s="20" t="str">
        <f aca="false">IF(AND(ABS(C4-M4)&lt;=0.000001*(1+ABS(M4)),ABS(G4-N4)&lt;=0.000001*(1+ABS(N4)),ABS(H4-O4)&lt;=0.000001*(1+ABS(O4)),ABS(Q4)&lt;=0.000001*(1+ABS(P4))),"PASS","FAIL")</f>
        <v>PASS</v>
      </c>
    </row>
    <row r="5" customFormat="false" ht="15" hidden="false" customHeight="false" outlineLevel="0" collapsed="false">
      <c r="A5" s="12" t="str">
        <f aca="false">Inputs!A24</f>
        <v>M-SUP</v>
      </c>
      <c r="B5" s="12" t="str">
        <f aca="false">Inputs!B24</f>
        <v>R-MAT</v>
      </c>
      <c r="C5" s="27" t="n">
        <f aca="false">INDEX(Risks!$F$4:$F$10,MATCH(Inputs!$B24,Risks!$A$4:$A$10,0))</f>
        <v>14000</v>
      </c>
      <c r="D5" s="21" t="n">
        <f aca="false">IF(ISNUMBER(Inputs!D24),Inputs!D24,INDEX(Risks!$B$4:$B$10,MATCH(Inputs!$B24,Risks!$A$4:$A$10,0)))</f>
        <v>0.35</v>
      </c>
      <c r="E5" s="14" t="n">
        <f aca="false">IF(ISNUMBER(Inputs!G24),IF(Inputs!$E24="pert",(Inputs!$F24+Inputs!$I24*Inputs!$G24+Inputs!$H24)/(Inputs!$I24+2),IF(Inputs!$E24="triangular",(Inputs!$F24+Inputs!$G24+Inputs!$H24)/3,IF(Inputs!$E24="uniform",(Inputs!$F24+Inputs!$H24)/2,Inputs!$G24))),INDEX(Risks!$C$4:$C$10,MATCH(Inputs!$B24,Risks!$A$4:$A$10,0)))</f>
        <v>3.5</v>
      </c>
      <c r="F5" s="27" t="n">
        <f aca="false">INDEX(Inputs!$I$13:$I$19,MATCH(Inputs!$B24,Inputs!$A$13:$A$19,0))</f>
        <v>0</v>
      </c>
      <c r="G5" s="16" t="n">
        <f aca="false">D5*(E5*Inputs!$B$6+F5)</f>
        <v>9800</v>
      </c>
      <c r="H5" s="16" t="n">
        <f aca="false">SUMIFS($E$15:$E$16,$A$15:$A$16,A5)</f>
        <v>0</v>
      </c>
      <c r="I5" s="28" t="n">
        <f aca="false">Inputs!C24</f>
        <v>3000</v>
      </c>
      <c r="J5" s="29" t="n">
        <f aca="false">C5-G5-H5-I5</f>
        <v>1200</v>
      </c>
      <c r="K5" s="14" t="n">
        <f aca="false">IF(C5=0,"n/a",I5/C5)</f>
        <v>0.214285714285714</v>
      </c>
      <c r="L5" s="30" t="str">
        <f aca="false">Inputs!J24</f>
        <v>Yes</v>
      </c>
      <c r="M5" s="18" t="n">
        <v>14000</v>
      </c>
      <c r="N5" s="18" t="n">
        <v>9800</v>
      </c>
      <c r="O5" s="18" t="n">
        <v>0</v>
      </c>
      <c r="P5" s="31" t="n">
        <v>1200</v>
      </c>
      <c r="Q5" s="19" t="n">
        <f aca="false">J5-P5</f>
        <v>0</v>
      </c>
      <c r="R5" s="20" t="str">
        <f aca="false">IF(AND(ABS(C5-M5)&lt;=0.000001*(1+ABS(M5)),ABS(G5-N5)&lt;=0.000001*(1+ABS(N5)),ABS(H5-O5)&lt;=0.000001*(1+ABS(O5)),ABS(Q5)&lt;=0.000001*(1+ABS(P5))),"PASS","FAIL")</f>
        <v>PASS</v>
      </c>
    </row>
    <row r="6" customFormat="false" ht="15" hidden="false" customHeight="false" outlineLevel="0" collapsed="false">
      <c r="A6" s="12" t="str">
        <f aca="false">Inputs!A25</f>
        <v>M-GANG</v>
      </c>
      <c r="B6" s="12" t="str">
        <f aca="false">Inputs!B25</f>
        <v>R-LAB</v>
      </c>
      <c r="C6" s="27" t="n">
        <f aca="false">INDEX(Risks!$F$4:$F$10,MATCH(Inputs!$B25,Risks!$A$4:$A$10,0))</f>
        <v>7000</v>
      </c>
      <c r="D6" s="21" t="n">
        <f aca="false">IF(ISNUMBER(Inputs!D25),Inputs!D25,INDEX(Risks!$B$4:$B$10,MATCH(Inputs!$B25,Risks!$A$4:$A$10,0)))</f>
        <v>0.35</v>
      </c>
      <c r="E6" s="14" t="n">
        <f aca="false">IF(ISNUMBER(Inputs!G25),IF(Inputs!$E25="pert",(Inputs!$F25+Inputs!$I25*Inputs!$G25+Inputs!$H25)/(Inputs!$I25+2),IF(Inputs!$E25="triangular",(Inputs!$F25+Inputs!$G25+Inputs!$H25)/3,IF(Inputs!$E25="uniform",(Inputs!$F25+Inputs!$H25)/2,Inputs!$G25))),INDEX(Risks!$C$4:$C$10,MATCH(Inputs!$B25,Risks!$A$4:$A$10,0)))</f>
        <v>1.16666666666667</v>
      </c>
      <c r="F6" s="27" t="n">
        <f aca="false">INDEX(Inputs!$I$13:$I$19,MATCH(Inputs!$B25,Inputs!$A$13:$A$19,0))</f>
        <v>0</v>
      </c>
      <c r="G6" s="16" t="n">
        <f aca="false">D6*(E6*Inputs!$B$6+F6)</f>
        <v>3266.66666666667</v>
      </c>
      <c r="H6" s="16" t="n">
        <f aca="false">SUMIFS($E$15:$E$16,$A$15:$A$16,A6)</f>
        <v>2400</v>
      </c>
      <c r="I6" s="28" t="n">
        <f aca="false">Inputs!C25</f>
        <v>9000</v>
      </c>
      <c r="J6" s="29" t="n">
        <f aca="false">C6-G6-H6-I6</f>
        <v>-7666.66666666667</v>
      </c>
      <c r="K6" s="14" t="n">
        <f aca="false">IF(C6=0,"n/a",I6/C6)</f>
        <v>1.28571428571429</v>
      </c>
      <c r="L6" s="30" t="str">
        <f aca="false">Inputs!J25</f>
        <v>Yes</v>
      </c>
      <c r="M6" s="18" t="n">
        <v>7000</v>
      </c>
      <c r="N6" s="18" t="n">
        <v>3266.66666666667</v>
      </c>
      <c r="O6" s="18" t="n">
        <v>2400</v>
      </c>
      <c r="P6" s="31" t="n">
        <v>-7666.66666666667</v>
      </c>
      <c r="Q6" s="19" t="n">
        <f aca="false">J6-P6</f>
        <v>0</v>
      </c>
      <c r="R6" s="20" t="str">
        <f aca="false">IF(AND(ABS(C6-M6)&lt;=0.000001*(1+ABS(M6)),ABS(G6-N6)&lt;=0.000001*(1+ABS(N6)),ABS(H6-O6)&lt;=0.000001*(1+ABS(O6)),ABS(Q6)&lt;=0.000001*(1+ABS(P6))),"PASS","FAIL")</f>
        <v>PASS</v>
      </c>
    </row>
    <row r="7" customFormat="false" ht="15" hidden="false" customHeight="false" outlineLevel="0" collapsed="false">
      <c r="A7" s="12" t="str">
        <f aca="false">Inputs!A26</f>
        <v>M-COV</v>
      </c>
      <c r="B7" s="12" t="str">
        <f aca="false">Inputs!B26</f>
        <v>R-WX</v>
      </c>
      <c r="C7" s="27" t="n">
        <f aca="false">INDEX(Risks!$F$4:$F$10,MATCH(Inputs!$B26,Risks!$A$4:$A$10,0))</f>
        <v>4266.66666666667</v>
      </c>
      <c r="D7" s="21" t="n">
        <f aca="false">IF(ISNUMBER(Inputs!D26),Inputs!D26,INDEX(Risks!$B$4:$B$10,MATCH(Inputs!$B26,Risks!$A$4:$A$10,0)))</f>
        <v>0.12</v>
      </c>
      <c r="E7" s="14" t="n">
        <f aca="false">IF(ISNUMBER(Inputs!G26),IF(Inputs!$E26="pert",(Inputs!$F26+Inputs!$I26*Inputs!$G26+Inputs!$H26)/(Inputs!$I26+2),IF(Inputs!$E26="triangular",(Inputs!$F26+Inputs!$G26+Inputs!$H26)/3,IF(Inputs!$E26="uniform",(Inputs!$F26+Inputs!$H26)/2,Inputs!$G26))),INDEX(Risks!$C$4:$C$10,MATCH(Inputs!$B26,Risks!$A$4:$A$10,0)))</f>
        <v>2.66666666666667</v>
      </c>
      <c r="F7" s="27" t="n">
        <f aca="false">INDEX(Inputs!$I$13:$I$19,MATCH(Inputs!$B26,Inputs!$A$13:$A$19,0))</f>
        <v>0</v>
      </c>
      <c r="G7" s="16" t="n">
        <f aca="false">D7*(E7*Inputs!$B$6+F7)</f>
        <v>2560</v>
      </c>
      <c r="H7" s="16" t="n">
        <f aca="false">SUMIFS($E$15:$E$16,$A$15:$A$16,A7)</f>
        <v>0</v>
      </c>
      <c r="I7" s="28" t="n">
        <f aca="false">Inputs!C26</f>
        <v>2500</v>
      </c>
      <c r="J7" s="29" t="n">
        <f aca="false">C7-G7-H7-I7</f>
        <v>-793.333333333333</v>
      </c>
      <c r="K7" s="14" t="n">
        <f aca="false">IF(C7=0,"n/a",I7/C7)</f>
        <v>0.5859375</v>
      </c>
      <c r="L7" s="30" t="str">
        <f aca="false">Inputs!J26</f>
        <v>Yes</v>
      </c>
      <c r="M7" s="18" t="n">
        <v>4266.66666666667</v>
      </c>
      <c r="N7" s="18" t="n">
        <v>2560</v>
      </c>
      <c r="O7" s="18" t="n">
        <v>0</v>
      </c>
      <c r="P7" s="31" t="n">
        <v>-793.333333333333</v>
      </c>
      <c r="Q7" s="19" t="n">
        <f aca="false">J7-P7</f>
        <v>0</v>
      </c>
      <c r="R7" s="20" t="str">
        <f aca="false">IF(AND(ABS(C7-M7)&lt;=0.000001*(1+ABS(M7)),ABS(G7-N7)&lt;=0.000001*(1+ABS(N7)),ABS(H7-O7)&lt;=0.000001*(1+ABS(O7)),ABS(Q7)&lt;=0.000001*(1+ABS(P7))),"PASS","FAIL")</f>
        <v>PASS</v>
      </c>
    </row>
    <row r="8" customFormat="false" ht="15" hidden="false" customHeight="false" outlineLevel="0" collapsed="false">
      <c r="A8" s="12" t="str">
        <f aca="false">Inputs!A27</f>
        <v>M-QC</v>
      </c>
      <c r="B8" s="12" t="str">
        <f aca="false">Inputs!B27</f>
        <v>R-RWK</v>
      </c>
      <c r="C8" s="27" t="n">
        <f aca="false">INDEX(Risks!$F$4:$F$10,MATCH(Inputs!$B27,Risks!$A$4:$A$10,0))</f>
        <v>4666.66666666667</v>
      </c>
      <c r="D8" s="21" t="n">
        <f aca="false">IF(ISNUMBER(Inputs!D27),Inputs!D27,INDEX(Risks!$B$4:$B$10,MATCH(Inputs!$B27,Risks!$A$4:$A$10,0)))</f>
        <v>0.15</v>
      </c>
      <c r="E8" s="14" t="n">
        <f aca="false">IF(ISNUMBER(Inputs!G27),IF(Inputs!$E27="pert",(Inputs!$F27+Inputs!$I27*Inputs!$G27+Inputs!$H27)/(Inputs!$I27+2),IF(Inputs!$E27="triangular",(Inputs!$F27+Inputs!$G27+Inputs!$H27)/3,IF(Inputs!$E27="uniform",(Inputs!$F27+Inputs!$H27)/2,Inputs!$G27))),INDEX(Risks!$C$4:$C$10,MATCH(Inputs!$B27,Risks!$A$4:$A$10,0)))</f>
        <v>2.33333333333333</v>
      </c>
      <c r="F8" s="27" t="n">
        <f aca="false">INDEX(Inputs!$I$13:$I$19,MATCH(Inputs!$B27,Inputs!$A$13:$A$19,0))</f>
        <v>0</v>
      </c>
      <c r="G8" s="16" t="n">
        <f aca="false">D8*(E8*Inputs!$B$6+F8)</f>
        <v>2800</v>
      </c>
      <c r="H8" s="16" t="n">
        <f aca="false">SUMIFS($E$15:$E$16,$A$15:$A$16,A8)</f>
        <v>0</v>
      </c>
      <c r="I8" s="28" t="n">
        <f aca="false">Inputs!C27</f>
        <v>1500</v>
      </c>
      <c r="J8" s="29" t="n">
        <f aca="false">C8-G8-H8-I8</f>
        <v>366.666666666667</v>
      </c>
      <c r="K8" s="14" t="n">
        <f aca="false">IF(C8=0,"n/a",I8/C8)</f>
        <v>0.321428571428571</v>
      </c>
      <c r="L8" s="30" t="str">
        <f aca="false">Inputs!J27</f>
        <v>Yes</v>
      </c>
      <c r="M8" s="18" t="n">
        <v>4666.66666666667</v>
      </c>
      <c r="N8" s="18" t="n">
        <v>2800</v>
      </c>
      <c r="O8" s="18" t="n">
        <v>0</v>
      </c>
      <c r="P8" s="31" t="n">
        <v>366.666666666667</v>
      </c>
      <c r="Q8" s="19" t="n">
        <f aca="false">J8-P8</f>
        <v>0</v>
      </c>
      <c r="R8" s="20" t="str">
        <f aca="false">IF(AND(ABS(C8-M8)&lt;=0.000001*(1+ABS(M8)),ABS(G8-N8)&lt;=0.000001*(1+ABS(N8)),ABS(H8-O8)&lt;=0.000001*(1+ABS(O8)),ABS(Q8)&lt;=0.000001*(1+ABS(P8))),"PASS","FAIL")</f>
        <v>PASS</v>
      </c>
    </row>
    <row r="9" customFormat="false" ht="15" hidden="false" customHeight="false" outlineLevel="0" collapsed="false">
      <c r="A9" s="12" t="str">
        <f aca="false">Inputs!A28</f>
        <v>M-MECH</v>
      </c>
      <c r="B9" s="12" t="str">
        <f aca="false">Inputs!B28</f>
        <v>R-SKILL</v>
      </c>
      <c r="C9" s="27" t="n">
        <f aca="false">INDEX(Risks!$F$4:$F$10,MATCH(Inputs!$B28,Risks!$A$4:$A$10,0))</f>
        <v>4106.66666666667</v>
      </c>
      <c r="D9" s="21" t="n">
        <f aca="false">IF(ISNUMBER(Inputs!D28),Inputs!D28,INDEX(Risks!$B$4:$B$10,MATCH(Inputs!$B28,Risks!$A$4:$A$10,0)))</f>
        <v>0.1</v>
      </c>
      <c r="E9" s="14" t="n">
        <f aca="false">IF(ISNUMBER(Inputs!G28),IF(Inputs!$E28="pert",(Inputs!$F28+Inputs!$I28*Inputs!$G28+Inputs!$H28)/(Inputs!$I28+2),IF(Inputs!$E28="triangular",(Inputs!$F28+Inputs!$G28+Inputs!$H28)/3,IF(Inputs!$E28="uniform",(Inputs!$F28+Inputs!$H28)/2,Inputs!$G28))),INDEX(Risks!$C$4:$C$10,MATCH(Inputs!$B28,Risks!$A$4:$A$10,0)))</f>
        <v>2.33333333333333</v>
      </c>
      <c r="F9" s="27" t="n">
        <f aca="false">INDEX(Inputs!$I$13:$I$19,MATCH(Inputs!$B28,Inputs!$A$13:$A$19,0))</f>
        <v>0</v>
      </c>
      <c r="G9" s="16" t="n">
        <f aca="false">D9*(E9*Inputs!$B$6+F9)</f>
        <v>1866.66666666667</v>
      </c>
      <c r="H9" s="16" t="n">
        <f aca="false">SUMIFS($E$15:$E$16,$A$15:$A$16,A9)</f>
        <v>0</v>
      </c>
      <c r="I9" s="28" t="n">
        <f aca="false">Inputs!C28</f>
        <v>4000</v>
      </c>
      <c r="J9" s="29" t="n">
        <f aca="false">C9-G9-H9-I9</f>
        <v>-1760</v>
      </c>
      <c r="K9" s="14" t="n">
        <f aca="false">IF(C9=0,"n/a",I9/C9)</f>
        <v>0.974025974025974</v>
      </c>
      <c r="L9" s="30" t="str">
        <f aca="false">Inputs!J28</f>
        <v>No</v>
      </c>
      <c r="M9" s="18" t="n">
        <v>4106.66666666667</v>
      </c>
      <c r="N9" s="18" t="n">
        <v>1866.66666666667</v>
      </c>
      <c r="O9" s="18" t="n">
        <v>0</v>
      </c>
      <c r="P9" s="31" t="n">
        <v>-1760</v>
      </c>
      <c r="Q9" s="19" t="n">
        <f aca="false">J9-P9</f>
        <v>0</v>
      </c>
      <c r="R9" s="20" t="str">
        <f aca="false">IF(AND(ABS(C9-M9)&lt;=0.000001*(1+ABS(M9)),ABS(G9-N9)&lt;=0.000001*(1+ABS(N9)),ABS(H9-O9)&lt;=0.000001*(1+ABS(O9)),ABS(Q9)&lt;=0.000001*(1+ABS(P9))),"PASS","FAIL")</f>
        <v>PASS</v>
      </c>
    </row>
    <row r="13" customFormat="false" ht="15" hidden="false" customHeight="false" outlineLevel="0" collapsed="false">
      <c r="A13" s="4" t="s">
        <v>129</v>
      </c>
    </row>
    <row r="14" customFormat="false" ht="27.75" hidden="false" customHeight="true" outlineLevel="0" collapsed="false">
      <c r="A14" s="5" t="s">
        <v>115</v>
      </c>
      <c r="B14" s="5" t="s">
        <v>130</v>
      </c>
      <c r="C14" s="5" t="s">
        <v>40</v>
      </c>
      <c r="D14" s="5" t="s">
        <v>101</v>
      </c>
      <c r="E14" s="5" t="s">
        <v>131</v>
      </c>
    </row>
    <row r="15" customFormat="false" ht="15" hidden="false" customHeight="false" outlineLevel="0" collapsed="false">
      <c r="A15" s="12" t="str">
        <f aca="false">Inputs!A32</f>
        <v>M-GANG</v>
      </c>
      <c r="B15" s="12" t="str">
        <f aca="false">Inputs!B32</f>
        <v>S-CONG</v>
      </c>
      <c r="C15" s="13" t="n">
        <f aca="false">Inputs!C32</f>
        <v>0.3</v>
      </c>
      <c r="D15" s="14" t="n">
        <f aca="false">IF(Inputs!$D32="pert",(Inputs!$E32+Inputs!$H32*Inputs!$F32+Inputs!$G32)/(Inputs!$H32+2),IF(Inputs!$D32="triangular",(Inputs!$E32+Inputs!$F32+Inputs!$G32)/3,IF(Inputs!$D32="uniform",(Inputs!$E32+Inputs!$G32)/2,Inputs!$F32)))</f>
        <v>1</v>
      </c>
      <c r="E15" s="16" t="n">
        <f aca="false">C15*(D15*Inputs!$B$6+Inputs!I32)</f>
        <v>2400</v>
      </c>
    </row>
  </sheetData>
  <conditionalFormatting sqref="R4:R9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2026-10-10T13:44:10Z</dcterms:created>
  <dc:creator>openpyxl</dc:creator>
  <dc:description/>
  <dc:language>en-US</dc:language>
  <cp:lastModifiedBy/>
  <dcterms:modified xsi:type="dcterms:W3CDTF">2026-10-10T13:44:10Z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