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Risk_Calc" sheetId="3" state="visible" r:id="rId5"/>
    <sheet name="Matrix" sheetId="4" state="visible" r:id="rId6"/>
    <sheet name="Mitigation_Calc" sheetId="5" state="visible" r:id="rId7"/>
    <sheet name="Options" sheetId="6" state="visible" r:id="rId8"/>
    <sheet name="Copula" sheetId="7" state="visible" r:id="rId9"/>
    <sheet name="All_Checks" sheetId="8" state="visible" r:id="rId10"/>
    <sheet name="Test_Summary" sheetId="9" state="visible" r:id="rId11"/>
  </sheets>
  <definedNames>
    <definedName function="false" hidden="true" localSheetId="7" name="_xlnm._FilterDatabase" vbProcedure="false">All_Checks!$A$3:$I$245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<sst xmlns="http://schemas.openxmlformats.org/spreadsheetml/2006/main" count="1061" uniqueCount="755">
  <si>
    <t xml:space="preserve">Manual-calculation check of the brick-masonry delay-risk tool</t>
  </si>
  <si>
    <t xml:space="preserve">What this is</t>
  </si>
  <si>
    <t xml:space="preserve">Hand calculations, written as live Excel formulas, for the ILLUSTRATIVE example case (examples/example_analysis_case.json). Each tool value is the number printed by the tool in the validation run of 9 Oct 2026; the workbook recomputes the same quantity by hand and shows the difference.</t>
  </si>
  <si>
    <t xml:space="preserve">Not evidence</t>
  </si>
  <si>
    <t xml:space="preserve">Every probability, delay range, duration and cost in this example is an Assumption placeholder, not site data. This workbook shows the arithmetic is right, not that the numbers describe a real site.</t>
  </si>
  <si>
    <t xml:space="preserve">Colour legend</t>
  </si>
  <si>
    <t xml:space="preserve">Blue text on yellow = input you may change. Black = formula. Green = link to another sheet. Tool values (pasted from the validation run) are blue text on white.</t>
  </si>
  <si>
    <t xml:space="preserve">Sheets</t>
  </si>
  <si>
    <t xml:space="preserve">Inputs: case numbers. Risk_Calc: PERT mean, variance, EMV, totals. Matrix: 5x5 class and level by hand. Mitigation_Calc: net benefit and break-even. Options: 23 options, exact total expected cost vs tool. Copula: occurrence-correlation check. All_Checks: all 242 checks of the run. Test_Summary: counts and findings.</t>
  </si>
  <si>
    <t xml:space="preserve">Exact values</t>
  </si>
  <si>
    <t xml:space="preserve">Option costs on the Options sheet and the copula joint probabilities come from numerical convolution and a bivariate-normal integral (scripts in report/scripts/validation_2026-10-09/). They cannot be written as a cell formula, so they are pasted as values; every sum, rank and difference around them is a formula.</t>
  </si>
  <si>
    <t xml:space="preserve">Changing inputs</t>
  </si>
  <si>
    <t xml:space="preserve">If you change a blue input on Inputs, the hand columns recompute but the pasted tool columns do not, so differences will appear. Re-run the tool and paste new tool values to compare again.</t>
  </si>
  <si>
    <t xml:space="preserve">Source</t>
  </si>
  <si>
    <t xml:space="preserve">Case: examples/example_analysis_case.json. Tool and exact values: report/scripts/validation_2026-10-09/v1_results.json (run of 9 Oct 2026, seed 12345, n = 10,000 and 200,000). Formulas: Beta-PERT mean (a + lambda*m + b)/(lambda + 2) and variance (mean - a)(b - mean)/(lambda + 3); event EMV = p x mean delay x delay cost per day.</t>
  </si>
  <si>
    <t xml:space="preserve">Inputs (ILLUSTRATIVE example case; all values are Assumptions)</t>
  </si>
  <si>
    <t xml:space="preserve">Quantity</t>
  </si>
  <si>
    <t xml:space="preserve">Value</t>
  </si>
  <si>
    <t xml:space="preserve">Unit</t>
  </si>
  <si>
    <t xml:space="preserve">Note</t>
  </si>
  <si>
    <t xml:space="preserve">Planned duration T0</t>
  </si>
  <si>
    <t xml:space="preserve">days</t>
  </si>
  <si>
    <t xml:space="preserve">activity.planned_duration_days</t>
  </si>
  <si>
    <t xml:space="preserve">Deadline</t>
  </si>
  <si>
    <t xml:space="preserve">activity.deadline_days</t>
  </si>
  <si>
    <t xml:space="preserve">Delay cost Cd</t>
  </si>
  <si>
    <t xml:space="preserve">INR/day</t>
  </si>
  <si>
    <t xml:space="preserve">cost.cost_per_delay_day</t>
  </si>
  <si>
    <t xml:space="preserve">Liquidated damages LD</t>
  </si>
  <si>
    <t xml:space="preserve">after the deadline</t>
  </si>
  <si>
    <t xml:space="preserve">PERT lambda</t>
  </si>
  <si>
    <t xml:space="preserve">-</t>
  </si>
  <si>
    <t xml:space="preserve">standard Beta-PERT weight; the tool's default</t>
  </si>
  <si>
    <t xml:space="preserve">Risk id</t>
  </si>
  <si>
    <t xml:space="preserve">Name</t>
  </si>
  <si>
    <t xml:space="preserve">p (probability)</t>
  </si>
  <si>
    <t xml:space="preserve">a (min, days)</t>
  </si>
  <si>
    <t xml:space="preserve">m (mode, days)</t>
  </si>
  <si>
    <t xml:space="preserve">b (max, days)</t>
  </si>
  <si>
    <t xml:space="preserve">R-MAT</t>
  </si>
  <si>
    <t xml:space="preserve">Brick / material shortage</t>
  </si>
  <si>
    <t xml:space="preserve">R-LAB</t>
  </si>
  <si>
    <t xml:space="preserve">Labour absenteeism / shortage</t>
  </si>
  <si>
    <t xml:space="preserve">R-RWK</t>
  </si>
  <si>
    <t xml:space="preserve">Rework due to workmanship</t>
  </si>
  <si>
    <t xml:space="preserve">R-WX</t>
  </si>
  <si>
    <t xml:space="preserve">Rain / monsoon stoppage</t>
  </si>
  <si>
    <t xml:space="preserve">R-PLAN</t>
  </si>
  <si>
    <t xml:space="preserve">Poor planning or unrealistic scheduling</t>
  </si>
  <si>
    <t xml:space="preserve">R-SAFE</t>
  </si>
  <si>
    <t xml:space="preserve">Unsafe conditions / work at height</t>
  </si>
  <si>
    <t xml:space="preserve">R-SKILL</t>
  </si>
  <si>
    <t xml:space="preserve">Unskilled or unqualified labour</t>
  </si>
  <si>
    <t xml:space="preserve">Response id</t>
  </si>
  <si>
    <t xml:space="preserve">Targets risk</t>
  </si>
  <si>
    <t xml:space="preserve">Cost (INR)</t>
  </si>
  <si>
    <t xml:space="preserve">p after</t>
  </si>
  <si>
    <t xml:space="preserve">Delay after a</t>
  </si>
  <si>
    <t xml:space="preserve">Delay after m</t>
  </si>
  <si>
    <t xml:space="preserve">Delay after b</t>
  </si>
  <si>
    <t xml:space="preserve">Secondary p</t>
  </si>
  <si>
    <t xml:space="preserve">Secondary a</t>
  </si>
  <si>
    <t xml:space="preserve">Secondary m</t>
  </si>
  <si>
    <t xml:space="preserve">Secondary b</t>
  </si>
  <si>
    <t xml:space="preserve">Feasible?</t>
  </si>
  <si>
    <t xml:space="preserve">M-BUF</t>
  </si>
  <si>
    <t xml:space="preserve">Yes</t>
  </si>
  <si>
    <t xml:space="preserve">M-SUP</t>
  </si>
  <si>
    <t xml:space="preserve">M-GANG</t>
  </si>
  <si>
    <t xml:space="preserve">M-COV</t>
  </si>
  <si>
    <t xml:space="preserve">M-QC</t>
  </si>
  <si>
    <t xml:space="preserve">M-MECH</t>
  </si>
  <si>
    <t xml:space="preserve">No</t>
  </si>
  <si>
    <t xml:space="preserve">Matrix settings</t>
  </si>
  <si>
    <t xml:space="preserve">Probability class edges (lower-edge inclusive)</t>
  </si>
  <si>
    <t xml:space="preserve">Impact edges (fraction of T0)</t>
  </si>
  <si>
    <t xml:space="preserve">Level cut-offs on score (Low &lt;=, Moderate &lt;=, High &lt;=)</t>
  </si>
  <si>
    <t xml:space="preserve">Per-risk hand calculation vs tool</t>
  </si>
  <si>
    <t xml:space="preserve">p</t>
  </si>
  <si>
    <t xml:space="preserve">Mean delay (d)
=(a+lam*m+b)/(lam+2)</t>
  </si>
  <si>
    <t xml:space="preserve">Variance (d^2)
=(mean-a)(b-mean)/(lam+3)</t>
  </si>
  <si>
    <t xml:space="preserve">EMV (INR)
=p*mean*Cd</t>
  </si>
  <si>
    <t xml:space="preserve">p x mean (d)</t>
  </si>
  <si>
    <t xml:space="preserve">Var contribution
=p(var+mean^2)-(p mean)^2</t>
  </si>
  <si>
    <t xml:space="preserve">1 - p</t>
  </si>
  <si>
    <t xml:space="preserve">Tool mean</t>
  </si>
  <si>
    <t xml:space="preserve">Tool EMV (INR)</t>
  </si>
  <si>
    <t xml:space="preserve">Mean diff</t>
  </si>
  <si>
    <t xml:space="preserve">EMV diff (INR)</t>
  </si>
  <si>
    <t xml:space="preserve">Result</t>
  </si>
  <si>
    <t xml:space="preserve">Totals</t>
  </si>
  <si>
    <t xml:space="preserve">Hand (formula)</t>
  </si>
  <si>
    <t xml:space="preserve">Tool / exact</t>
  </si>
  <si>
    <t xml:space="preserve">Difference</t>
  </si>
  <si>
    <t xml:space="preserve">Expected total delay E[D] (d)</t>
  </si>
  <si>
    <t xml:space="preserve">Variance of total delay (d^2)</t>
  </si>
  <si>
    <t xml:space="preserve">Standard deviation (d)</t>
  </si>
  <si>
    <t xml:space="preserve">Sum of event EMV (INR)</t>
  </si>
  <si>
    <t xml:space="preserve">P(at least one delay)  =1-PRODUCT(1-p)</t>
  </si>
  <si>
    <t xml:space="preserve">Planned duration + E[D] (d)</t>
  </si>
  <si>
    <t xml:space="preserve">Note: Var contribution uses E[(I*D)^2] = p(var+mean^2) and the independent-occurrence assumption (no correlation), the case the tool runs by default. Tool values are from the validation run; the tool variance is the closed form used in the tool's own tests.</t>
  </si>
  <si>
    <t xml:space="preserve">5 x 5 matrix class and level by hand vs tool</t>
  </si>
  <si>
    <t xml:space="preserve">Mean delay (d)</t>
  </si>
  <si>
    <t xml:space="preserve">Ratio = mean / T0</t>
  </si>
  <si>
    <t xml:space="preserve">Probability class
=1+count(p&gt;=edge)</t>
  </si>
  <si>
    <t xml:space="preserve">Impact class
=1+count(ratio&gt;=edge)</t>
  </si>
  <si>
    <t xml:space="preserve">Score = pc x ic</t>
  </si>
  <si>
    <t xml:space="preserve">Level (hand)</t>
  </si>
  <si>
    <t xml:space="preserve">Tool pc</t>
  </si>
  <si>
    <t xml:space="preserve">Tool ic</t>
  </si>
  <si>
    <t xml:space="preserve">Tool score</t>
  </si>
  <si>
    <t xml:space="preserve">Tool level</t>
  </si>
  <si>
    <t xml:space="preserve">High</t>
  </si>
  <si>
    <t xml:space="preserve">Moderate</t>
  </si>
  <si>
    <t xml:space="preserve">Low</t>
  </si>
  <si>
    <t xml:space="preserve">Exhaustive check in the validation run: 0 of 20,010 probability-class, 0 of 20,004 impact-class and 0 of 25 level mismatches (All_Checks, V5). Edges are lower-edge inclusive; the edge tolerance is 1e-12.</t>
  </si>
  <si>
    <t xml:space="preserve">Net benefit of each response, by hand vs tool</t>
  </si>
  <si>
    <t xml:space="preserve">Response</t>
  </si>
  <si>
    <t xml:space="preserve">Targets</t>
  </si>
  <si>
    <t xml:space="preserve">EMV before (INR)</t>
  </si>
  <si>
    <t xml:space="preserve">Mean delay after (d)</t>
  </si>
  <si>
    <t xml:space="preserve">EMV after (INR)</t>
  </si>
  <si>
    <t xml:space="preserve">Secondary EMV (INR)</t>
  </si>
  <si>
    <t xml:space="preserve">Net benefit (INR)
=before-after-secondary-cost</t>
  </si>
  <si>
    <t xml:space="preserve">Break-even reduction
=cost/EMV before</t>
  </si>
  <si>
    <t xml:space="preserve">Pays?</t>
  </si>
  <si>
    <t xml:space="preserve">Tool net (INR)</t>
  </si>
  <si>
    <t xml:space="preserve">Tool break-even</t>
  </si>
  <si>
    <t xml:space="preserve">Net diff</t>
  </si>
  <si>
    <t xml:space="preserve">Reading: a response pays when the EMV it removes exceeds its cost plus any secondary risk it creates. M-MECH is marked not feasible in the case, so the tool keeps it out of the options even though its arithmetic net benefit is shown here.</t>
  </si>
  <si>
    <t xml:space="preserve">All 23 options: exact total expected cost (TEC) vs tool</t>
  </si>
  <si>
    <t xml:space="preserve">Residual expected cost and exact P90 come from numerical convolution of the mixture distributions (pasted values, blue). TEC, ranks, z-scores and the decision are formulas.</t>
  </si>
  <si>
    <t xml:space="preserve">Option</t>
  </si>
  <si>
    <t xml:space="preserve">Mitigation cost (INR)</t>
  </si>
  <si>
    <t xml:space="preserve">Exact residual E[cost] (INR)</t>
  </si>
  <si>
    <t xml:space="preserve">Exact TEC (INR)
=mit cost + residual</t>
  </si>
  <si>
    <t xml:space="preserve">Rank among feasible
(1 = lowest TEC)</t>
  </si>
  <si>
    <t xml:space="preserve">Tool TEC n=10,000 (INR)</t>
  </si>
  <si>
    <t xml:space="preserve">Tool TEC n=200,000 (INR)</t>
  </si>
  <si>
    <t xml:space="preserve">Standard error n=200k (INR)</t>
  </si>
  <si>
    <t xml:space="preserve">z-score n=200k
=(tool-exact)/SE</t>
  </si>
  <si>
    <t xml:space="preserve">Exact P90 (d)</t>
  </si>
  <si>
    <t xml:space="preserve">Tool P90 n=200k (d)</t>
  </si>
  <si>
    <t xml:space="preserve">Exact P(finish &gt; deadline)</t>
  </si>
  <si>
    <t xml:space="preserve">Tool P(exceed) n=200k</t>
  </si>
  <si>
    <t xml:space="preserve">|z| &lt;= 4?</t>
  </si>
  <si>
    <t xml:space="preserve">ACCEPT</t>
  </si>
  <si>
    <t xml:space="preserve">O-M-BUF</t>
  </si>
  <si>
    <t xml:space="preserve">O-M-SUP</t>
  </si>
  <si>
    <t xml:space="preserve">O-M-GANG</t>
  </si>
  <si>
    <t xml:space="preserve">O-M-COV</t>
  </si>
  <si>
    <t xml:space="preserve">O-M-QC</t>
  </si>
  <si>
    <t xml:space="preserve">O-M-BUF+M-GANG</t>
  </si>
  <si>
    <t xml:space="preserve">O-M-BUF+M-COV</t>
  </si>
  <si>
    <t xml:space="preserve">O-M-BUF+M-QC</t>
  </si>
  <si>
    <t xml:space="preserve">O-M-SUP+M-GANG</t>
  </si>
  <si>
    <t xml:space="preserve">O-M-SUP+M-COV</t>
  </si>
  <si>
    <t xml:space="preserve">O-M-SUP+M-QC</t>
  </si>
  <si>
    <t xml:space="preserve">O-M-GANG+M-COV</t>
  </si>
  <si>
    <t xml:space="preserve">O-M-GANG+M-QC</t>
  </si>
  <si>
    <t xml:space="preserve">O-M-COV+M-QC</t>
  </si>
  <si>
    <t xml:space="preserve">O-M-BUF+M-GANG+M-COV</t>
  </si>
  <si>
    <t xml:space="preserve">O-M-BUF+M-GANG+M-QC</t>
  </si>
  <si>
    <t xml:space="preserve">O-M-BUF+M-COV+M-QC</t>
  </si>
  <si>
    <t xml:space="preserve">O-M-SUP+M-GANG+M-COV</t>
  </si>
  <si>
    <t xml:space="preserve">O-M-SUP+M-GANG+M-QC</t>
  </si>
  <si>
    <t xml:space="preserve">O-M-SUP+M-COV+M-QC</t>
  </si>
  <si>
    <t xml:space="preserve">O-M-GANG+M-COV+M-QC</t>
  </si>
  <si>
    <t xml:space="preserve">O-M-MECH</t>
  </si>
  <si>
    <t xml:space="preserve">Hand-best feasible option</t>
  </si>
  <si>
    <t xml:space="preserve">Its exact TEC (INR)</t>
  </si>
  <si>
    <t xml:space="preserve">Tool's chosen option, n=10,000</t>
  </si>
  <si>
    <t xml:space="preserve">Tool's chosen option, n=200,000</t>
  </si>
  <si>
    <t xml:space="preserve">Decision agrees?</t>
  </si>
  <si>
    <t xml:space="preserve">Tool command at n=10,000</t>
  </si>
  <si>
    <t xml:space="preserve">AUTHORIZE MITIGATION</t>
  </si>
  <si>
    <t xml:space="preserve">Gap: 2nd best minus best TEC (INR)</t>
  </si>
  <si>
    <t xml:space="preserve">A gap of a few hundred INR between first and second option is small against a cost scale of about 44,000 INR: treat the choice between them as not firm. Largest |z| at n=200,000 is 2.97 for one of 23 options, consistent with chance (see Test_Summary).</t>
  </si>
  <si>
    <t xml:space="preserve">Occurrence correlation (Gaussian copula): joint probability vs bivariate-normal value</t>
  </si>
  <si>
    <t xml:space="preserve">rho</t>
  </si>
  <si>
    <t xml:space="preserve">Exact P(A and B)
(bivariate normal)</t>
  </si>
  <si>
    <t xml:space="preserve">Tool P(A and B)</t>
  </si>
  <si>
    <t xml:space="preserve">Tool marginal A</t>
  </si>
  <si>
    <t xml:space="preserve">Tool marginal B</t>
  </si>
  <si>
    <t xml:space="preserve">Independent case (rho = 0) must equal pA x pB by hand:</t>
  </si>
  <si>
    <t xml:space="preserve">pA x pB</t>
  </si>
  <si>
    <t xml:space="preserve">Marginals set to 0.40 and 0.30 in the test.</t>
  </si>
  <si>
    <t xml:space="preserve">All 242 checks of the hand-calculation run (9 Oct 2026, code before fixes F1-F6; F6 case in row for V11)</t>
  </si>
  <si>
    <t xml:space="preserve">Check id</t>
  </si>
  <si>
    <t xml:space="preserve">Description</t>
  </si>
  <si>
    <t xml:space="preserve">Hand / exact</t>
  </si>
  <si>
    <t xml:space="preserve">Tool</t>
  </si>
  <si>
    <t xml:space="preserve">|Difference|
(formula)</t>
  </si>
  <si>
    <t xml:space="preserve">Tolerance</t>
  </si>
  <si>
    <t xml:space="preserve">Result
(formula)</t>
  </si>
  <si>
    <t xml:space="preserve">Result in run</t>
  </si>
  <si>
    <t xml:space="preserve">V1-mean-PERT(1,3,8)</t>
  </si>
  <si>
    <t xml:space="preserve">mean PERT(1,3,8): hand vs tool formula</t>
  </si>
  <si>
    <t xml:space="preserve">PASS</t>
  </si>
  <si>
    <t xml:space="preserve">V1-var-PERT(1,3,8)</t>
  </si>
  <si>
    <t xml:space="preserve">variance PERT(1,3,8): hand vs tool formula</t>
  </si>
  <si>
    <t xml:space="preserve">V1-qmean-PERT(1,3,8)</t>
  </si>
  <si>
    <t xml:space="preserve">mean PERT(1,3,8): hand vs integral of tool inverse-CDF</t>
  </si>
  <si>
    <t xml:space="preserve">V1-qvar-PERT(1,3,8)</t>
  </si>
  <si>
    <t xml:space="preserve">variance PERT(1,3,8): hand vs variance of tool inverse-CDF</t>
  </si>
  <si>
    <t xml:space="preserve">V1-cdf-PERT(1,3,8)</t>
  </si>
  <si>
    <t xml:space="preserve">inverse-CDF round trip via independent CDF PERT(1,3,8)</t>
  </si>
  <si>
    <t xml:space="preserve">V1-mean-PERT(1,2,6)</t>
  </si>
  <si>
    <t xml:space="preserve">mean PERT(1,2,6): hand vs tool formula</t>
  </si>
  <si>
    <t xml:space="preserve">V1-var-PERT(1,2,6)</t>
  </si>
  <si>
    <t xml:space="preserve">variance PERT(1,2,6): hand vs tool formula</t>
  </si>
  <si>
    <t xml:space="preserve">V1-qmean-PERT(1,2,6)</t>
  </si>
  <si>
    <t xml:space="preserve">mean PERT(1,2,6): hand vs integral of tool inverse-CDF</t>
  </si>
  <si>
    <t xml:space="preserve">V1-qvar-PERT(1,2,6)</t>
  </si>
  <si>
    <t xml:space="preserve">variance PERT(1,2,6): hand vs variance of tool inverse-CDF</t>
  </si>
  <si>
    <t xml:space="preserve">V1-cdf-PERT(1,2,6)</t>
  </si>
  <si>
    <t xml:space="preserve">inverse-CDF round trip via independent CDF PERT(1,2,6)</t>
  </si>
  <si>
    <t xml:space="preserve">V1-mean-PERT(0,1,3)</t>
  </si>
  <si>
    <t xml:space="preserve">mean PERT(0,1,3): hand vs tool formula</t>
  </si>
  <si>
    <t xml:space="preserve">V1-var-PERT(0,1,3)</t>
  </si>
  <si>
    <t xml:space="preserve">variance PERT(0,1,3): hand vs tool formula</t>
  </si>
  <si>
    <t xml:space="preserve">V1-qmean-PERT(0,1,3)</t>
  </si>
  <si>
    <t xml:space="preserve">mean PERT(0,1,3): hand vs integral of tool inverse-CDF</t>
  </si>
  <si>
    <t xml:space="preserve">V1-qvar-PERT(0,1,3)</t>
  </si>
  <si>
    <t xml:space="preserve">variance PERT(0,1,3): hand vs variance of tool inverse-CDF</t>
  </si>
  <si>
    <t xml:space="preserve">V1-cdf-PERT(0,1,3)</t>
  </si>
  <si>
    <t xml:space="preserve">inverse-CDF round trip via independent CDF PERT(0,1,3)</t>
  </si>
  <si>
    <t xml:space="preserve">V1-mean-PERT(1,3,8) lam=6</t>
  </si>
  <si>
    <t xml:space="preserve">mean PERT(1,3,8) lam=6: hand vs tool formula</t>
  </si>
  <si>
    <t xml:space="preserve">V1-var-PERT(1,3,8) lam=6</t>
  </si>
  <si>
    <t xml:space="preserve">variance PERT(1,3,8) lam=6: hand vs tool formula</t>
  </si>
  <si>
    <t xml:space="preserve">V1-qmean-PERT(1,3,8) lam=6</t>
  </si>
  <si>
    <t xml:space="preserve">mean PERT(1,3,8) lam=6: hand vs integral of tool inverse-CDF</t>
  </si>
  <si>
    <t xml:space="preserve">V1-qvar-PERT(1,3,8) lam=6</t>
  </si>
  <si>
    <t xml:space="preserve">variance PERT(1,3,8) lam=6: hand vs variance of tool inverse-CDF</t>
  </si>
  <si>
    <t xml:space="preserve">V1-cdf-PERT(1,3,8) lam=6</t>
  </si>
  <si>
    <t xml:space="preserve">inverse-CDF round trip via independent CDF PERT(1,3,8) lam=6</t>
  </si>
  <si>
    <t xml:space="preserve">V1-mean-PERT(2,2,9) m=a</t>
  </si>
  <si>
    <t xml:space="preserve">mean PERT(2,2,9) m=a: hand vs tool formula</t>
  </si>
  <si>
    <t xml:space="preserve">V1-var-PERT(2,2,9) m=a</t>
  </si>
  <si>
    <t xml:space="preserve">variance PERT(2,2,9) m=a: hand vs tool formula</t>
  </si>
  <si>
    <t xml:space="preserve">V1-qmean-PERT(2,2,9) m=a</t>
  </si>
  <si>
    <t xml:space="preserve">mean PERT(2,2,9) m=a: hand vs integral of tool inverse-CDF</t>
  </si>
  <si>
    <t xml:space="preserve">V1-qvar-PERT(2,2,9) m=a</t>
  </si>
  <si>
    <t xml:space="preserve">variance PERT(2,2,9) m=a: hand vs variance of tool inverse-CDF</t>
  </si>
  <si>
    <t xml:space="preserve">V1-cdf-PERT(2,2,9) m=a</t>
  </si>
  <si>
    <t xml:space="preserve">inverse-CDF round trip via independent CDF PERT(2,2,9) m=a</t>
  </si>
  <si>
    <t xml:space="preserve">V1-mean-PERT(2,9,9) m=b</t>
  </si>
  <si>
    <t xml:space="preserve">mean PERT(2,9,9) m=b: hand vs tool formula</t>
  </si>
  <si>
    <t xml:space="preserve">V1-var-PERT(2,9,9) m=b</t>
  </si>
  <si>
    <t xml:space="preserve">variance PERT(2,9,9) m=b: hand vs tool formula</t>
  </si>
  <si>
    <t xml:space="preserve">V1-qmean-PERT(2,9,9) m=b</t>
  </si>
  <si>
    <t xml:space="preserve">mean PERT(2,9,9) m=b: hand vs integral of tool inverse-CDF</t>
  </si>
  <si>
    <t xml:space="preserve">V1-qvar-PERT(2,9,9) m=b</t>
  </si>
  <si>
    <t xml:space="preserve">variance PERT(2,9,9) m=b: hand vs variance of tool inverse-CDF</t>
  </si>
  <si>
    <t xml:space="preserve">V1-cdf-PERT(2,9,9) m=b</t>
  </si>
  <si>
    <t xml:space="preserve">inverse-CDF round trip via independent CDF PERT(2,9,9) m=b</t>
  </si>
  <si>
    <t xml:space="preserve">V1-mean-Triangular(1,3,8)</t>
  </si>
  <si>
    <t xml:space="preserve">mean Triangular(1,3,8): hand vs tool formula</t>
  </si>
  <si>
    <t xml:space="preserve">V1-var-Triangular(1,3,8)</t>
  </si>
  <si>
    <t xml:space="preserve">variance Triangular(1,3,8): hand vs tool formula</t>
  </si>
  <si>
    <t xml:space="preserve">V1-qmean-Triangular(1,3,8)</t>
  </si>
  <si>
    <t xml:space="preserve">mean Triangular(1,3,8): hand vs integral of tool inverse-CDF</t>
  </si>
  <si>
    <t xml:space="preserve">V1-qvar-Triangular(1,3,8)</t>
  </si>
  <si>
    <t xml:space="preserve">variance Triangular(1,3,8): hand vs variance of tool inverse-CDF</t>
  </si>
  <si>
    <t xml:space="preserve">V1-cdf-Triangular(1,3,8)</t>
  </si>
  <si>
    <t xml:space="preserve">inverse-CDF round trip via independent CDF Triangular(1,3,8)</t>
  </si>
  <si>
    <t xml:space="preserve">V1-mean-Triangular(0,0,4)</t>
  </si>
  <si>
    <t xml:space="preserve">mean Triangular(0,0,4): hand vs tool formula</t>
  </si>
  <si>
    <t xml:space="preserve">V1-var-Triangular(0,0,4)</t>
  </si>
  <si>
    <t xml:space="preserve">variance Triangular(0,0,4): hand vs tool formula</t>
  </si>
  <si>
    <t xml:space="preserve">V1-qmean-Triangular(0,0,4)</t>
  </si>
  <si>
    <t xml:space="preserve">mean Triangular(0,0,4): hand vs integral of tool inverse-CDF</t>
  </si>
  <si>
    <t xml:space="preserve">V1-qvar-Triangular(0,0,4)</t>
  </si>
  <si>
    <t xml:space="preserve">variance Triangular(0,0,4): hand vs variance of tool inverse-CDF</t>
  </si>
  <si>
    <t xml:space="preserve">V1-cdf-Triangular(0,0,4)</t>
  </si>
  <si>
    <t xml:space="preserve">inverse-CDF round trip via independent CDF Triangular(0,0,4)</t>
  </si>
  <si>
    <t xml:space="preserve">V1-mean-Uniform(2,10)</t>
  </si>
  <si>
    <t xml:space="preserve">mean Uniform(2,10): hand vs tool formula</t>
  </si>
  <si>
    <t xml:space="preserve">V1-var-Uniform(2,10)</t>
  </si>
  <si>
    <t xml:space="preserve">variance Uniform(2,10): hand vs tool formula</t>
  </si>
  <si>
    <t xml:space="preserve">V1-qmean-Uniform(2,10)</t>
  </si>
  <si>
    <t xml:space="preserve">mean Uniform(2,10): hand vs integral of tool inverse-CDF</t>
  </si>
  <si>
    <t xml:space="preserve">V1-qvar-Uniform(2,10)</t>
  </si>
  <si>
    <t xml:space="preserve">variance Uniform(2,10): hand vs variance of tool inverse-CDF</t>
  </si>
  <si>
    <t xml:space="preserve">V1-cdf-Uniform(2,10)</t>
  </si>
  <si>
    <t xml:space="preserve">inverse-CDF round trip via independent CDF Uniform(2,10)</t>
  </si>
  <si>
    <t xml:space="preserve">V1-mean-Fixed(4)</t>
  </si>
  <si>
    <t xml:space="preserve">mean Fixed(4): hand vs tool formula</t>
  </si>
  <si>
    <t xml:space="preserve">V1-var-Fixed(4)</t>
  </si>
  <si>
    <t xml:space="preserve">variance Fixed(4): hand vs tool formula</t>
  </si>
  <si>
    <t xml:space="preserve">V1-qmean-Fixed(4)</t>
  </si>
  <si>
    <t xml:space="preserve">mean Fixed(4): hand vs integral of tool inverse-CDF</t>
  </si>
  <si>
    <t xml:space="preserve">V1-qvar-Fixed(4)</t>
  </si>
  <si>
    <t xml:space="preserve">variance Fixed(4): hand vs variance of tool inverse-CDF</t>
  </si>
  <si>
    <t xml:space="preserve">V1-cdf-Fixed(4)</t>
  </si>
  <si>
    <t xml:space="preserve">inverse-CDF round trip via independent CDF Fixed(4)</t>
  </si>
  <si>
    <t xml:space="preserve">V2-mean-R-MAT</t>
  </si>
  <si>
    <t xml:space="preserve">E[D|occurs] R-MAT</t>
  </si>
  <si>
    <t xml:space="preserve">V2-emv-R-MAT</t>
  </si>
  <si>
    <t xml:space="preserve">event EMV R-MAT (INR)</t>
  </si>
  <si>
    <t xml:space="preserve">V2-mean-R-LAB</t>
  </si>
  <si>
    <t xml:space="preserve">E[D|occurs] R-LAB</t>
  </si>
  <si>
    <t xml:space="preserve">V2-emv-R-LAB</t>
  </si>
  <si>
    <t xml:space="preserve">event EMV R-LAB (INR)</t>
  </si>
  <si>
    <t xml:space="preserve">V2-mean-R-RWK</t>
  </si>
  <si>
    <t xml:space="preserve">E[D|occurs] R-RWK</t>
  </si>
  <si>
    <t xml:space="preserve">V2-emv-R-RWK</t>
  </si>
  <si>
    <t xml:space="preserve">event EMV R-RWK (INR)</t>
  </si>
  <si>
    <t xml:space="preserve">V2-mean-R-WX</t>
  </si>
  <si>
    <t xml:space="preserve">E[D|occurs] R-WX</t>
  </si>
  <si>
    <t xml:space="preserve">V2-emv-R-WX</t>
  </si>
  <si>
    <t xml:space="preserve">event EMV R-WX (INR)</t>
  </si>
  <si>
    <t xml:space="preserve">V2-mean-R-PLAN</t>
  </si>
  <si>
    <t xml:space="preserve">E[D|occurs] R-PLAN</t>
  </si>
  <si>
    <t xml:space="preserve">V2-emv-R-PLAN</t>
  </si>
  <si>
    <t xml:space="preserve">event EMV R-PLAN (INR)</t>
  </si>
  <si>
    <t xml:space="preserve">V2-mean-R-SAFE</t>
  </si>
  <si>
    <t xml:space="preserve">E[D|occurs] R-SAFE</t>
  </si>
  <si>
    <t xml:space="preserve">V2-emv-R-SAFE</t>
  </si>
  <si>
    <t xml:space="preserve">event EMV R-SAFE (INR)</t>
  </si>
  <si>
    <t xml:space="preserve">V2-mean-R-SKILL</t>
  </si>
  <si>
    <t xml:space="preserve">E[D|occurs] R-SKILL</t>
  </si>
  <si>
    <t xml:space="preserve">V2-emv-R-SKILL</t>
  </si>
  <si>
    <t xml:space="preserve">event EMV R-SKILL (INR)</t>
  </si>
  <si>
    <t xml:space="preserve">V2-Edelay</t>
  </si>
  <si>
    <t xml:space="preserve">expected total delay (days)</t>
  </si>
  <si>
    <t xml:space="preserve">V2-Var</t>
  </si>
  <si>
    <t xml:space="preserve">variance of total delay</t>
  </si>
  <si>
    <t xml:space="preserve">V2-EMVsum</t>
  </si>
  <si>
    <t xml:space="preserve">sum of event EMV (INR)</t>
  </si>
  <si>
    <t xml:space="preserve">V3-grid-mean</t>
  </si>
  <si>
    <t xml:space="preserve">grid-convolution mean vs closed-form sum p*mu (validates the exact reference itself)</t>
  </si>
  <si>
    <t xml:space="preserve">V3-grid-var</t>
  </si>
  <si>
    <t xml:space="preserve">grid-convolution variance vs closed form (validates the exact reference itself)</t>
  </si>
  <si>
    <t xml:space="preserve">V3-grid-p0</t>
  </si>
  <si>
    <t xml:space="preserve">P(no risk occurs) grid vs product(1-p)</t>
  </si>
  <si>
    <t xml:space="preserve">mass at zero also contains tiny mass of delays &lt; H/2, so tolerance 5e-4</t>
  </si>
  <si>
    <t xml:space="preserve">V3-TEC10-ACCEPT</t>
  </si>
  <si>
    <t xml:space="preserve">total expected cost ACCEPT (n=10k), |diff| &lt;= 4 SE</t>
  </si>
  <si>
    <t xml:space="preserve">V3-TEC200-ACCEPT</t>
  </si>
  <si>
    <t xml:space="preserve">total expected cost ACCEPT (n=200k), |diff| &lt;= 4 SE</t>
  </si>
  <si>
    <t xml:space="preserve">V3-P90-ACCEPT</t>
  </si>
  <si>
    <t xml:space="preserve">P90 duration ACCEPT (n=200k): hand inside tool 95% CI (+0.02 d grid slack)</t>
  </si>
  <si>
    <t xml:space="preserve">V3-pexc-ACCEPT</t>
  </si>
  <si>
    <t xml:space="preserve">P(duration &gt; deadline) ACCEPT (n=200k), |diff| &lt;= 4 SE</t>
  </si>
  <si>
    <t xml:space="preserve">V3-Edel-ACCEPT</t>
  </si>
  <si>
    <t xml:space="preserve">expected delay ACCEPT (n=200k)</t>
  </si>
  <si>
    <t xml:space="preserve">V3-TEC10-O-M-BUF</t>
  </si>
  <si>
    <t xml:space="preserve">total expected cost O-M-BUF (n=10k), |diff| &lt;= 4 SE</t>
  </si>
  <si>
    <t xml:space="preserve">V3-TEC200-O-M-BUF</t>
  </si>
  <si>
    <t xml:space="preserve">total expected cost O-M-BUF (n=200k), |diff| &lt;= 4 SE</t>
  </si>
  <si>
    <t xml:space="preserve">V3-P90-O-M-BUF</t>
  </si>
  <si>
    <t xml:space="preserve">P90 duration O-M-BUF (n=200k): hand inside tool 95% CI (+0.02 d grid slack)</t>
  </si>
  <si>
    <t xml:space="preserve">V3-pexc-O-M-BUF</t>
  </si>
  <si>
    <t xml:space="preserve">P(duration &gt; deadline) O-M-BUF (n=200k), |diff| &lt;= 4 SE</t>
  </si>
  <si>
    <t xml:space="preserve">V3-Edel-O-M-BUF</t>
  </si>
  <si>
    <t xml:space="preserve">expected delay O-M-BUF (n=200k)</t>
  </si>
  <si>
    <t xml:space="preserve">V3-TEC10-O-M-SUP</t>
  </si>
  <si>
    <t xml:space="preserve">total expected cost O-M-SUP (n=10k), |diff| &lt;= 4 SE</t>
  </si>
  <si>
    <t xml:space="preserve">V3-TEC200-O-M-SUP</t>
  </si>
  <si>
    <t xml:space="preserve">total expected cost O-M-SUP (n=200k), |diff| &lt;= 4 SE</t>
  </si>
  <si>
    <t xml:space="preserve">V3-P90-O-M-SUP</t>
  </si>
  <si>
    <t xml:space="preserve">P90 duration O-M-SUP (n=200k): hand inside tool 95% CI (+0.02 d grid slack)</t>
  </si>
  <si>
    <t xml:space="preserve">V3-pexc-O-M-SUP</t>
  </si>
  <si>
    <t xml:space="preserve">P(duration &gt; deadline) O-M-SUP (n=200k), |diff| &lt;= 4 SE</t>
  </si>
  <si>
    <t xml:space="preserve">V3-Edel-O-M-SUP</t>
  </si>
  <si>
    <t xml:space="preserve">expected delay O-M-SUP (n=200k)</t>
  </si>
  <si>
    <t xml:space="preserve">V3-TEC10-O-M-GANG</t>
  </si>
  <si>
    <t xml:space="preserve">total expected cost O-M-GANG (n=10k), |diff| &lt;= 4 SE</t>
  </si>
  <si>
    <t xml:space="preserve">V3-TEC200-O-M-GANG</t>
  </si>
  <si>
    <t xml:space="preserve">total expected cost O-M-GANG (n=200k), |diff| &lt;= 4 SE</t>
  </si>
  <si>
    <t xml:space="preserve">V3-P90-O-M-GANG</t>
  </si>
  <si>
    <t xml:space="preserve">P90 duration O-M-GANG (n=200k): hand inside tool 95% CI (+0.02 d grid slack)</t>
  </si>
  <si>
    <t xml:space="preserve">V3-pexc-O-M-GANG</t>
  </si>
  <si>
    <t xml:space="preserve">P(duration &gt; deadline) O-M-GANG (n=200k), |diff| &lt;= 4 SE</t>
  </si>
  <si>
    <t xml:space="preserve">V3-Edel-O-M-GANG</t>
  </si>
  <si>
    <t xml:space="preserve">expected delay O-M-GANG (n=200k)</t>
  </si>
  <si>
    <t xml:space="preserve">V3-TEC10-O-M-COV</t>
  </si>
  <si>
    <t xml:space="preserve">total expected cost O-M-COV (n=10k), |diff| &lt;= 4 SE</t>
  </si>
  <si>
    <t xml:space="preserve">V3-TEC200-O-M-COV</t>
  </si>
  <si>
    <t xml:space="preserve">total expected cost O-M-COV (n=200k), |diff| &lt;= 4 SE</t>
  </si>
  <si>
    <t xml:space="preserve">V3-P90-O-M-COV</t>
  </si>
  <si>
    <t xml:space="preserve">P90 duration O-M-COV (n=200k): hand inside tool 95% CI (+0.02 d grid slack)</t>
  </si>
  <si>
    <t xml:space="preserve">V3-pexc-O-M-COV</t>
  </si>
  <si>
    <t xml:space="preserve">P(duration &gt; deadline) O-M-COV (n=200k), |diff| &lt;= 4 SE</t>
  </si>
  <si>
    <t xml:space="preserve">V3-Edel-O-M-COV</t>
  </si>
  <si>
    <t xml:space="preserve">expected delay O-M-COV (n=200k)</t>
  </si>
  <si>
    <t xml:space="preserve">V3-TEC10-O-M-QC</t>
  </si>
  <si>
    <t xml:space="preserve">total expected cost O-M-QC (n=10k), |diff| &lt;= 4 SE</t>
  </si>
  <si>
    <t xml:space="preserve">V3-TEC200-O-M-QC</t>
  </si>
  <si>
    <t xml:space="preserve">total expected cost O-M-QC (n=200k), |diff| &lt;= 4 SE</t>
  </si>
  <si>
    <t xml:space="preserve">V3-P90-O-M-QC</t>
  </si>
  <si>
    <t xml:space="preserve">P90 duration O-M-QC (n=200k): hand inside tool 95% CI (+0.02 d grid slack)</t>
  </si>
  <si>
    <t xml:space="preserve">V3-pexc-O-M-QC</t>
  </si>
  <si>
    <t xml:space="preserve">P(duration &gt; deadline) O-M-QC (n=200k), |diff| &lt;= 4 SE</t>
  </si>
  <si>
    <t xml:space="preserve">V3-Edel-O-M-QC</t>
  </si>
  <si>
    <t xml:space="preserve">expected delay O-M-QC (n=200k)</t>
  </si>
  <si>
    <t xml:space="preserve">V3-TEC10-O-M-BUF+M-GANG</t>
  </si>
  <si>
    <t xml:space="preserve">total expected cost O-M-BUF+M-GANG (n=10k), |diff| &lt;= 4 SE</t>
  </si>
  <si>
    <t xml:space="preserve">V3-TEC200-O-M-BUF+M-GANG</t>
  </si>
  <si>
    <t xml:space="preserve">total expected cost O-M-BUF+M-GANG (n=200k), |diff| &lt;= 4 SE</t>
  </si>
  <si>
    <t xml:space="preserve">V3-P90-O-M-BUF+M-GANG</t>
  </si>
  <si>
    <t xml:space="preserve">P90 duration O-M-BUF+M-GANG (n=200k): hand inside tool 95% CI (+0.02 d grid slack)</t>
  </si>
  <si>
    <t xml:space="preserve">V3-pexc-O-M-BUF+M-GANG</t>
  </si>
  <si>
    <t xml:space="preserve">P(duration &gt; deadline) O-M-BUF+M-GANG (n=200k), |diff| &lt;= 4 SE</t>
  </si>
  <si>
    <t xml:space="preserve">V3-Edel-O-M-BUF+M-GANG</t>
  </si>
  <si>
    <t xml:space="preserve">expected delay O-M-BUF+M-GANG (n=200k)</t>
  </si>
  <si>
    <t xml:space="preserve">V3-TEC10-O-M-BUF+M-COV</t>
  </si>
  <si>
    <t xml:space="preserve">total expected cost O-M-BUF+M-COV (n=10k), |diff| &lt;= 4 SE</t>
  </si>
  <si>
    <t xml:space="preserve">V3-TEC200-O-M-BUF+M-COV</t>
  </si>
  <si>
    <t xml:space="preserve">total expected cost O-M-BUF+M-COV (n=200k), |diff| &lt;= 4 SE</t>
  </si>
  <si>
    <t xml:space="preserve">V3-P90-O-M-BUF+M-COV</t>
  </si>
  <si>
    <t xml:space="preserve">P90 duration O-M-BUF+M-COV (n=200k): hand inside tool 95% CI (+0.02 d grid slack)</t>
  </si>
  <si>
    <t xml:space="preserve">FAIL</t>
  </si>
  <si>
    <t xml:space="preserve">V3-pexc-O-M-BUF+M-COV</t>
  </si>
  <si>
    <t xml:space="preserve">P(duration &gt; deadline) O-M-BUF+M-COV (n=200k), |diff| &lt;= 4 SE</t>
  </si>
  <si>
    <t xml:space="preserve">V3-Edel-O-M-BUF+M-COV</t>
  </si>
  <si>
    <t xml:space="preserve">expected delay O-M-BUF+M-COV (n=200k)</t>
  </si>
  <si>
    <t xml:space="preserve">V3-TEC10-O-M-BUF+M-QC</t>
  </si>
  <si>
    <t xml:space="preserve">total expected cost O-M-BUF+M-QC (n=10k), |diff| &lt;= 4 SE</t>
  </si>
  <si>
    <t xml:space="preserve">V3-TEC200-O-M-BUF+M-QC</t>
  </si>
  <si>
    <t xml:space="preserve">total expected cost O-M-BUF+M-QC (n=200k), |diff| &lt;= 4 SE</t>
  </si>
  <si>
    <t xml:space="preserve">V3-P90-O-M-BUF+M-QC</t>
  </si>
  <si>
    <t xml:space="preserve">P90 duration O-M-BUF+M-QC (n=200k): hand inside tool 95% CI (+0.02 d grid slack)</t>
  </si>
  <si>
    <t xml:space="preserve">V3-pexc-O-M-BUF+M-QC</t>
  </si>
  <si>
    <t xml:space="preserve">P(duration &gt; deadline) O-M-BUF+M-QC (n=200k), |diff| &lt;= 4 SE</t>
  </si>
  <si>
    <t xml:space="preserve">V3-Edel-O-M-BUF+M-QC</t>
  </si>
  <si>
    <t xml:space="preserve">expected delay O-M-BUF+M-QC (n=200k)</t>
  </si>
  <si>
    <t xml:space="preserve">V3-TEC10-O-M-SUP+M-GANG</t>
  </si>
  <si>
    <t xml:space="preserve">total expected cost O-M-SUP+M-GANG (n=10k), |diff| &lt;= 4 SE</t>
  </si>
  <si>
    <t xml:space="preserve">V3-TEC200-O-M-SUP+M-GANG</t>
  </si>
  <si>
    <t xml:space="preserve">total expected cost O-M-SUP+M-GANG (n=200k), |diff| &lt;= 4 SE</t>
  </si>
  <si>
    <t xml:space="preserve">V3-P90-O-M-SUP+M-GANG</t>
  </si>
  <si>
    <t xml:space="preserve">P90 duration O-M-SUP+M-GANG (n=200k): hand inside tool 95% CI (+0.02 d grid slack)</t>
  </si>
  <si>
    <t xml:space="preserve">V3-pexc-O-M-SUP+M-GANG</t>
  </si>
  <si>
    <t xml:space="preserve">P(duration &gt; deadline) O-M-SUP+M-GANG (n=200k), |diff| &lt;= 4 SE</t>
  </si>
  <si>
    <t xml:space="preserve">V3-Edel-O-M-SUP+M-GANG</t>
  </si>
  <si>
    <t xml:space="preserve">expected delay O-M-SUP+M-GANG (n=200k)</t>
  </si>
  <si>
    <t xml:space="preserve">V3-TEC10-O-M-SUP+M-COV</t>
  </si>
  <si>
    <t xml:space="preserve">total expected cost O-M-SUP+M-COV (n=10k), |diff| &lt;= 4 SE</t>
  </si>
  <si>
    <t xml:space="preserve">V3-TEC200-O-M-SUP+M-COV</t>
  </si>
  <si>
    <t xml:space="preserve">total expected cost O-M-SUP+M-COV (n=200k), |diff| &lt;= 4 SE</t>
  </si>
  <si>
    <t xml:space="preserve">V3-P90-O-M-SUP+M-COV</t>
  </si>
  <si>
    <t xml:space="preserve">P90 duration O-M-SUP+M-COV (n=200k): hand inside tool 95% CI (+0.02 d grid slack)</t>
  </si>
  <si>
    <t xml:space="preserve">V3-pexc-O-M-SUP+M-COV</t>
  </si>
  <si>
    <t xml:space="preserve">P(duration &gt; deadline) O-M-SUP+M-COV (n=200k), |diff| &lt;= 4 SE</t>
  </si>
  <si>
    <t xml:space="preserve">V3-Edel-O-M-SUP+M-COV</t>
  </si>
  <si>
    <t xml:space="preserve">expected delay O-M-SUP+M-COV (n=200k)</t>
  </si>
  <si>
    <t xml:space="preserve">V3-TEC10-O-M-SUP+M-QC</t>
  </si>
  <si>
    <t xml:space="preserve">total expected cost O-M-SUP+M-QC (n=10k), |diff| &lt;= 4 SE</t>
  </si>
  <si>
    <t xml:space="preserve">V3-TEC200-O-M-SUP+M-QC</t>
  </si>
  <si>
    <t xml:space="preserve">total expected cost O-M-SUP+M-QC (n=200k), |diff| &lt;= 4 SE</t>
  </si>
  <si>
    <t xml:space="preserve">V3-P90-O-M-SUP+M-QC</t>
  </si>
  <si>
    <t xml:space="preserve">P90 duration O-M-SUP+M-QC (n=200k): hand inside tool 95% CI (+0.02 d grid slack)</t>
  </si>
  <si>
    <t xml:space="preserve">V3-pexc-O-M-SUP+M-QC</t>
  </si>
  <si>
    <t xml:space="preserve">P(duration &gt; deadline) O-M-SUP+M-QC (n=200k), |diff| &lt;= 4 SE</t>
  </si>
  <si>
    <t xml:space="preserve">V3-Edel-O-M-SUP+M-QC</t>
  </si>
  <si>
    <t xml:space="preserve">expected delay O-M-SUP+M-QC (n=200k)</t>
  </si>
  <si>
    <t xml:space="preserve">V3-TEC10-O-M-GANG+M-COV</t>
  </si>
  <si>
    <t xml:space="preserve">total expected cost O-M-GANG+M-COV (n=10k), |diff| &lt;= 4 SE</t>
  </si>
  <si>
    <t xml:space="preserve">V3-TEC200-O-M-GANG+M-COV</t>
  </si>
  <si>
    <t xml:space="preserve">total expected cost O-M-GANG+M-COV (n=200k), |diff| &lt;= 4 SE</t>
  </si>
  <si>
    <t xml:space="preserve">V3-P90-O-M-GANG+M-COV</t>
  </si>
  <si>
    <t xml:space="preserve">P90 duration O-M-GANG+M-COV (n=200k): hand inside tool 95% CI (+0.02 d grid slack)</t>
  </si>
  <si>
    <t xml:space="preserve">V3-pexc-O-M-GANG+M-COV</t>
  </si>
  <si>
    <t xml:space="preserve">P(duration &gt; deadline) O-M-GANG+M-COV (n=200k), |diff| &lt;= 4 SE</t>
  </si>
  <si>
    <t xml:space="preserve">V3-Edel-O-M-GANG+M-COV</t>
  </si>
  <si>
    <t xml:space="preserve">expected delay O-M-GANG+M-COV (n=200k)</t>
  </si>
  <si>
    <t xml:space="preserve">V3-TEC10-O-M-GANG+M-QC</t>
  </si>
  <si>
    <t xml:space="preserve">total expected cost O-M-GANG+M-QC (n=10k), |diff| &lt;= 4 SE</t>
  </si>
  <si>
    <t xml:space="preserve">V3-TEC200-O-M-GANG+M-QC</t>
  </si>
  <si>
    <t xml:space="preserve">total expected cost O-M-GANG+M-QC (n=200k), |diff| &lt;= 4 SE</t>
  </si>
  <si>
    <t xml:space="preserve">V3-P90-O-M-GANG+M-QC</t>
  </si>
  <si>
    <t xml:space="preserve">P90 duration O-M-GANG+M-QC (n=200k): hand inside tool 95% CI (+0.02 d grid slack)</t>
  </si>
  <si>
    <t xml:space="preserve">V3-pexc-O-M-GANG+M-QC</t>
  </si>
  <si>
    <t xml:space="preserve">P(duration &gt; deadline) O-M-GANG+M-QC (n=200k), |diff| &lt;= 4 SE</t>
  </si>
  <si>
    <t xml:space="preserve">V3-Edel-O-M-GANG+M-QC</t>
  </si>
  <si>
    <t xml:space="preserve">expected delay O-M-GANG+M-QC (n=200k)</t>
  </si>
  <si>
    <t xml:space="preserve">V3-TEC10-O-M-COV+M-QC</t>
  </si>
  <si>
    <t xml:space="preserve">total expected cost O-M-COV+M-QC (n=10k), |diff| &lt;= 4 SE</t>
  </si>
  <si>
    <t xml:space="preserve">V3-TEC200-O-M-COV+M-QC</t>
  </si>
  <si>
    <t xml:space="preserve">total expected cost O-M-COV+M-QC (n=200k), |diff| &lt;= 4 SE</t>
  </si>
  <si>
    <t xml:space="preserve">V3-P90-O-M-COV+M-QC</t>
  </si>
  <si>
    <t xml:space="preserve">P90 duration O-M-COV+M-QC (n=200k): hand inside tool 95% CI (+0.02 d grid slack)</t>
  </si>
  <si>
    <t xml:space="preserve">V3-pexc-O-M-COV+M-QC</t>
  </si>
  <si>
    <t xml:space="preserve">P(duration &gt; deadline) O-M-COV+M-QC (n=200k), |diff| &lt;= 4 SE</t>
  </si>
  <si>
    <t xml:space="preserve">V3-Edel-O-M-COV+M-QC</t>
  </si>
  <si>
    <t xml:space="preserve">expected delay O-M-COV+M-QC (n=200k)</t>
  </si>
  <si>
    <t xml:space="preserve">V3-TEC10-O-M-BUF+M-GANG+M-COV</t>
  </si>
  <si>
    <t xml:space="preserve">total expected cost O-M-BUF+M-GANG+M-COV (n=10k), |diff| &lt;= 4 SE</t>
  </si>
  <si>
    <t xml:space="preserve">V3-TEC200-O-M-BUF+M-GANG+M-COV</t>
  </si>
  <si>
    <t xml:space="preserve">total expected cost O-M-BUF+M-GANG+M-COV (n=200k), |diff| &lt;= 4 SE</t>
  </si>
  <si>
    <t xml:space="preserve">V3-P90-O-M-BUF+M-GANG+M-COV</t>
  </si>
  <si>
    <t xml:space="preserve">P90 duration O-M-BUF+M-GANG+M-COV (n=200k): hand inside tool 95% CI (+0.02 d grid slack)</t>
  </si>
  <si>
    <t xml:space="preserve">V3-pexc-O-M-BUF+M-GANG+M-COV</t>
  </si>
  <si>
    <t xml:space="preserve">P(duration &gt; deadline) O-M-BUF+M-GANG+M-COV (n=200k), |diff| &lt;= 4 SE</t>
  </si>
  <si>
    <t xml:space="preserve">V3-Edel-O-M-BUF+M-GANG+M-COV</t>
  </si>
  <si>
    <t xml:space="preserve">expected delay O-M-BUF+M-GANG+M-COV (n=200k)</t>
  </si>
  <si>
    <t xml:space="preserve">V3-TEC10-O-M-BUF+M-GANG+M-QC</t>
  </si>
  <si>
    <t xml:space="preserve">total expected cost O-M-BUF+M-GANG+M-QC (n=10k), |diff| &lt;= 4 SE</t>
  </si>
  <si>
    <t xml:space="preserve">V3-TEC200-O-M-BUF+M-GANG+M-QC</t>
  </si>
  <si>
    <t xml:space="preserve">total expected cost O-M-BUF+M-GANG+M-QC (n=200k), |diff| &lt;= 4 SE</t>
  </si>
  <si>
    <t xml:space="preserve">V3-P90-O-M-BUF+M-GANG+M-QC</t>
  </si>
  <si>
    <t xml:space="preserve">P90 duration O-M-BUF+M-GANG+M-QC (n=200k): hand inside tool 95% CI (+0.02 d grid slack)</t>
  </si>
  <si>
    <t xml:space="preserve">V3-pexc-O-M-BUF+M-GANG+M-QC</t>
  </si>
  <si>
    <t xml:space="preserve">P(duration &gt; deadline) O-M-BUF+M-GANG+M-QC (n=200k), |diff| &lt;= 4 SE</t>
  </si>
  <si>
    <t xml:space="preserve">V3-Edel-O-M-BUF+M-GANG+M-QC</t>
  </si>
  <si>
    <t xml:space="preserve">expected delay O-M-BUF+M-GANG+M-QC (n=200k)</t>
  </si>
  <si>
    <t xml:space="preserve">V3-TEC10-O-M-BUF+M-COV+M-QC</t>
  </si>
  <si>
    <t xml:space="preserve">total expected cost O-M-BUF+M-COV+M-QC (n=10k), |diff| &lt;= 4 SE</t>
  </si>
  <si>
    <t xml:space="preserve">V3-TEC200-O-M-BUF+M-COV+M-QC</t>
  </si>
  <si>
    <t xml:space="preserve">total expected cost O-M-BUF+M-COV+M-QC (n=200k), |diff| &lt;= 4 SE</t>
  </si>
  <si>
    <t xml:space="preserve">V3-P90-O-M-BUF+M-COV+M-QC</t>
  </si>
  <si>
    <t xml:space="preserve">P90 duration O-M-BUF+M-COV+M-QC (n=200k): hand inside tool 95% CI (+0.02 d grid slack)</t>
  </si>
  <si>
    <t xml:space="preserve">V3-pexc-O-M-BUF+M-COV+M-QC</t>
  </si>
  <si>
    <t xml:space="preserve">P(duration &gt; deadline) O-M-BUF+M-COV+M-QC (n=200k), |diff| &lt;= 4 SE</t>
  </si>
  <si>
    <t xml:space="preserve">V3-Edel-O-M-BUF+M-COV+M-QC</t>
  </si>
  <si>
    <t xml:space="preserve">expected delay O-M-BUF+M-COV+M-QC (n=200k)</t>
  </si>
  <si>
    <t xml:space="preserve">V3-TEC10-O-M-SUP+M-GANG+M-COV</t>
  </si>
  <si>
    <t xml:space="preserve">total expected cost O-M-SUP+M-GANG+M-COV (n=10k), |diff| &lt;= 4 SE</t>
  </si>
  <si>
    <t xml:space="preserve">V3-TEC200-O-M-SUP+M-GANG+M-COV</t>
  </si>
  <si>
    <t xml:space="preserve">total expected cost O-M-SUP+M-GANG+M-COV (n=200k), |diff| &lt;= 4 SE</t>
  </si>
  <si>
    <t xml:space="preserve">V3-P90-O-M-SUP+M-GANG+M-COV</t>
  </si>
  <si>
    <t xml:space="preserve">P90 duration O-M-SUP+M-GANG+M-COV (n=200k): hand inside tool 95% CI (+0.02 d grid slack)</t>
  </si>
  <si>
    <t xml:space="preserve">V3-pexc-O-M-SUP+M-GANG+M-COV</t>
  </si>
  <si>
    <t xml:space="preserve">P(duration &gt; deadline) O-M-SUP+M-GANG+M-COV (n=200k), |diff| &lt;= 4 SE</t>
  </si>
  <si>
    <t xml:space="preserve">V3-Edel-O-M-SUP+M-GANG+M-COV</t>
  </si>
  <si>
    <t xml:space="preserve">expected delay O-M-SUP+M-GANG+M-COV (n=200k)</t>
  </si>
  <si>
    <t xml:space="preserve">V3-TEC10-O-M-SUP+M-GANG+M-QC</t>
  </si>
  <si>
    <t xml:space="preserve">total expected cost O-M-SUP+M-GANG+M-QC (n=10k), |diff| &lt;= 4 SE</t>
  </si>
  <si>
    <t xml:space="preserve">V3-TEC200-O-M-SUP+M-GANG+M-QC</t>
  </si>
  <si>
    <t xml:space="preserve">total expected cost O-M-SUP+M-GANG+M-QC (n=200k), |diff| &lt;= 4 SE</t>
  </si>
  <si>
    <t xml:space="preserve">V3-P90-O-M-SUP+M-GANG+M-QC</t>
  </si>
  <si>
    <t xml:space="preserve">P90 duration O-M-SUP+M-GANG+M-QC (n=200k): hand inside tool 95% CI (+0.02 d grid slack)</t>
  </si>
  <si>
    <t xml:space="preserve">V3-pexc-O-M-SUP+M-GANG+M-QC</t>
  </si>
  <si>
    <t xml:space="preserve">P(duration &gt; deadline) O-M-SUP+M-GANG+M-QC (n=200k), |diff| &lt;= 4 SE</t>
  </si>
  <si>
    <t xml:space="preserve">V3-Edel-O-M-SUP+M-GANG+M-QC</t>
  </si>
  <si>
    <t xml:space="preserve">expected delay O-M-SUP+M-GANG+M-QC (n=200k)</t>
  </si>
  <si>
    <t xml:space="preserve">V3-TEC10-O-M-SUP+M-COV+M-QC</t>
  </si>
  <si>
    <t xml:space="preserve">total expected cost O-M-SUP+M-COV+M-QC (n=10k), |diff| &lt;= 4 SE</t>
  </si>
  <si>
    <t xml:space="preserve">V3-TEC200-O-M-SUP+M-COV+M-QC</t>
  </si>
  <si>
    <t xml:space="preserve">total expected cost O-M-SUP+M-COV+M-QC (n=200k), |diff| &lt;= 4 SE</t>
  </si>
  <si>
    <t xml:space="preserve">V3-P90-O-M-SUP+M-COV+M-QC</t>
  </si>
  <si>
    <t xml:space="preserve">P90 duration O-M-SUP+M-COV+M-QC (n=200k): hand inside tool 95% CI (+0.02 d grid slack)</t>
  </si>
  <si>
    <t xml:space="preserve">V3-pexc-O-M-SUP+M-COV+M-QC</t>
  </si>
  <si>
    <t xml:space="preserve">P(duration &gt; deadline) O-M-SUP+M-COV+M-QC (n=200k), |diff| &lt;= 4 SE</t>
  </si>
  <si>
    <t xml:space="preserve">V3-Edel-O-M-SUP+M-COV+M-QC</t>
  </si>
  <si>
    <t xml:space="preserve">expected delay O-M-SUP+M-COV+M-QC (n=200k)</t>
  </si>
  <si>
    <t xml:space="preserve">V3-TEC10-O-M-GANG+M-COV+M-QC</t>
  </si>
  <si>
    <t xml:space="preserve">total expected cost O-M-GANG+M-COV+M-QC (n=10k), |diff| &lt;= 4 SE</t>
  </si>
  <si>
    <t xml:space="preserve">V3-TEC200-O-M-GANG+M-COV+M-QC</t>
  </si>
  <si>
    <t xml:space="preserve">total expected cost O-M-GANG+M-COV+M-QC (n=200k), |diff| &lt;= 4 SE</t>
  </si>
  <si>
    <t xml:space="preserve">V3-P90-O-M-GANG+M-COV+M-QC</t>
  </si>
  <si>
    <t xml:space="preserve">P90 duration O-M-GANG+M-COV+M-QC (n=200k): hand inside tool 95% CI (+0.02 d grid slack)</t>
  </si>
  <si>
    <t xml:space="preserve">V3-pexc-O-M-GANG+M-COV+M-QC</t>
  </si>
  <si>
    <t xml:space="preserve">P(duration &gt; deadline) O-M-GANG+M-COV+M-QC (n=200k), |diff| &lt;= 4 SE</t>
  </si>
  <si>
    <t xml:space="preserve">V3-Edel-O-M-GANG+M-COV+M-QC</t>
  </si>
  <si>
    <t xml:space="preserve">expected delay O-M-GANG+M-COV+M-QC (n=200k)</t>
  </si>
  <si>
    <t xml:space="preserve">V3-TEC10-O-M-MECH</t>
  </si>
  <si>
    <t xml:space="preserve">total expected cost O-M-MECH (n=10k), |diff| &lt;= 4 SE</t>
  </si>
  <si>
    <t xml:space="preserve">V3-TEC200-O-M-MECH</t>
  </si>
  <si>
    <t xml:space="preserve">total expected cost O-M-MECH (n=200k), |diff| &lt;= 4 SE</t>
  </si>
  <si>
    <t xml:space="preserve">V3-P90-O-M-MECH</t>
  </si>
  <si>
    <t xml:space="preserve">P90 duration O-M-MECH (n=200k): hand inside tool 95% CI (+0.02 d grid slack)</t>
  </si>
  <si>
    <t xml:space="preserve">V3-pexc-O-M-MECH</t>
  </si>
  <si>
    <t xml:space="preserve">P(duration &gt; deadline) O-M-MECH (n=200k), |diff| &lt;= 4 SE</t>
  </si>
  <si>
    <t xml:space="preserve">V3-Edel-O-M-MECH</t>
  </si>
  <si>
    <t xml:space="preserve">expected delay O-M-MECH (n=200k)</t>
  </si>
  <si>
    <t xml:space="preserve">V3-seed2024</t>
  </si>
  <si>
    <t xml:space="preserve">second seed n=200k: all |z| of TEC vs exact &lt;= 4</t>
  </si>
  <si>
    <t xml:space="preserve">V3-decision</t>
  </si>
  <si>
    <t xml:space="preserve">preferred option by hand == tool (n=200k)</t>
  </si>
  <si>
    <t xml:space="preserve">hand O-M-BUF+M-QC / tool O-M-BUF+M-QC</t>
  </si>
  <si>
    <t xml:space="preserve">V4-net-M-BUF</t>
  </si>
  <si>
    <t xml:space="preserve">net benefit M-BUF (INR)</t>
  </si>
  <si>
    <t xml:space="preserve">V4-be-M-BUF</t>
  </si>
  <si>
    <t xml:space="preserve">break-even required reduction M-BUF</t>
  </si>
  <si>
    <t xml:space="preserve">V4-pmax-M-BUF</t>
  </si>
  <si>
    <t xml:space="preserve">max p-after that still pays M-BUF</t>
  </si>
  <si>
    <t xml:space="preserve">V4-net-M-SUP</t>
  </si>
  <si>
    <t xml:space="preserve">net benefit M-SUP (INR)</t>
  </si>
  <si>
    <t xml:space="preserve">V4-be-M-SUP</t>
  </si>
  <si>
    <t xml:space="preserve">break-even required reduction M-SUP</t>
  </si>
  <si>
    <t xml:space="preserve">V4-pmax-M-SUP</t>
  </si>
  <si>
    <t xml:space="preserve">max p-after that still pays M-SUP</t>
  </si>
  <si>
    <t xml:space="preserve">V4-net-M-GANG</t>
  </si>
  <si>
    <t xml:space="preserve">net benefit M-GANG (INR)</t>
  </si>
  <si>
    <t xml:space="preserve">V4-be-M-GANG</t>
  </si>
  <si>
    <t xml:space="preserve">break-even required reduction M-GANG</t>
  </si>
  <si>
    <t xml:space="preserve">V4-net-M-COV</t>
  </si>
  <si>
    <t xml:space="preserve">net benefit M-COV (INR)</t>
  </si>
  <si>
    <t xml:space="preserve">V4-be-M-COV</t>
  </si>
  <si>
    <t xml:space="preserve">break-even required reduction M-COV</t>
  </si>
  <si>
    <t xml:space="preserve">V4-pmax-M-COV</t>
  </si>
  <si>
    <t xml:space="preserve">max p-after that still pays M-COV</t>
  </si>
  <si>
    <t xml:space="preserve">V4-net-M-QC</t>
  </si>
  <si>
    <t xml:space="preserve">net benefit M-QC (INR)</t>
  </si>
  <si>
    <t xml:space="preserve">V4-be-M-QC</t>
  </si>
  <si>
    <t xml:space="preserve">break-even required reduction M-QC</t>
  </si>
  <si>
    <t xml:space="preserve">V4-pmax-M-QC</t>
  </si>
  <si>
    <t xml:space="preserve">max p-after that still pays M-QC</t>
  </si>
  <si>
    <t xml:space="preserve">V4-net-M-MECH</t>
  </si>
  <si>
    <t xml:space="preserve">net benefit M-MECH (INR)</t>
  </si>
  <si>
    <t xml:space="preserve">V4-be-M-MECH</t>
  </si>
  <si>
    <t xml:space="preserve">break-even required reduction M-MECH</t>
  </si>
  <si>
    <t xml:space="preserve">V4-pmax-M-MECH</t>
  </si>
  <si>
    <t xml:space="preserve">max p-after that still pays M-MECH</t>
  </si>
  <si>
    <t xml:space="preserve">V5-example</t>
  </si>
  <si>
    <t xml:space="preserve">example risks: hand class/score/level == tool (count of mismatches)</t>
  </si>
  <si>
    <t xml:space="preserve">V5-level25</t>
  </si>
  <si>
    <t xml:space="preserve">all 25 (p-class x impact-class) cells: level hand == tool (mismatches)</t>
  </si>
  <si>
    <t xml:space="preserve">V5-pclass</t>
  </si>
  <si>
    <t xml:space="preserve">p-class on 20010 values incl. exact edges: mismatches</t>
  </si>
  <si>
    <t xml:space="preserve">V5-iclass</t>
  </si>
  <si>
    <t xml:space="preserve">impact-class on 20004 values incl. exact edges: mismatches</t>
  </si>
  <si>
    <t xml:space="preserve">V5-trap</t>
  </si>
  <si>
    <t xml:space="preserve">ratios exactly on the 4 impact edges (0.32,0.8,1.6,3.2 d on 16 d) -&gt; classes 2,3,4,5</t>
  </si>
  <si>
    <t xml:space="preserve">got (2, 3, 4, 5)</t>
  </si>
  <si>
    <t xml:space="preserve">V6-fired</t>
  </si>
  <si>
    <t xml:space="preserve">set of fired rules identical (symmetric difference size)</t>
  </si>
  <si>
    <t xml:space="preserve">V6-levels</t>
  </si>
  <si>
    <t xml:space="preserve">per-risk resolved level identical (mismatches)</t>
  </si>
  <si>
    <t xml:space="preserve">V6-spot-RL-LAB</t>
  </si>
  <si>
    <t xml:space="preserve">required_workers 6 &gt; available_workers 5 -&gt; fires</t>
  </si>
  <si>
    <t xml:space="preserve">V6-spot-RL-MAT</t>
  </si>
  <si>
    <t xml:space="preserve">stock 2 d &lt;= lead 6 d -&gt; fires</t>
  </si>
  <si>
    <t xml:space="preserve">V7-seed</t>
  </si>
  <si>
    <t xml:space="preserve">seed rank / mean RII / class for 30 seeded risks: mismatches</t>
  </si>
  <si>
    <t xml:space="preserve">[]</t>
  </si>
  <si>
    <t xml:space="preserve">V7-cap</t>
  </si>
  <si>
    <t xml:space="preserve">elevated flag raises probability class by 1, capped at 5 (top-ranked stays 5)</t>
  </si>
  <si>
    <t xml:space="preserve">V7-raise</t>
  </si>
  <si>
    <t xml:space="preserve">elevated flag on lowest class raises p-class 1-&gt;2, impact class unchanged</t>
  </si>
  <si>
    <t xml:space="preserve">V7-noflag</t>
  </si>
  <si>
    <t xml:space="preserve">no flag: p-class == impact-class == tier</t>
  </si>
  <si>
    <t xml:space="preserve">V8-lin</t>
  </si>
  <si>
    <t xml:space="preserve">linear model M03: 34.36 - 1.71*5 = 25.81 m2/day (crew of 2)</t>
  </si>
  <si>
    <t xml:space="preserve">V8-lin3</t>
  </si>
  <si>
    <t xml:space="preserve">linear model P1-01: 0.53 - 0.08*3 + 0.4*2 + 0.36*4 = 2.53 m2/hour/worker</t>
  </si>
  <si>
    <t xml:space="preserve">V8-crew</t>
  </si>
  <si>
    <t xml:space="preserve">M03 scaled to a crew of 4 (linear): 25.81/2*4 = 51.62 m2/day</t>
  </si>
  <si>
    <t xml:space="preserve">V8-hours</t>
  </si>
  <si>
    <t xml:space="preserve">P1-01: m2/hour/worker * 8 h * 3 workers</t>
  </si>
  <si>
    <t xml:space="preserve">V8-t0</t>
  </si>
  <si>
    <t xml:space="preserve">baseline mode = 1000/(2*25) = 20 d</t>
  </si>
  <si>
    <t xml:space="preserve">V8-tmin</t>
  </si>
  <si>
    <t xml:space="preserve">baseline min = 1000/(2*30)</t>
  </si>
  <si>
    <t xml:space="preserve">V8-tmax</t>
  </si>
  <si>
    <t xml:space="preserve">baseline max = 1000/(2*20)</t>
  </si>
  <si>
    <t xml:space="preserve">V8-is7272</t>
  </si>
  <si>
    <t xml:space="preserve">IS 7272 1-brick: 6 masons / 0.94 mason-days per m3 = 6.383 m3/day</t>
  </si>
  <si>
    <t xml:space="preserve">V8-cpwd</t>
  </si>
  <si>
    <t xml:space="preserve">CPWD superstructure: 6 masons / (0.47+0.47) = 6.383 m3/day</t>
  </si>
  <si>
    <t xml:space="preserve">V8-support</t>
  </si>
  <si>
    <t xml:space="preserve">required mazdoor for 6 masons = 6*1.8/0.94 = 11.489</t>
  </si>
  <si>
    <t xml:space="preserve">V9-zmean</t>
  </si>
  <si>
    <t xml:space="preserve">mean of z-scores of E[delay] over 200 seeds is ~0 (|avg| &lt;= 0.30 ~ 4 SE)</t>
  </si>
  <si>
    <t xml:space="preserve">V9-zsd</t>
  </si>
  <si>
    <t xml:space="preserve">sd of z-scores of E[delay] ~ 1 (reported standard error is honest)</t>
  </si>
  <si>
    <t xml:space="preserve">V9-cov</t>
  </si>
  <si>
    <t xml:space="preserve">95% CI coverage of the analytic mean over 200 seeds (92%..98%)</t>
  </si>
  <si>
    <t xml:space="preserve">V9-covp90</t>
  </si>
  <si>
    <t xml:space="preserve">P90 CI coverage of the exact P90 over 200 seeds (&gt;= 90%)</t>
  </si>
  <si>
    <t xml:space="preserve">V9-pany</t>
  </si>
  <si>
    <t xml:space="preserve">mean z of P(any delay) ~ 0</t>
  </si>
  <si>
    <t xml:space="preserve">V10-joint--0.5</t>
  </si>
  <si>
    <t xml:space="preserve">P(A and B) at rho=-0.5: bivariate-normal CDF vs tool, 4 SE</t>
  </si>
  <si>
    <t xml:space="preserve">V10-margA--0.5</t>
  </si>
  <si>
    <t xml:space="preserve">marginal P(A)=0.40 preserved at rho=-0.5</t>
  </si>
  <si>
    <t xml:space="preserve">V10-joint-0.0</t>
  </si>
  <si>
    <t xml:space="preserve">P(A and B) at rho=0.0: bivariate-normal CDF vs tool, 4 SE</t>
  </si>
  <si>
    <t xml:space="preserve">V10-margA-0.0</t>
  </si>
  <si>
    <t xml:space="preserve">marginal P(A)=0.40 preserved at rho=0.0</t>
  </si>
  <si>
    <t xml:space="preserve">V10-joint-0.6</t>
  </si>
  <si>
    <t xml:space="preserve">P(A and B) at rho=0.6: bivariate-normal CDF vs tool, 4 SE</t>
  </si>
  <si>
    <t xml:space="preserve">V10-margA-0.6</t>
  </si>
  <si>
    <t xml:space="preserve">marginal P(A)=0.40 preserved at rho=0.6</t>
  </si>
  <si>
    <t xml:space="preserve">V10-joint-0.95</t>
  </si>
  <si>
    <t xml:space="preserve">P(A and B) at rho=0.95: bivariate-normal CDF vs tool, 4 SE</t>
  </si>
  <si>
    <t xml:space="preserve">V10-margA-0.95</t>
  </si>
  <si>
    <t xml:space="preserve">marginal P(A)=0.40 preserved at rho=0.95</t>
  </si>
  <si>
    <t xml:space="preserve">V11-ex1</t>
  </si>
  <si>
    <t xml:space="preserve">examples/example_case.json equals service.example_case()</t>
  </si>
  <si>
    <t xml:space="preserve">V11-ex2</t>
  </si>
  <si>
    <t xml:space="preserve">examples/example_analysis_case.json equals example_analysis_case()</t>
  </si>
  <si>
    <t xml:space="preserve">Test summary, 9 October 2026</t>
  </si>
  <si>
    <t xml:space="preserve">Test set</t>
  </si>
  <si>
    <t xml:space="preserve">Checks</t>
  </si>
  <si>
    <t xml:space="preserve">Passed before fixes</t>
  </si>
  <si>
    <t xml:space="preserve">Passed after fixes</t>
  </si>
  <si>
    <t xml:space="preserve">Failed after</t>
  </si>
  <si>
    <t xml:space="preserve">Cause of remaining failures</t>
  </si>
  <si>
    <t xml:space="preserve">Hand and exact calculation</t>
  </si>
  <si>
    <t xml:space="preserve">Two P90 differences of 0.049 and 0.051 d at n=200,000: sampling noise</t>
  </si>
  <si>
    <t xml:space="preserve">CLI, API, front end, packaging flows</t>
  </si>
  <si>
    <t xml:space="preserve">One wrong expectation in the test script (run on a case without a cost model exits 0 by design)</t>
  </si>
  <si>
    <t xml:space="preserve">Edge cases, wrong-shape inputs, performance</t>
  </si>
  <si>
    <t xml:space="preserve">Two wrong expectations in the test script (lambda = 0 is correctly rejected; truncation notice is in the report)</t>
  </si>
  <si>
    <t xml:space="preserve">Total</t>
  </si>
  <si>
    <t xml:space="preserve">Other test sets</t>
  </si>
  <si>
    <t xml:space="preserve">Size</t>
  </si>
  <si>
    <t xml:space="preserve">Before fixes</t>
  </si>
  <si>
    <t xml:space="preserve">After fixes</t>
  </si>
  <si>
    <t xml:space="preserve">Fuzzing, mutated inputs</t>
  </si>
  <si>
    <t xml:space="preserve">12 unhandled errors</t>
  </si>
  <si>
    <t xml:space="preserve">0 unhandled</t>
  </si>
  <si>
    <t xml:space="preserve">4,000 register + 3,000 analysis-case + 700 run_analysis mutations</t>
  </si>
  <si>
    <t xml:space="preserve">Invariants on random valid cases</t>
  </si>
  <si>
    <t xml:space="preserve">140 held</t>
  </si>
  <si>
    <t xml:space="preserve">No valid case rejected</t>
  </si>
  <si>
    <t xml:space="preserve">Repository test suite</t>
  </si>
  <si>
    <t xml:space="preserve">522 passed, 3 skipped (of 525)</t>
  </si>
  <si>
    <t xml:space="preserve">554 passed, 3 skipped</t>
  </si>
  <si>
    <t xml:space="preserve">32 new regression tests in tests/test_validation_fixes.py; 3 skipped need a database not built here</t>
  </si>
  <si>
    <t xml:space="preserve">Finding</t>
  </si>
  <si>
    <t xml:space="preserve">Severity</t>
  </si>
  <si>
    <t xml:space="preserve">Where</t>
  </si>
  <si>
    <t xml:space="preserve">What happened</t>
  </si>
  <si>
    <t xml:space="preserve">Fix</t>
  </si>
  <si>
    <t xml:space="preserve">Status</t>
  </si>
  <si>
    <t xml:space="preserve">F1</t>
  </si>
  <si>
    <t xml:space="preserve">Medium</t>
  </si>
  <si>
    <t xml:space="preserve">app/cli.py, analyze</t>
  </si>
  <si>
    <t xml:space="preserve">Bad case file ended in a traceback (6 of 6 file types)</t>
  </si>
  <si>
    <t xml:space="preserve">Same loader and error handling as run</t>
  </si>
  <si>
    <t xml:space="preserve">Fixed, tested</t>
  </si>
  <si>
    <t xml:space="preserve">F2</t>
  </si>
  <si>
    <t xml:space="preserve">app/analysis.py</t>
  </si>
  <si>
    <t xml:space="preserve">Wrong-type containers crashed (14 of 19 shapes)</t>
  </si>
  <si>
    <t xml:space="preserve">Type-check each container, report a case problem</t>
  </si>
  <si>
    <t xml:space="preserve">F3</t>
  </si>
  <si>
    <t xml:space="preserve">app/analysis.py, decision.py:96</t>
  </si>
  <si>
    <t xml:space="preserve">Mixed-type evidence ids failed when sorted</t>
  </si>
  <si>
    <t xml:space="preserve">Convert ids to text</t>
  </si>
  <si>
    <t xml:space="preserve">F4</t>
  </si>
  <si>
    <t xml:space="preserve">simulation.py, convergence()</t>
  </si>
  <si>
    <t xml:space="preserve">Empty checkpoints for n &lt; 10; n = 1 crashed</t>
  </si>
  <si>
    <t xml:space="preserve">At least one draw per checkpoint</t>
  </si>
  <si>
    <t xml:space="preserve">F5</t>
  </si>
  <si>
    <t xml:space="preserve">simulation.py, simulate()</t>
  </si>
  <si>
    <t xml:space="preserve">Two ids with equal CRC32 share a random stream</t>
  </si>
  <si>
    <t xml:space="preserve">Refuse and ask for a rename (hash unchanged)</t>
  </si>
  <si>
    <t xml:space="preserve">F6</t>
  </si>
  <si>
    <t xml:space="preserve">examples/example_analysis_case.json</t>
  </si>
  <si>
    <t xml:space="preserve">File differed from the generator function</t>
  </si>
  <si>
    <t xml:space="preserve">Regenerated; test compares them</t>
  </si>
  <si>
    <t xml:space="preserve">F7</t>
  </si>
  <si>
    <t xml:space="preserve">Info</t>
  </si>
  <si>
    <t xml:space="preserve">app/engine/options.py</t>
  </si>
  <si>
    <t xml:space="preserve">Automatic search stops at 3 responses and 40 options</t>
  </si>
  <si>
    <t xml:space="preserve">Document in the GUI</t>
  </si>
  <si>
    <t xml:space="preserve">Open</t>
  </si>
  <si>
    <t xml:space="preserve">Not verified: the PySide6 window and Windows executables (PySide6 not installable here), the browser UI operated by a person, LLM-assisted risk suggestions (no key), line coverage.</t>
  </si>
  <si>
    <t xml:space="preserve">Source: report/scripts/validation_2026-10-09/ (first-run and after_fixes outputs). Counts typed from those outputs.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</si>
</sst>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"/>
    <numFmt numFmtId="166" formatCode="#,##0.00"/>
    <numFmt numFmtId="167" formatCode="0.00"/>
    <numFmt numFmtId="168" formatCode="0.0"/>
    <numFmt numFmtId="169" formatCode="0"/>
    <numFmt numFmtId="170" formatCode="0.0000"/>
    <numFmt numFmtId="171" formatCode="0.000000"/>
    <numFmt numFmtId="172" formatCode="0.00000"/>
    <numFmt numFmtId="173" formatCode="0.0E+00"/>
    <numFmt numFmtId="174" formatCode="#,##0.00;\(#,##0.00\);\-"/>
    <numFmt numFmtId="175" formatCode="0.000"/>
    <numFmt numFmtId="176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61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3" customFormat="false" ht="61.5" hidden="false" customHeight="true" outlineLevel="0" collapsed="false">
      <c r="A3" s="2" t="s">
        <v>1</v>
      </c>
      <c r="B3" s="3" t="s">
        <v>2</v>
      </c>
    </row>
    <row r="4" customFormat="false" ht="61.5" hidden="false" customHeight="true" outlineLevel="0" collapsed="false">
      <c r="A4" s="2" t="s">
        <v>3</v>
      </c>
      <c r="B4" s="3" t="s">
        <v>4</v>
      </c>
    </row>
    <row r="5" customFormat="false" ht="61.5" hidden="false" customHeight="true" outlineLevel="0" collapsed="false">
      <c r="A5" s="2" t="s">
        <v>5</v>
      </c>
      <c r="B5" s="3" t="s">
        <v>6</v>
      </c>
    </row>
    <row r="6" customFormat="false" ht="61.5" hidden="false" customHeight="true" outlineLevel="0" collapsed="false">
      <c r="A6" s="2" t="s">
        <v>7</v>
      </c>
      <c r="B6" s="3" t="s">
        <v>8</v>
      </c>
    </row>
    <row r="7" customFormat="false" ht="61.5" hidden="false" customHeight="true" outlineLevel="0" collapsed="false">
      <c r="A7" s="2" t="s">
        <v>9</v>
      </c>
      <c r="B7" s="3" t="s">
        <v>10</v>
      </c>
    </row>
    <row r="8" customFormat="false" ht="61.5" hidden="false" customHeight="true" outlineLevel="0" collapsed="false">
      <c r="A8" s="2" t="s">
        <v>11</v>
      </c>
      <c r="B8" s="3" t="s">
        <v>12</v>
      </c>
    </row>
    <row r="9" customFormat="false" ht="61.5" hidden="false" customHeight="true" outlineLevel="0" collapsed="false">
      <c r="A9" s="2" t="s">
        <v>13</v>
      </c>
      <c r="B9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7" min="4" style="0" width="14"/>
    <col collapsed="false" customWidth="true" hidden="false" outlineLevel="0" max="11" min="8" style="0" width="12"/>
    <col collapsed="false" customWidth="true" hidden="false" outlineLevel="0" max="12" min="12" style="0" width="11"/>
  </cols>
  <sheetData>
    <row r="1" customFormat="false" ht="17.35" hidden="false" customHeight="false" outlineLevel="0" collapsed="false">
      <c r="A1" s="1" t="s">
        <v>15</v>
      </c>
    </row>
    <row r="3" customFormat="false" ht="31.5" hidden="false" customHeight="true" outlineLevel="0" collapsed="false">
      <c r="A3" s="4" t="s">
        <v>16</v>
      </c>
      <c r="B3" s="4" t="s">
        <v>17</v>
      </c>
      <c r="C3" s="4" t="s">
        <v>18</v>
      </c>
      <c r="D3" s="4" t="s">
        <v>19</v>
      </c>
    </row>
    <row r="4" customFormat="false" ht="15" hidden="false" customHeight="false" outlineLevel="0" collapsed="false">
      <c r="A4" s="5" t="s">
        <v>20</v>
      </c>
      <c r="B4" s="6" t="n">
        <v>16</v>
      </c>
      <c r="C4" s="7" t="s">
        <v>21</v>
      </c>
      <c r="D4" s="7" t="s">
        <v>22</v>
      </c>
    </row>
    <row r="5" customFormat="false" ht="15" hidden="false" customHeight="false" outlineLevel="0" collapsed="false">
      <c r="A5" s="5" t="s">
        <v>23</v>
      </c>
      <c r="B5" s="6" t="n">
        <v>20</v>
      </c>
      <c r="C5" s="7" t="s">
        <v>21</v>
      </c>
      <c r="D5" s="7" t="s">
        <v>24</v>
      </c>
    </row>
    <row r="6" customFormat="false" ht="15" hidden="false" customHeight="false" outlineLevel="0" collapsed="false">
      <c r="A6" s="5" t="s">
        <v>25</v>
      </c>
      <c r="B6" s="6" t="n">
        <v>8000</v>
      </c>
      <c r="C6" s="7" t="s">
        <v>26</v>
      </c>
      <c r="D6" s="7" t="s">
        <v>27</v>
      </c>
    </row>
    <row r="7" customFormat="false" ht="15" hidden="false" customHeight="false" outlineLevel="0" collapsed="false">
      <c r="A7" s="5" t="s">
        <v>28</v>
      </c>
      <c r="B7" s="6" t="n">
        <v>5000</v>
      </c>
      <c r="C7" s="7" t="s">
        <v>26</v>
      </c>
      <c r="D7" s="7" t="s">
        <v>29</v>
      </c>
    </row>
    <row r="8" customFormat="false" ht="15" hidden="false" customHeight="false" outlineLevel="0" collapsed="false">
      <c r="A8" s="5" t="s">
        <v>30</v>
      </c>
      <c r="B8" s="8" t="n">
        <v>4</v>
      </c>
      <c r="C8" s="7" t="s">
        <v>31</v>
      </c>
      <c r="D8" s="7" t="s">
        <v>32</v>
      </c>
    </row>
    <row r="11" customFormat="false" ht="31.5" hidden="false" customHeight="true" outlineLevel="0" collapsed="false">
      <c r="A11" s="4" t="s">
        <v>33</v>
      </c>
      <c r="B11" s="4" t="s">
        <v>34</v>
      </c>
      <c r="C11" s="4" t="s">
        <v>35</v>
      </c>
      <c r="D11" s="4" t="s">
        <v>36</v>
      </c>
      <c r="E11" s="4" t="s">
        <v>37</v>
      </c>
      <c r="F11" s="4" t="s">
        <v>38</v>
      </c>
    </row>
    <row r="12" customFormat="false" ht="15" hidden="false" customHeight="false" outlineLevel="0" collapsed="false">
      <c r="A12" s="5" t="s">
        <v>39</v>
      </c>
      <c r="B12" s="7" t="s">
        <v>40</v>
      </c>
      <c r="C12" s="9" t="n">
        <v>0.5</v>
      </c>
      <c r="D12" s="10" t="n">
        <v>1</v>
      </c>
      <c r="E12" s="10" t="n">
        <v>3</v>
      </c>
      <c r="F12" s="10" t="n">
        <v>8</v>
      </c>
    </row>
    <row r="13" customFormat="false" ht="15" hidden="false" customHeight="false" outlineLevel="0" collapsed="false">
      <c r="A13" s="5" t="s">
        <v>41</v>
      </c>
      <c r="B13" s="7" t="s">
        <v>42</v>
      </c>
      <c r="C13" s="9" t="n">
        <v>0.35</v>
      </c>
      <c r="D13" s="10" t="n">
        <v>1</v>
      </c>
      <c r="E13" s="10" t="n">
        <v>2</v>
      </c>
      <c r="F13" s="10" t="n">
        <v>6</v>
      </c>
    </row>
    <row r="14" customFormat="false" ht="15" hidden="false" customHeight="false" outlineLevel="0" collapsed="false">
      <c r="A14" s="5" t="s">
        <v>43</v>
      </c>
      <c r="B14" s="7" t="s">
        <v>44</v>
      </c>
      <c r="C14" s="9" t="n">
        <v>0.25</v>
      </c>
      <c r="D14" s="10" t="n">
        <v>1</v>
      </c>
      <c r="E14" s="10" t="n">
        <v>2</v>
      </c>
      <c r="F14" s="10" t="n">
        <v>5</v>
      </c>
    </row>
    <row r="15" customFormat="false" ht="15" hidden="false" customHeight="false" outlineLevel="0" collapsed="false">
      <c r="A15" s="5" t="s">
        <v>45</v>
      </c>
      <c r="B15" s="7" t="s">
        <v>46</v>
      </c>
      <c r="C15" s="9" t="n">
        <v>0.2</v>
      </c>
      <c r="D15" s="10" t="n">
        <v>1</v>
      </c>
      <c r="E15" s="10" t="n">
        <v>2</v>
      </c>
      <c r="F15" s="10" t="n">
        <v>7</v>
      </c>
    </row>
    <row r="16" customFormat="false" ht="15" hidden="false" customHeight="false" outlineLevel="0" collapsed="false">
      <c r="A16" s="5" t="s">
        <v>47</v>
      </c>
      <c r="B16" s="7" t="s">
        <v>48</v>
      </c>
      <c r="C16" s="9" t="n">
        <v>0.1</v>
      </c>
      <c r="D16" s="10" t="n">
        <v>1</v>
      </c>
      <c r="E16" s="10" t="n">
        <v>1</v>
      </c>
      <c r="F16" s="10" t="n">
        <v>3</v>
      </c>
    </row>
    <row r="17" customFormat="false" ht="15" hidden="false" customHeight="false" outlineLevel="0" collapsed="false">
      <c r="A17" s="5" t="s">
        <v>49</v>
      </c>
      <c r="B17" s="7" t="s">
        <v>50</v>
      </c>
      <c r="C17" s="9" t="n">
        <v>0.3</v>
      </c>
      <c r="D17" s="10" t="n">
        <v>1</v>
      </c>
      <c r="E17" s="10" t="n">
        <v>2</v>
      </c>
      <c r="F17" s="10" t="n">
        <v>6</v>
      </c>
    </row>
    <row r="18" customFormat="false" ht="15" hidden="false" customHeight="false" outlineLevel="0" collapsed="false">
      <c r="A18" s="5" t="s">
        <v>51</v>
      </c>
      <c r="B18" s="7" t="s">
        <v>52</v>
      </c>
      <c r="C18" s="9" t="n">
        <v>0.22</v>
      </c>
      <c r="D18" s="10" t="n">
        <v>1</v>
      </c>
      <c r="E18" s="10" t="n">
        <v>2</v>
      </c>
      <c r="F18" s="10" t="n">
        <v>5</v>
      </c>
    </row>
    <row r="21" customFormat="false" ht="39.75" hidden="false" customHeight="true" outlineLevel="0" collapsed="false">
      <c r="A21" s="4" t="s">
        <v>53</v>
      </c>
      <c r="B21" s="4" t="s">
        <v>54</v>
      </c>
      <c r="C21" s="4" t="s">
        <v>55</v>
      </c>
      <c r="D21" s="4" t="s">
        <v>56</v>
      </c>
      <c r="E21" s="4" t="s">
        <v>57</v>
      </c>
      <c r="F21" s="4" t="s">
        <v>58</v>
      </c>
      <c r="G21" s="4" t="s">
        <v>59</v>
      </c>
      <c r="H21" s="4" t="s">
        <v>60</v>
      </c>
      <c r="I21" s="4" t="s">
        <v>61</v>
      </c>
      <c r="J21" s="4" t="s">
        <v>62</v>
      </c>
      <c r="K21" s="4" t="s">
        <v>63</v>
      </c>
      <c r="L21" s="4" t="s">
        <v>64</v>
      </c>
    </row>
    <row r="22" customFormat="false" ht="15" hidden="false" customHeight="false" outlineLevel="0" collapsed="false">
      <c r="A22" s="5" t="s">
        <v>65</v>
      </c>
      <c r="B22" s="7" t="s">
        <v>39</v>
      </c>
      <c r="C22" s="6" t="n">
        <v>6000</v>
      </c>
      <c r="D22" s="9" t="n">
        <v>0.2</v>
      </c>
      <c r="E22" s="10"/>
      <c r="F22" s="10"/>
      <c r="G22" s="10"/>
      <c r="H22" s="9"/>
      <c r="I22" s="10"/>
      <c r="J22" s="10"/>
      <c r="K22" s="10"/>
      <c r="L22" s="11" t="s">
        <v>66</v>
      </c>
    </row>
    <row r="23" customFormat="false" ht="15" hidden="false" customHeight="false" outlineLevel="0" collapsed="false">
      <c r="A23" s="5" t="s">
        <v>67</v>
      </c>
      <c r="B23" s="7" t="s">
        <v>39</v>
      </c>
      <c r="C23" s="6" t="n">
        <v>3000</v>
      </c>
      <c r="D23" s="9" t="n">
        <v>0.35</v>
      </c>
      <c r="E23" s="10"/>
      <c r="F23" s="10"/>
      <c r="G23" s="10"/>
      <c r="H23" s="9"/>
      <c r="I23" s="10"/>
      <c r="J23" s="10"/>
      <c r="K23" s="10"/>
      <c r="L23" s="11" t="s">
        <v>66</v>
      </c>
    </row>
    <row r="24" customFormat="false" ht="15" hidden="false" customHeight="false" outlineLevel="0" collapsed="false">
      <c r="A24" s="5" t="s">
        <v>68</v>
      </c>
      <c r="B24" s="7" t="s">
        <v>41</v>
      </c>
      <c r="C24" s="6" t="n">
        <v>9000</v>
      </c>
      <c r="D24" s="9"/>
      <c r="E24" s="10" t="n">
        <v>0</v>
      </c>
      <c r="F24" s="10" t="n">
        <v>1</v>
      </c>
      <c r="G24" s="10" t="n">
        <v>3</v>
      </c>
      <c r="H24" s="9" t="n">
        <v>0.3</v>
      </c>
      <c r="I24" s="10" t="n">
        <v>0</v>
      </c>
      <c r="J24" s="10" t="n">
        <v>1</v>
      </c>
      <c r="K24" s="10" t="n">
        <v>2</v>
      </c>
      <c r="L24" s="11" t="s">
        <v>66</v>
      </c>
    </row>
    <row r="25" customFormat="false" ht="15" hidden="false" customHeight="false" outlineLevel="0" collapsed="false">
      <c r="A25" s="5" t="s">
        <v>69</v>
      </c>
      <c r="B25" s="7" t="s">
        <v>45</v>
      </c>
      <c r="C25" s="6" t="n">
        <v>2500</v>
      </c>
      <c r="D25" s="9" t="n">
        <v>0.12</v>
      </c>
      <c r="E25" s="10"/>
      <c r="F25" s="10"/>
      <c r="G25" s="10"/>
      <c r="H25" s="9"/>
      <c r="I25" s="10"/>
      <c r="J25" s="10"/>
      <c r="K25" s="10"/>
      <c r="L25" s="11" t="s">
        <v>66</v>
      </c>
    </row>
    <row r="26" customFormat="false" ht="15" hidden="false" customHeight="false" outlineLevel="0" collapsed="false">
      <c r="A26" s="5" t="s">
        <v>70</v>
      </c>
      <c r="B26" s="7" t="s">
        <v>43</v>
      </c>
      <c r="C26" s="6" t="n">
        <v>1500</v>
      </c>
      <c r="D26" s="9" t="n">
        <v>0.15</v>
      </c>
      <c r="E26" s="10"/>
      <c r="F26" s="10"/>
      <c r="G26" s="10"/>
      <c r="H26" s="9"/>
      <c r="I26" s="10"/>
      <c r="J26" s="10"/>
      <c r="K26" s="10"/>
      <c r="L26" s="11" t="s">
        <v>66</v>
      </c>
    </row>
    <row r="27" customFormat="false" ht="15" hidden="false" customHeight="false" outlineLevel="0" collapsed="false">
      <c r="A27" s="5" t="s">
        <v>71</v>
      </c>
      <c r="B27" s="7" t="s">
        <v>51</v>
      </c>
      <c r="C27" s="6" t="n">
        <v>4000</v>
      </c>
      <c r="D27" s="9" t="n">
        <v>0.1</v>
      </c>
      <c r="E27" s="10"/>
      <c r="F27" s="10"/>
      <c r="G27" s="10"/>
      <c r="H27" s="9"/>
      <c r="I27" s="10"/>
      <c r="J27" s="10"/>
      <c r="K27" s="10"/>
      <c r="L27" s="11" t="s">
        <v>72</v>
      </c>
    </row>
    <row r="29" customFormat="false" ht="15" hidden="false" customHeight="false" outlineLevel="0" collapsed="false">
      <c r="A29" s="12" t="s">
        <v>73</v>
      </c>
    </row>
    <row r="30" customFormat="false" ht="15" hidden="false" customHeight="false" outlineLevel="0" collapsed="false">
      <c r="A30" s="5" t="s">
        <v>74</v>
      </c>
      <c r="B30" s="9" t="n">
        <v>0.2</v>
      </c>
      <c r="C30" s="9" t="n">
        <v>0.4</v>
      </c>
      <c r="D30" s="9" t="n">
        <v>0.6</v>
      </c>
      <c r="E30" s="9" t="n">
        <v>0.8</v>
      </c>
    </row>
    <row r="31" customFormat="false" ht="15" hidden="false" customHeight="false" outlineLevel="0" collapsed="false">
      <c r="A31" s="5" t="s">
        <v>75</v>
      </c>
      <c r="B31" s="9" t="n">
        <v>0.02</v>
      </c>
      <c r="C31" s="9" t="n">
        <v>0.05</v>
      </c>
      <c r="D31" s="9" t="n">
        <v>0.1</v>
      </c>
      <c r="E31" s="9" t="n">
        <v>0.2</v>
      </c>
    </row>
    <row r="32" customFormat="false" ht="15" hidden="false" customHeight="false" outlineLevel="0" collapsed="false">
      <c r="A32" s="5" t="s">
        <v>76</v>
      </c>
      <c r="B32" s="13" t="n">
        <v>5</v>
      </c>
      <c r="C32" s="13" t="n">
        <v>10</v>
      </c>
      <c r="D32" s="13" t="n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0"/>
  </cols>
  <sheetData>
    <row r="1" customFormat="false" ht="17.35" hidden="false" customHeight="false" outlineLevel="0" collapsed="false">
      <c r="A1" s="1" t="s">
        <v>77</v>
      </c>
    </row>
    <row r="3" customFormat="false" ht="51.75" hidden="false" customHeight="true" outlineLevel="0" collapsed="false">
      <c r="A3" s="4" t="s">
        <v>33</v>
      </c>
      <c r="B3" s="4" t="s">
        <v>78</v>
      </c>
      <c r="C3" s="4" t="s">
        <v>79</v>
      </c>
      <c r="D3" s="4" t="s">
        <v>80</v>
      </c>
      <c r="E3" s="4" t="s">
        <v>81</v>
      </c>
      <c r="F3" s="4" t="s">
        <v>82</v>
      </c>
      <c r="G3" s="4" t="s">
        <v>83</v>
      </c>
      <c r="H3" s="4" t="s">
        <v>84</v>
      </c>
      <c r="I3" s="4" t="s">
        <v>85</v>
      </c>
      <c r="J3" s="4" t="s">
        <v>86</v>
      </c>
      <c r="K3" s="4" t="s">
        <v>87</v>
      </c>
      <c r="L3" s="4" t="s">
        <v>88</v>
      </c>
      <c r="M3" s="4" t="s">
        <v>89</v>
      </c>
    </row>
    <row r="4" customFormat="false" ht="15" hidden="false" customHeight="false" outlineLevel="0" collapsed="false">
      <c r="A4" s="14" t="str">
        <f aca="false">Inputs!A12</f>
        <v>R-MAT</v>
      </c>
      <c r="B4" s="15" t="n">
        <f aca="false">Inputs!C12</f>
        <v>0.5</v>
      </c>
      <c r="C4" s="16" t="n">
        <f aca="false">(Inputs!D12+Inputs!$B$8*Inputs!E12+Inputs!F12)/(Inputs!$B$8+2)</f>
        <v>3.5</v>
      </c>
      <c r="D4" s="17" t="n">
        <f aca="false">(C4-Inputs!D12)*(Inputs!F12-C4)/(Inputs!$B$8+3)</f>
        <v>1.60714285714286</v>
      </c>
      <c r="E4" s="18" t="n">
        <f aca="false">B4*C4*Inputs!$B$6</f>
        <v>14000</v>
      </c>
      <c r="F4" s="19" t="n">
        <f aca="false">B4*C4</f>
        <v>1.75</v>
      </c>
      <c r="G4" s="17" t="n">
        <f aca="false">B4*(D4+C4^2)-F4^2</f>
        <v>3.86607142857143</v>
      </c>
      <c r="H4" s="20" t="n">
        <f aca="false">1-B4</f>
        <v>0.5</v>
      </c>
      <c r="I4" s="21" t="n">
        <v>3.5</v>
      </c>
      <c r="J4" s="22" t="n">
        <v>14000</v>
      </c>
      <c r="K4" s="23" t="n">
        <f aca="false">C4-I4</f>
        <v>0</v>
      </c>
      <c r="L4" s="23" t="n">
        <f aca="false">E4-J4</f>
        <v>0</v>
      </c>
      <c r="M4" s="24" t="str">
        <f aca="false">IF(AND(ABS(K4)&lt;=0.000001,ABS(L4)&lt;=0.0001),"PASS","FAIL")</f>
        <v>PASS</v>
      </c>
    </row>
    <row r="5" customFormat="false" ht="15" hidden="false" customHeight="false" outlineLevel="0" collapsed="false">
      <c r="A5" s="14" t="str">
        <f aca="false">Inputs!A13</f>
        <v>R-LAB</v>
      </c>
      <c r="B5" s="15" t="n">
        <f aca="false">Inputs!C13</f>
        <v>0.35</v>
      </c>
      <c r="C5" s="16" t="n">
        <f aca="false">(Inputs!D13+Inputs!$B$8*Inputs!E13+Inputs!F13)/(Inputs!$B$8+2)</f>
        <v>2.5</v>
      </c>
      <c r="D5" s="17" t="n">
        <f aca="false">(C5-Inputs!D13)*(Inputs!F13-C5)/(Inputs!$B$8+3)</f>
        <v>0.75</v>
      </c>
      <c r="E5" s="18" t="n">
        <f aca="false">B5*C5*Inputs!$B$6</f>
        <v>7000</v>
      </c>
      <c r="F5" s="19" t="n">
        <f aca="false">B5*C5</f>
        <v>0.875</v>
      </c>
      <c r="G5" s="17" t="n">
        <f aca="false">B5*(D5+C5^2)-F5^2</f>
        <v>1.684375</v>
      </c>
      <c r="H5" s="20" t="n">
        <f aca="false">1-B5</f>
        <v>0.65</v>
      </c>
      <c r="I5" s="21" t="n">
        <v>2.5</v>
      </c>
      <c r="J5" s="22" t="n">
        <v>7000</v>
      </c>
      <c r="K5" s="23" t="n">
        <f aca="false">C5-I5</f>
        <v>0</v>
      </c>
      <c r="L5" s="23" t="n">
        <f aca="false">E5-J5</f>
        <v>0</v>
      </c>
      <c r="M5" s="24" t="str">
        <f aca="false">IF(AND(ABS(K5)&lt;=0.000001,ABS(L5)&lt;=0.0001),"PASS","FAIL")</f>
        <v>PASS</v>
      </c>
    </row>
    <row r="6" customFormat="false" ht="15" hidden="false" customHeight="false" outlineLevel="0" collapsed="false">
      <c r="A6" s="14" t="str">
        <f aca="false">Inputs!A14</f>
        <v>R-RWK</v>
      </c>
      <c r="B6" s="15" t="n">
        <f aca="false">Inputs!C14</f>
        <v>0.25</v>
      </c>
      <c r="C6" s="16" t="n">
        <f aca="false">(Inputs!D14+Inputs!$B$8*Inputs!E14+Inputs!F14)/(Inputs!$B$8+2)</f>
        <v>2.33333333333333</v>
      </c>
      <c r="D6" s="17" t="n">
        <f aca="false">(C6-Inputs!D14)*(Inputs!F14-C6)/(Inputs!$B$8+3)</f>
        <v>0.507936507936508</v>
      </c>
      <c r="E6" s="18" t="n">
        <f aca="false">B6*C6*Inputs!$B$6</f>
        <v>4666.66666666667</v>
      </c>
      <c r="F6" s="19" t="n">
        <f aca="false">B6*C6</f>
        <v>0.583333333333333</v>
      </c>
      <c r="G6" s="17" t="n">
        <f aca="false">B6*(D6+C6^2)-F6^2</f>
        <v>1.14781746031746</v>
      </c>
      <c r="H6" s="20" t="n">
        <f aca="false">1-B6</f>
        <v>0.75</v>
      </c>
      <c r="I6" s="21" t="n">
        <v>2.33333333333333</v>
      </c>
      <c r="J6" s="22" t="n">
        <v>4666.66666666667</v>
      </c>
      <c r="K6" s="23" t="n">
        <f aca="false">C6-I6</f>
        <v>0</v>
      </c>
      <c r="L6" s="23" t="n">
        <f aca="false">E6-J6</f>
        <v>0</v>
      </c>
      <c r="M6" s="24" t="str">
        <f aca="false">IF(AND(ABS(K6)&lt;=0.000001,ABS(L6)&lt;=0.0001),"PASS","FAIL")</f>
        <v>PASS</v>
      </c>
    </row>
    <row r="7" customFormat="false" ht="15" hidden="false" customHeight="false" outlineLevel="0" collapsed="false">
      <c r="A7" s="14" t="str">
        <f aca="false">Inputs!A15</f>
        <v>R-WX</v>
      </c>
      <c r="B7" s="15" t="n">
        <f aca="false">Inputs!C15</f>
        <v>0.2</v>
      </c>
      <c r="C7" s="16" t="n">
        <f aca="false">(Inputs!D15+Inputs!$B$8*Inputs!E15+Inputs!F15)/(Inputs!$B$8+2)</f>
        <v>2.66666666666667</v>
      </c>
      <c r="D7" s="17" t="n">
        <f aca="false">(C7-Inputs!D15)*(Inputs!F15-C7)/(Inputs!$B$8+3)</f>
        <v>1.03174603174603</v>
      </c>
      <c r="E7" s="18" t="n">
        <f aca="false">B7*C7*Inputs!$B$6</f>
        <v>4266.66666666667</v>
      </c>
      <c r="F7" s="19" t="n">
        <f aca="false">B7*C7</f>
        <v>0.533333333333333</v>
      </c>
      <c r="G7" s="17" t="n">
        <f aca="false">B7*(D7+C7^2)-F7^2</f>
        <v>1.34412698412698</v>
      </c>
      <c r="H7" s="20" t="n">
        <f aca="false">1-B7</f>
        <v>0.8</v>
      </c>
      <c r="I7" s="21" t="n">
        <v>2.66666666666667</v>
      </c>
      <c r="J7" s="22" t="n">
        <v>4266.66666666667</v>
      </c>
      <c r="K7" s="23" t="n">
        <f aca="false">C7-I7</f>
        <v>0</v>
      </c>
      <c r="L7" s="23" t="n">
        <f aca="false">E7-J7</f>
        <v>0</v>
      </c>
      <c r="M7" s="24" t="str">
        <f aca="false">IF(AND(ABS(K7)&lt;=0.000001,ABS(L7)&lt;=0.0001),"PASS","FAIL")</f>
        <v>PASS</v>
      </c>
    </row>
    <row r="8" customFormat="false" ht="15" hidden="false" customHeight="false" outlineLevel="0" collapsed="false">
      <c r="A8" s="14" t="str">
        <f aca="false">Inputs!A16</f>
        <v>R-PLAN</v>
      </c>
      <c r="B8" s="15" t="n">
        <f aca="false">Inputs!C16</f>
        <v>0.1</v>
      </c>
      <c r="C8" s="16" t="n">
        <f aca="false">(Inputs!D16+Inputs!$B$8*Inputs!E16+Inputs!F16)/(Inputs!$B$8+2)</f>
        <v>1.33333333333333</v>
      </c>
      <c r="D8" s="17" t="n">
        <f aca="false">(C8-Inputs!D16)*(Inputs!F16-C8)/(Inputs!$B$8+3)</f>
        <v>0.0793650793650794</v>
      </c>
      <c r="E8" s="18" t="n">
        <f aca="false">B8*C8*Inputs!$B$6</f>
        <v>1066.66666666667</v>
      </c>
      <c r="F8" s="19" t="n">
        <f aca="false">B8*C8</f>
        <v>0.133333333333333</v>
      </c>
      <c r="G8" s="17" t="n">
        <f aca="false">B8*(D8+C8^2)-F8^2</f>
        <v>0.167936507936508</v>
      </c>
      <c r="H8" s="20" t="n">
        <f aca="false">1-B8</f>
        <v>0.9</v>
      </c>
      <c r="I8" s="21" t="n">
        <v>1.33333333333333</v>
      </c>
      <c r="J8" s="22" t="n">
        <v>1066.66666666667</v>
      </c>
      <c r="K8" s="23" t="n">
        <f aca="false">C8-I8</f>
        <v>0</v>
      </c>
      <c r="L8" s="23" t="n">
        <f aca="false">E8-J8</f>
        <v>0</v>
      </c>
      <c r="M8" s="24" t="str">
        <f aca="false">IF(AND(ABS(K8)&lt;=0.000001,ABS(L8)&lt;=0.0001),"PASS","FAIL")</f>
        <v>PASS</v>
      </c>
    </row>
    <row r="9" customFormat="false" ht="15" hidden="false" customHeight="false" outlineLevel="0" collapsed="false">
      <c r="A9" s="14" t="str">
        <f aca="false">Inputs!A17</f>
        <v>R-SAFE</v>
      </c>
      <c r="B9" s="15" t="n">
        <f aca="false">Inputs!C17</f>
        <v>0.3</v>
      </c>
      <c r="C9" s="16" t="n">
        <f aca="false">(Inputs!D17+Inputs!$B$8*Inputs!E17+Inputs!F17)/(Inputs!$B$8+2)</f>
        <v>2.5</v>
      </c>
      <c r="D9" s="17" t="n">
        <f aca="false">(C9-Inputs!D17)*(Inputs!F17-C9)/(Inputs!$B$8+3)</f>
        <v>0.75</v>
      </c>
      <c r="E9" s="18" t="n">
        <f aca="false">B9*C9*Inputs!$B$6</f>
        <v>6000</v>
      </c>
      <c r="F9" s="19" t="n">
        <f aca="false">B9*C9</f>
        <v>0.75</v>
      </c>
      <c r="G9" s="17" t="n">
        <f aca="false">B9*(D9+C9^2)-F9^2</f>
        <v>1.5375</v>
      </c>
      <c r="H9" s="20" t="n">
        <f aca="false">1-B9</f>
        <v>0.7</v>
      </c>
      <c r="I9" s="21" t="n">
        <v>2.5</v>
      </c>
      <c r="J9" s="22" t="n">
        <v>6000</v>
      </c>
      <c r="K9" s="23" t="n">
        <f aca="false">C9-I9</f>
        <v>0</v>
      </c>
      <c r="L9" s="23" t="n">
        <f aca="false">E9-J9</f>
        <v>0</v>
      </c>
      <c r="M9" s="24" t="str">
        <f aca="false">IF(AND(ABS(K9)&lt;=0.000001,ABS(L9)&lt;=0.0001),"PASS","FAIL")</f>
        <v>PASS</v>
      </c>
    </row>
    <row r="10" customFormat="false" ht="15" hidden="false" customHeight="false" outlineLevel="0" collapsed="false">
      <c r="A10" s="14" t="str">
        <f aca="false">Inputs!A18</f>
        <v>R-SKILL</v>
      </c>
      <c r="B10" s="15" t="n">
        <f aca="false">Inputs!C18</f>
        <v>0.22</v>
      </c>
      <c r="C10" s="16" t="n">
        <f aca="false">(Inputs!D18+Inputs!$B$8*Inputs!E18+Inputs!F18)/(Inputs!$B$8+2)</f>
        <v>2.33333333333333</v>
      </c>
      <c r="D10" s="17" t="n">
        <f aca="false">(C10-Inputs!D18)*(Inputs!F18-C10)/(Inputs!$B$8+3)</f>
        <v>0.507936507936508</v>
      </c>
      <c r="E10" s="18" t="n">
        <f aca="false">B10*C10*Inputs!$B$6</f>
        <v>4106.66666666667</v>
      </c>
      <c r="F10" s="19" t="n">
        <f aca="false">B10*C10</f>
        <v>0.513333333333333</v>
      </c>
      <c r="G10" s="17" t="n">
        <f aca="false">B10*(D10+C10^2)-F10^2</f>
        <v>1.0460126984127</v>
      </c>
      <c r="H10" s="20" t="n">
        <f aca="false">1-B10</f>
        <v>0.78</v>
      </c>
      <c r="I10" s="21" t="n">
        <v>2.33333333333333</v>
      </c>
      <c r="J10" s="22" t="n">
        <v>4106.66666666667</v>
      </c>
      <c r="K10" s="23" t="n">
        <f aca="false">C10-I10</f>
        <v>0</v>
      </c>
      <c r="L10" s="23" t="n">
        <f aca="false">E10-J10</f>
        <v>0</v>
      </c>
      <c r="M10" s="24" t="str">
        <f aca="false">IF(AND(ABS(K10)&lt;=0.000001,ABS(L10)&lt;=0.0001),"PASS","FAIL")</f>
        <v>PASS</v>
      </c>
    </row>
    <row r="12" customFormat="false" ht="24" hidden="false" customHeight="true" outlineLevel="0" collapsed="false">
      <c r="A12" s="4" t="s">
        <v>90</v>
      </c>
      <c r="B12" s="4" t="s">
        <v>91</v>
      </c>
      <c r="C12" s="4" t="s">
        <v>92</v>
      </c>
      <c r="D12" s="4" t="s">
        <v>93</v>
      </c>
      <c r="E12" s="4" t="s">
        <v>89</v>
      </c>
    </row>
    <row r="13" customFormat="false" ht="15" hidden="false" customHeight="false" outlineLevel="0" collapsed="false">
      <c r="A13" s="5" t="s">
        <v>94</v>
      </c>
      <c r="B13" s="19" t="n">
        <f aca="false">SUM(F4:F10)</f>
        <v>5.13833333333333</v>
      </c>
      <c r="C13" s="25" t="n">
        <v>5.13833333333333</v>
      </c>
      <c r="D13" s="23" t="n">
        <f aca="false">B13-C13</f>
        <v>0</v>
      </c>
      <c r="E13" s="24" t="str">
        <f aca="false">IF(ABS(D13)&lt;=0.0001,"PASS","FAIL")</f>
        <v>PASS</v>
      </c>
    </row>
    <row r="14" customFormat="false" ht="15" hidden="false" customHeight="false" outlineLevel="0" collapsed="false">
      <c r="A14" s="5" t="s">
        <v>95</v>
      </c>
      <c r="B14" s="19" t="n">
        <f aca="false">SUM(G4:G10)</f>
        <v>10.7938400793651</v>
      </c>
      <c r="C14" s="25" t="n">
        <v>10.7938400793651</v>
      </c>
      <c r="D14" s="23" t="n">
        <f aca="false">B14-C14</f>
        <v>0</v>
      </c>
      <c r="E14" s="24" t="str">
        <f aca="false">IF(ABS(D14)&lt;=0.0001,"PASS","FAIL")</f>
        <v>PASS</v>
      </c>
    </row>
    <row r="15" customFormat="false" ht="15" hidden="false" customHeight="false" outlineLevel="0" collapsed="false">
      <c r="A15" s="5" t="s">
        <v>96</v>
      </c>
      <c r="B15" s="19" t="n">
        <f aca="false">SQRT(B14)</f>
        <v>3.28539800927758</v>
      </c>
      <c r="C15" s="25" t="n">
        <v>3.28539800927758</v>
      </c>
      <c r="D15" s="23" t="n">
        <f aca="false">B15-C15</f>
        <v>0</v>
      </c>
      <c r="E15" s="24" t="str">
        <f aca="false">IF(ABS(D15)&lt;=0.0001,"PASS","FAIL")</f>
        <v>PASS</v>
      </c>
    </row>
    <row r="16" customFormat="false" ht="15" hidden="false" customHeight="false" outlineLevel="0" collapsed="false">
      <c r="A16" s="5" t="s">
        <v>97</v>
      </c>
      <c r="B16" s="18" t="n">
        <f aca="false">SUM(E4:E10)</f>
        <v>41106.6666666667</v>
      </c>
      <c r="C16" s="22" t="n">
        <v>41106.6666666667</v>
      </c>
      <c r="D16" s="23" t="n">
        <f aca="false">B16-C16</f>
        <v>0</v>
      </c>
      <c r="E16" s="24" t="str">
        <f aca="false">IF(ABS(D16)&lt;=0.0001,"PASS","FAIL")</f>
        <v>PASS</v>
      </c>
    </row>
    <row r="17" customFormat="false" ht="15" hidden="false" customHeight="false" outlineLevel="0" collapsed="false">
      <c r="A17" s="5" t="s">
        <v>98</v>
      </c>
      <c r="B17" s="17" t="n">
        <f aca="false">1-PRODUCT(H4:H10)</f>
        <v>0.904177</v>
      </c>
      <c r="C17" s="26" t="n">
        <v>0.904177</v>
      </c>
      <c r="D17" s="23" t="n">
        <f aca="false">B17-C17</f>
        <v>0</v>
      </c>
      <c r="E17" s="24" t="str">
        <f aca="false">IF(ABS(D17)&lt;=0.0001,"PASS","FAIL")</f>
        <v>PASS</v>
      </c>
    </row>
    <row r="18" customFormat="false" ht="15" hidden="false" customHeight="false" outlineLevel="0" collapsed="false">
      <c r="A18" s="5" t="s">
        <v>99</v>
      </c>
      <c r="B18" s="16" t="n">
        <f aca="false">Inputs!B4+B13</f>
        <v>21.1383333333333</v>
      </c>
    </row>
    <row r="21" customFormat="false" ht="15" hidden="false" customHeight="false" outlineLevel="0" collapsed="false">
      <c r="A21" s="27" t="s">
        <v>100</v>
      </c>
    </row>
  </sheetData>
  <conditionalFormatting sqref="M4:M1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conditionalFormatting sqref="E13:E18">
    <cfRule type="cellIs" priority="4" operator="equal" aboveAverage="0" equalAverage="0" bottom="0" percent="0" rank="0" text="" dxfId="0">
      <formula>"PASS"</formula>
    </cfRule>
    <cfRule type="cellIs" priority="5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6" min="5" style="0" width="20"/>
    <col collapsed="false" customWidth="true" hidden="false" outlineLevel="0" max="8" min="7" style="0" width="14"/>
    <col collapsed="false" customWidth="true" hidden="false" outlineLevel="0" max="10" min="9" style="0" width="9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0"/>
  </cols>
  <sheetData>
    <row r="1" customFormat="false" ht="17.35" hidden="false" customHeight="false" outlineLevel="0" collapsed="false">
      <c r="A1" s="1" t="s">
        <v>101</v>
      </c>
    </row>
    <row r="3" customFormat="false" ht="51.75" hidden="false" customHeight="true" outlineLevel="0" collapsed="false">
      <c r="A3" s="4" t="s">
        <v>33</v>
      </c>
      <c r="B3" s="4" t="s">
        <v>78</v>
      </c>
      <c r="C3" s="4" t="s">
        <v>102</v>
      </c>
      <c r="D3" s="4" t="s">
        <v>103</v>
      </c>
      <c r="E3" s="4" t="s">
        <v>104</v>
      </c>
      <c r="F3" s="4" t="s">
        <v>105</v>
      </c>
      <c r="G3" s="4" t="s">
        <v>106</v>
      </c>
      <c r="H3" s="4" t="s">
        <v>107</v>
      </c>
      <c r="I3" s="4" t="s">
        <v>108</v>
      </c>
      <c r="J3" s="4" t="s">
        <v>109</v>
      </c>
      <c r="K3" s="4" t="s">
        <v>110</v>
      </c>
      <c r="L3" s="4" t="s">
        <v>111</v>
      </c>
      <c r="M3" s="4" t="s">
        <v>89</v>
      </c>
    </row>
    <row r="4" customFormat="false" ht="15" hidden="false" customHeight="false" outlineLevel="0" collapsed="false">
      <c r="A4" s="14" t="str">
        <f aca="false">Risk_Calc!A4</f>
        <v>R-MAT</v>
      </c>
      <c r="B4" s="15" t="n">
        <f aca="false">Risk_Calc!B4</f>
        <v>0.5</v>
      </c>
      <c r="C4" s="28" t="n">
        <f aca="false">Risk_Calc!C4</f>
        <v>3.5</v>
      </c>
      <c r="D4" s="19" t="n">
        <f aca="false">C4/Inputs!$B$4</f>
        <v>0.21875</v>
      </c>
      <c r="E4" s="29" t="n">
        <f aca="false">1+(B4&gt;=Inputs!$B$30-0.000000000001)+(B4&gt;=Inputs!$C$30-0.000000000001)+(B4&gt;=Inputs!$D$30-0.000000000001)+(B4&gt;=Inputs!$E$30-0.000000000001)</f>
        <v>3</v>
      </c>
      <c r="F4" s="29" t="n">
        <f aca="false">1+(D4&gt;=Inputs!$B$31-0.000000000001)+(D4&gt;=Inputs!$C$31-0.000000000001)+(D4&gt;=Inputs!$D$31-0.000000000001)+(D4&gt;=Inputs!$E$31-0.000000000001)</f>
        <v>5</v>
      </c>
      <c r="G4" s="29" t="n">
        <f aca="false">E4*F4</f>
        <v>15</v>
      </c>
      <c r="H4" s="7" t="str">
        <f aca="false">IF(G4&lt;=Inputs!$B$32,"Low",IF(G4&lt;=Inputs!$C$32,"Moderate",IF(G4&lt;=Inputs!$D$32,"High","Extreme")))</f>
        <v>High</v>
      </c>
      <c r="I4" s="30" t="n">
        <v>3</v>
      </c>
      <c r="J4" s="30" t="n">
        <v>5</v>
      </c>
      <c r="K4" s="30" t="n">
        <v>15</v>
      </c>
      <c r="L4" s="31" t="s">
        <v>112</v>
      </c>
      <c r="M4" s="24" t="str">
        <f aca="false">IF(AND(E4=I4,F4=J4,G4=K4,H4=L4),"PASS","FAIL")</f>
        <v>PASS</v>
      </c>
    </row>
    <row r="5" customFormat="false" ht="15" hidden="false" customHeight="false" outlineLevel="0" collapsed="false">
      <c r="A5" s="14" t="str">
        <f aca="false">Risk_Calc!A5</f>
        <v>R-LAB</v>
      </c>
      <c r="B5" s="15" t="n">
        <f aca="false">Risk_Calc!B5</f>
        <v>0.35</v>
      </c>
      <c r="C5" s="28" t="n">
        <f aca="false">Risk_Calc!C5</f>
        <v>2.5</v>
      </c>
      <c r="D5" s="19" t="n">
        <f aca="false">C5/Inputs!$B$4</f>
        <v>0.15625</v>
      </c>
      <c r="E5" s="29" t="n">
        <f aca="false">1+(B5&gt;=Inputs!$B$30-0.000000000001)+(B5&gt;=Inputs!$C$30-0.000000000001)+(B5&gt;=Inputs!$D$30-0.000000000001)+(B5&gt;=Inputs!$E$30-0.000000000001)</f>
        <v>2</v>
      </c>
      <c r="F5" s="29" t="n">
        <f aca="false">1+(D5&gt;=Inputs!$B$31-0.000000000001)+(D5&gt;=Inputs!$C$31-0.000000000001)+(D5&gt;=Inputs!$D$31-0.000000000001)+(D5&gt;=Inputs!$E$31-0.000000000001)</f>
        <v>4</v>
      </c>
      <c r="G5" s="29" t="n">
        <f aca="false">E5*F5</f>
        <v>8</v>
      </c>
      <c r="H5" s="7" t="str">
        <f aca="false">IF(G5&lt;=Inputs!$B$32,"Low",IF(G5&lt;=Inputs!$C$32,"Moderate",IF(G5&lt;=Inputs!$D$32,"High","Extreme")))</f>
        <v>Moderate</v>
      </c>
      <c r="I5" s="30" t="n">
        <v>2</v>
      </c>
      <c r="J5" s="30" t="n">
        <v>4</v>
      </c>
      <c r="K5" s="30" t="n">
        <v>8</v>
      </c>
      <c r="L5" s="31" t="s">
        <v>113</v>
      </c>
      <c r="M5" s="24" t="str">
        <f aca="false">IF(AND(E5=I5,F5=J5,G5=K5,H5=L5),"PASS","FAIL")</f>
        <v>PASS</v>
      </c>
    </row>
    <row r="6" customFormat="false" ht="15" hidden="false" customHeight="false" outlineLevel="0" collapsed="false">
      <c r="A6" s="14" t="str">
        <f aca="false">Risk_Calc!A6</f>
        <v>R-RWK</v>
      </c>
      <c r="B6" s="15" t="n">
        <f aca="false">Risk_Calc!B6</f>
        <v>0.25</v>
      </c>
      <c r="C6" s="28" t="n">
        <f aca="false">Risk_Calc!C6</f>
        <v>2.33333333333333</v>
      </c>
      <c r="D6" s="19" t="n">
        <f aca="false">C6/Inputs!$B$4</f>
        <v>0.145833333333333</v>
      </c>
      <c r="E6" s="29" t="n">
        <f aca="false">1+(B6&gt;=Inputs!$B$30-0.000000000001)+(B6&gt;=Inputs!$C$30-0.000000000001)+(B6&gt;=Inputs!$D$30-0.000000000001)+(B6&gt;=Inputs!$E$30-0.000000000001)</f>
        <v>2</v>
      </c>
      <c r="F6" s="29" t="n">
        <f aca="false">1+(D6&gt;=Inputs!$B$31-0.000000000001)+(D6&gt;=Inputs!$C$31-0.000000000001)+(D6&gt;=Inputs!$D$31-0.000000000001)+(D6&gt;=Inputs!$E$31-0.000000000001)</f>
        <v>4</v>
      </c>
      <c r="G6" s="29" t="n">
        <f aca="false">E6*F6</f>
        <v>8</v>
      </c>
      <c r="H6" s="7" t="str">
        <f aca="false">IF(G6&lt;=Inputs!$B$32,"Low",IF(G6&lt;=Inputs!$C$32,"Moderate",IF(G6&lt;=Inputs!$D$32,"High","Extreme")))</f>
        <v>Moderate</v>
      </c>
      <c r="I6" s="30" t="n">
        <v>2</v>
      </c>
      <c r="J6" s="30" t="n">
        <v>4</v>
      </c>
      <c r="K6" s="30" t="n">
        <v>8</v>
      </c>
      <c r="L6" s="31" t="s">
        <v>113</v>
      </c>
      <c r="M6" s="24" t="str">
        <f aca="false">IF(AND(E6=I6,F6=J6,G6=K6,H6=L6),"PASS","FAIL")</f>
        <v>PASS</v>
      </c>
    </row>
    <row r="7" customFormat="false" ht="15" hidden="false" customHeight="false" outlineLevel="0" collapsed="false">
      <c r="A7" s="14" t="str">
        <f aca="false">Risk_Calc!A7</f>
        <v>R-WX</v>
      </c>
      <c r="B7" s="15" t="n">
        <f aca="false">Risk_Calc!B7</f>
        <v>0.2</v>
      </c>
      <c r="C7" s="28" t="n">
        <f aca="false">Risk_Calc!C7</f>
        <v>2.66666666666667</v>
      </c>
      <c r="D7" s="19" t="n">
        <f aca="false">C7/Inputs!$B$4</f>
        <v>0.166666666666667</v>
      </c>
      <c r="E7" s="29" t="n">
        <f aca="false">1+(B7&gt;=Inputs!$B$30-0.000000000001)+(B7&gt;=Inputs!$C$30-0.000000000001)+(B7&gt;=Inputs!$D$30-0.000000000001)+(B7&gt;=Inputs!$E$30-0.000000000001)</f>
        <v>2</v>
      </c>
      <c r="F7" s="29" t="n">
        <f aca="false">1+(D7&gt;=Inputs!$B$31-0.000000000001)+(D7&gt;=Inputs!$C$31-0.000000000001)+(D7&gt;=Inputs!$D$31-0.000000000001)+(D7&gt;=Inputs!$E$31-0.000000000001)</f>
        <v>4</v>
      </c>
      <c r="G7" s="29" t="n">
        <f aca="false">E7*F7</f>
        <v>8</v>
      </c>
      <c r="H7" s="7" t="str">
        <f aca="false">IF(G7&lt;=Inputs!$B$32,"Low",IF(G7&lt;=Inputs!$C$32,"Moderate",IF(G7&lt;=Inputs!$D$32,"High","Extreme")))</f>
        <v>Moderate</v>
      </c>
      <c r="I7" s="30" t="n">
        <v>2</v>
      </c>
      <c r="J7" s="30" t="n">
        <v>4</v>
      </c>
      <c r="K7" s="30" t="n">
        <v>8</v>
      </c>
      <c r="L7" s="31" t="s">
        <v>113</v>
      </c>
      <c r="M7" s="24" t="str">
        <f aca="false">IF(AND(E7=I7,F7=J7,G7=K7,H7=L7),"PASS","FAIL")</f>
        <v>PASS</v>
      </c>
    </row>
    <row r="8" customFormat="false" ht="15" hidden="false" customHeight="false" outlineLevel="0" collapsed="false">
      <c r="A8" s="14" t="str">
        <f aca="false">Risk_Calc!A8</f>
        <v>R-PLAN</v>
      </c>
      <c r="B8" s="15" t="n">
        <f aca="false">Risk_Calc!B8</f>
        <v>0.1</v>
      </c>
      <c r="C8" s="28" t="n">
        <f aca="false">Risk_Calc!C8</f>
        <v>1.33333333333333</v>
      </c>
      <c r="D8" s="19" t="n">
        <f aca="false">C8/Inputs!$B$4</f>
        <v>0.0833333333333333</v>
      </c>
      <c r="E8" s="29" t="n">
        <f aca="false">1+(B8&gt;=Inputs!$B$30-0.000000000001)+(B8&gt;=Inputs!$C$30-0.000000000001)+(B8&gt;=Inputs!$D$30-0.000000000001)+(B8&gt;=Inputs!$E$30-0.000000000001)</f>
        <v>1</v>
      </c>
      <c r="F8" s="29" t="n">
        <f aca="false">1+(D8&gt;=Inputs!$B$31-0.000000000001)+(D8&gt;=Inputs!$C$31-0.000000000001)+(D8&gt;=Inputs!$D$31-0.000000000001)+(D8&gt;=Inputs!$E$31-0.000000000001)</f>
        <v>3</v>
      </c>
      <c r="G8" s="29" t="n">
        <f aca="false">E8*F8</f>
        <v>3</v>
      </c>
      <c r="H8" s="7" t="str">
        <f aca="false">IF(G8&lt;=Inputs!$B$32,"Low",IF(G8&lt;=Inputs!$C$32,"Moderate",IF(G8&lt;=Inputs!$D$32,"High","Extreme")))</f>
        <v>Low</v>
      </c>
      <c r="I8" s="30" t="n">
        <v>1</v>
      </c>
      <c r="J8" s="30" t="n">
        <v>3</v>
      </c>
      <c r="K8" s="30" t="n">
        <v>3</v>
      </c>
      <c r="L8" s="31" t="s">
        <v>114</v>
      </c>
      <c r="M8" s="24" t="str">
        <f aca="false">IF(AND(E8=I8,F8=J8,G8=K8,H8=L8),"PASS","FAIL")</f>
        <v>PASS</v>
      </c>
    </row>
    <row r="9" customFormat="false" ht="15" hidden="false" customHeight="false" outlineLevel="0" collapsed="false">
      <c r="A9" s="14" t="str">
        <f aca="false">Risk_Calc!A9</f>
        <v>R-SAFE</v>
      </c>
      <c r="B9" s="15" t="n">
        <f aca="false">Risk_Calc!B9</f>
        <v>0.3</v>
      </c>
      <c r="C9" s="28" t="n">
        <f aca="false">Risk_Calc!C9</f>
        <v>2.5</v>
      </c>
      <c r="D9" s="19" t="n">
        <f aca="false">C9/Inputs!$B$4</f>
        <v>0.15625</v>
      </c>
      <c r="E9" s="29" t="n">
        <f aca="false">1+(B9&gt;=Inputs!$B$30-0.000000000001)+(B9&gt;=Inputs!$C$30-0.000000000001)+(B9&gt;=Inputs!$D$30-0.000000000001)+(B9&gt;=Inputs!$E$30-0.000000000001)</f>
        <v>2</v>
      </c>
      <c r="F9" s="29" t="n">
        <f aca="false">1+(D9&gt;=Inputs!$B$31-0.000000000001)+(D9&gt;=Inputs!$C$31-0.000000000001)+(D9&gt;=Inputs!$D$31-0.000000000001)+(D9&gt;=Inputs!$E$31-0.000000000001)</f>
        <v>4</v>
      </c>
      <c r="G9" s="29" t="n">
        <f aca="false">E9*F9</f>
        <v>8</v>
      </c>
      <c r="H9" s="7" t="str">
        <f aca="false">IF(G9&lt;=Inputs!$B$32,"Low",IF(G9&lt;=Inputs!$C$32,"Moderate",IF(G9&lt;=Inputs!$D$32,"High","Extreme")))</f>
        <v>Moderate</v>
      </c>
      <c r="I9" s="30" t="n">
        <v>2</v>
      </c>
      <c r="J9" s="30" t="n">
        <v>4</v>
      </c>
      <c r="K9" s="30" t="n">
        <v>8</v>
      </c>
      <c r="L9" s="31" t="s">
        <v>113</v>
      </c>
      <c r="M9" s="24" t="str">
        <f aca="false">IF(AND(E9=I9,F9=J9,G9=K9,H9=L9),"PASS","FAIL")</f>
        <v>PASS</v>
      </c>
    </row>
    <row r="10" customFormat="false" ht="15" hidden="false" customHeight="false" outlineLevel="0" collapsed="false">
      <c r="A10" s="14" t="str">
        <f aca="false">Risk_Calc!A10</f>
        <v>R-SKILL</v>
      </c>
      <c r="B10" s="15" t="n">
        <f aca="false">Risk_Calc!B10</f>
        <v>0.22</v>
      </c>
      <c r="C10" s="28" t="n">
        <f aca="false">Risk_Calc!C10</f>
        <v>2.33333333333333</v>
      </c>
      <c r="D10" s="19" t="n">
        <f aca="false">C10/Inputs!$B$4</f>
        <v>0.145833333333333</v>
      </c>
      <c r="E10" s="29" t="n">
        <f aca="false">1+(B10&gt;=Inputs!$B$30-0.000000000001)+(B10&gt;=Inputs!$C$30-0.000000000001)+(B10&gt;=Inputs!$D$30-0.000000000001)+(B10&gt;=Inputs!$E$30-0.000000000001)</f>
        <v>2</v>
      </c>
      <c r="F10" s="29" t="n">
        <f aca="false">1+(D10&gt;=Inputs!$B$31-0.000000000001)+(D10&gt;=Inputs!$C$31-0.000000000001)+(D10&gt;=Inputs!$D$31-0.000000000001)+(D10&gt;=Inputs!$E$31-0.000000000001)</f>
        <v>4</v>
      </c>
      <c r="G10" s="29" t="n">
        <f aca="false">E10*F10</f>
        <v>8</v>
      </c>
      <c r="H10" s="7" t="str">
        <f aca="false">IF(G10&lt;=Inputs!$B$32,"Low",IF(G10&lt;=Inputs!$C$32,"Moderate",IF(G10&lt;=Inputs!$D$32,"High","Extreme")))</f>
        <v>Moderate</v>
      </c>
      <c r="I10" s="30" t="n">
        <v>2</v>
      </c>
      <c r="J10" s="30" t="n">
        <v>4</v>
      </c>
      <c r="K10" s="30" t="n">
        <v>8</v>
      </c>
      <c r="L10" s="31" t="s">
        <v>113</v>
      </c>
      <c r="M10" s="24" t="str">
        <f aca="false">IF(AND(E10=I10,F10=J10,G10=K10,H10=L10),"PASS","FAIL")</f>
        <v>PASS</v>
      </c>
    </row>
    <row r="13" customFormat="false" ht="15" hidden="false" customHeight="false" outlineLevel="0" collapsed="false">
      <c r="A13" s="27" t="s">
        <v>115</v>
      </c>
    </row>
  </sheetData>
  <conditionalFormatting sqref="M4:M1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4" min="3" style="0" width="16"/>
    <col collapsed="false" customWidth="true" hidden="false" outlineLevel="0" max="5" min="5" style="0" width="9"/>
    <col collapsed="false" customWidth="true" hidden="false" outlineLevel="0" max="7" min="6" style="0" width="16"/>
    <col collapsed="false" customWidth="true" hidden="false" outlineLevel="0" max="8" min="8" style="0" width="12"/>
    <col collapsed="false" customWidth="true" hidden="false" outlineLevel="0" max="9" min="9" style="0" width="26"/>
    <col collapsed="false" customWidth="true" hidden="false" outlineLevel="0" max="10" min="10" style="0" width="20"/>
    <col collapsed="false" customWidth="true" hidden="false" outlineLevel="0" max="11" min="11" style="0" width="8"/>
    <col collapsed="false" customWidth="true" hidden="false" outlineLevel="0" max="12" min="12" style="0" width="10"/>
    <col collapsed="false" customWidth="true" hidden="false" outlineLevel="0" max="13" min="13" style="0" width="15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10"/>
  </cols>
  <sheetData>
    <row r="1" customFormat="false" ht="17.35" hidden="false" customHeight="false" outlineLevel="0" collapsed="false">
      <c r="A1" s="1" t="s">
        <v>116</v>
      </c>
    </row>
    <row r="3" customFormat="false" ht="60" hidden="false" customHeight="true" outlineLevel="0" collapsed="false">
      <c r="A3" s="4" t="s">
        <v>117</v>
      </c>
      <c r="B3" s="4" t="s">
        <v>118</v>
      </c>
      <c r="C3" s="4" t="s">
        <v>119</v>
      </c>
      <c r="D3" s="4" t="s">
        <v>120</v>
      </c>
      <c r="E3" s="4" t="s">
        <v>56</v>
      </c>
      <c r="F3" s="4" t="s">
        <v>121</v>
      </c>
      <c r="G3" s="4" t="s">
        <v>122</v>
      </c>
      <c r="H3" s="4" t="s">
        <v>55</v>
      </c>
      <c r="I3" s="4" t="s">
        <v>123</v>
      </c>
      <c r="J3" s="4" t="s">
        <v>124</v>
      </c>
      <c r="K3" s="4" t="s">
        <v>125</v>
      </c>
      <c r="L3" s="4" t="s">
        <v>64</v>
      </c>
      <c r="M3" s="4" t="s">
        <v>126</v>
      </c>
      <c r="N3" s="4" t="s">
        <v>127</v>
      </c>
      <c r="O3" s="4" t="s">
        <v>128</v>
      </c>
      <c r="P3" s="4" t="s">
        <v>89</v>
      </c>
    </row>
    <row r="4" customFormat="false" ht="15" hidden="false" customHeight="false" outlineLevel="0" collapsed="false">
      <c r="A4" s="14" t="str">
        <f aca="false">Inputs!A22</f>
        <v>M-BUF</v>
      </c>
      <c r="B4" s="14" t="str">
        <f aca="false">Inputs!B22</f>
        <v>R-MAT</v>
      </c>
      <c r="C4" s="32" t="n">
        <f aca="false">INDEX(Risk_Calc!$E$4:$E$10,MATCH(B4,Risk_Calc!$A$4:$A$10,0))</f>
        <v>14000</v>
      </c>
      <c r="D4" s="16" t="n">
        <f aca="false">IF(ISNUMBER(Inputs!E22),(Inputs!E22+Inputs!$B$8*Inputs!F22+Inputs!G22)/(Inputs!$B$8+2),INDEX(Risk_Calc!$C$4:$C$10,MATCH(B4,Risk_Calc!$A$4:$A$10,0)))</f>
        <v>3.5</v>
      </c>
      <c r="E4" s="20" t="n">
        <f aca="false">IF(ISNUMBER(Inputs!D22),Inputs!D22,INDEX(Risk_Calc!$B$4:$B$10,MATCH(B4,Risk_Calc!$A$4:$A$10,0)))</f>
        <v>0.2</v>
      </c>
      <c r="F4" s="18" t="n">
        <f aca="false">E4*D4*Inputs!$B$6</f>
        <v>5600</v>
      </c>
      <c r="G4" s="18" t="n">
        <f aca="false">IF(ISNUMBER(Inputs!H22),Inputs!H22*(Inputs!I22+Inputs!$B$8*Inputs!J22+Inputs!K22)/(Inputs!$B$8+2)*Inputs!$B$6,0)</f>
        <v>0</v>
      </c>
      <c r="H4" s="33" t="n">
        <f aca="false">Inputs!C22</f>
        <v>6000</v>
      </c>
      <c r="I4" s="34" t="n">
        <f aca="false">C4-F4-G4-H4</f>
        <v>2400</v>
      </c>
      <c r="J4" s="16" t="n">
        <f aca="false">H4/C4</f>
        <v>0.428571428571429</v>
      </c>
      <c r="K4" s="35" t="str">
        <f aca="false">IF(I4&gt;0,"Yes","No")</f>
        <v>Yes</v>
      </c>
      <c r="L4" s="36" t="str">
        <f aca="false">Inputs!L22</f>
        <v>Yes</v>
      </c>
      <c r="M4" s="37" t="n">
        <v>2400</v>
      </c>
      <c r="N4" s="21" t="n">
        <v>0.428571428571429</v>
      </c>
      <c r="O4" s="23" t="n">
        <f aca="false">I4-M4</f>
        <v>0</v>
      </c>
      <c r="P4" s="24" t="str">
        <f aca="false">IF(AND(ABS(O4)&lt;=0.01,ABS(J4-N4)&lt;=0.000001),"PASS","FAIL")</f>
        <v>PASS</v>
      </c>
    </row>
    <row r="5" customFormat="false" ht="15" hidden="false" customHeight="false" outlineLevel="0" collapsed="false">
      <c r="A5" s="14" t="str">
        <f aca="false">Inputs!A23</f>
        <v>M-SUP</v>
      </c>
      <c r="B5" s="14" t="str">
        <f aca="false">Inputs!B23</f>
        <v>R-MAT</v>
      </c>
      <c r="C5" s="32" t="n">
        <f aca="false">INDEX(Risk_Calc!$E$4:$E$10,MATCH(B5,Risk_Calc!$A$4:$A$10,0))</f>
        <v>14000</v>
      </c>
      <c r="D5" s="16" t="n">
        <f aca="false">IF(ISNUMBER(Inputs!E23),(Inputs!E23+Inputs!$B$8*Inputs!F23+Inputs!G23)/(Inputs!$B$8+2),INDEX(Risk_Calc!$C$4:$C$10,MATCH(B5,Risk_Calc!$A$4:$A$10,0)))</f>
        <v>3.5</v>
      </c>
      <c r="E5" s="20" t="n">
        <f aca="false">IF(ISNUMBER(Inputs!D23),Inputs!D23,INDEX(Risk_Calc!$B$4:$B$10,MATCH(B5,Risk_Calc!$A$4:$A$10,0)))</f>
        <v>0.35</v>
      </c>
      <c r="F5" s="18" t="n">
        <f aca="false">E5*D5*Inputs!$B$6</f>
        <v>9800</v>
      </c>
      <c r="G5" s="18" t="n">
        <f aca="false">IF(ISNUMBER(Inputs!H23),Inputs!H23*(Inputs!I23+Inputs!$B$8*Inputs!J23+Inputs!K23)/(Inputs!$B$8+2)*Inputs!$B$6,0)</f>
        <v>0</v>
      </c>
      <c r="H5" s="33" t="n">
        <f aca="false">Inputs!C23</f>
        <v>3000</v>
      </c>
      <c r="I5" s="34" t="n">
        <f aca="false">C5-F5-G5-H5</f>
        <v>1200</v>
      </c>
      <c r="J5" s="16" t="n">
        <f aca="false">H5/C5</f>
        <v>0.214285714285714</v>
      </c>
      <c r="K5" s="35" t="str">
        <f aca="false">IF(I5&gt;0,"Yes","No")</f>
        <v>Yes</v>
      </c>
      <c r="L5" s="36" t="str">
        <f aca="false">Inputs!L23</f>
        <v>Yes</v>
      </c>
      <c r="M5" s="37" t="n">
        <v>1200</v>
      </c>
      <c r="N5" s="21" t="n">
        <v>0.214285714285714</v>
      </c>
      <c r="O5" s="23" t="n">
        <f aca="false">I5-M5</f>
        <v>0</v>
      </c>
      <c r="P5" s="24" t="str">
        <f aca="false">IF(AND(ABS(O5)&lt;=0.01,ABS(J5-N5)&lt;=0.000001),"PASS","FAIL")</f>
        <v>PASS</v>
      </c>
    </row>
    <row r="6" customFormat="false" ht="15" hidden="false" customHeight="false" outlineLevel="0" collapsed="false">
      <c r="A6" s="14" t="str">
        <f aca="false">Inputs!A24</f>
        <v>M-GANG</v>
      </c>
      <c r="B6" s="14" t="str">
        <f aca="false">Inputs!B24</f>
        <v>R-LAB</v>
      </c>
      <c r="C6" s="32" t="n">
        <f aca="false">INDEX(Risk_Calc!$E$4:$E$10,MATCH(B6,Risk_Calc!$A$4:$A$10,0))</f>
        <v>7000</v>
      </c>
      <c r="D6" s="16" t="n">
        <f aca="false">IF(ISNUMBER(Inputs!E24),(Inputs!E24+Inputs!$B$8*Inputs!F24+Inputs!G24)/(Inputs!$B$8+2),INDEX(Risk_Calc!$C$4:$C$10,MATCH(B6,Risk_Calc!$A$4:$A$10,0)))</f>
        <v>1.16666666666667</v>
      </c>
      <c r="E6" s="20" t="n">
        <f aca="false">IF(ISNUMBER(Inputs!D24),Inputs!D24,INDEX(Risk_Calc!$B$4:$B$10,MATCH(B6,Risk_Calc!$A$4:$A$10,0)))</f>
        <v>0.35</v>
      </c>
      <c r="F6" s="18" t="n">
        <f aca="false">E6*D6*Inputs!$B$6</f>
        <v>3266.66666666667</v>
      </c>
      <c r="G6" s="18" t="n">
        <f aca="false">IF(ISNUMBER(Inputs!H24),Inputs!H24*(Inputs!I24+Inputs!$B$8*Inputs!J24+Inputs!K24)/(Inputs!$B$8+2)*Inputs!$B$6,0)</f>
        <v>2400</v>
      </c>
      <c r="H6" s="33" t="n">
        <f aca="false">Inputs!C24</f>
        <v>9000</v>
      </c>
      <c r="I6" s="34" t="n">
        <f aca="false">C6-F6-G6-H6</f>
        <v>-7666.66666666667</v>
      </c>
      <c r="J6" s="16" t="n">
        <f aca="false">H6/C6</f>
        <v>1.28571428571429</v>
      </c>
      <c r="K6" s="35" t="str">
        <f aca="false">IF(I6&gt;0,"Yes","No")</f>
        <v>No</v>
      </c>
      <c r="L6" s="36" t="str">
        <f aca="false">Inputs!L24</f>
        <v>Yes</v>
      </c>
      <c r="M6" s="37" t="n">
        <v>-7666.66666666667</v>
      </c>
      <c r="N6" s="21" t="n">
        <v>1.28571428571429</v>
      </c>
      <c r="O6" s="23" t="n">
        <f aca="false">I6-M6</f>
        <v>0</v>
      </c>
      <c r="P6" s="24" t="str">
        <f aca="false">IF(AND(ABS(O6)&lt;=0.01,ABS(J6-N6)&lt;=0.000001),"PASS","FAIL")</f>
        <v>PASS</v>
      </c>
    </row>
    <row r="7" customFormat="false" ht="15" hidden="false" customHeight="false" outlineLevel="0" collapsed="false">
      <c r="A7" s="14" t="str">
        <f aca="false">Inputs!A25</f>
        <v>M-COV</v>
      </c>
      <c r="B7" s="14" t="str">
        <f aca="false">Inputs!B25</f>
        <v>R-WX</v>
      </c>
      <c r="C7" s="32" t="n">
        <f aca="false">INDEX(Risk_Calc!$E$4:$E$10,MATCH(B7,Risk_Calc!$A$4:$A$10,0))</f>
        <v>4266.66666666667</v>
      </c>
      <c r="D7" s="16" t="n">
        <f aca="false">IF(ISNUMBER(Inputs!E25),(Inputs!E25+Inputs!$B$8*Inputs!F25+Inputs!G25)/(Inputs!$B$8+2),INDEX(Risk_Calc!$C$4:$C$10,MATCH(B7,Risk_Calc!$A$4:$A$10,0)))</f>
        <v>2.66666666666667</v>
      </c>
      <c r="E7" s="20" t="n">
        <f aca="false">IF(ISNUMBER(Inputs!D25),Inputs!D25,INDEX(Risk_Calc!$B$4:$B$10,MATCH(B7,Risk_Calc!$A$4:$A$10,0)))</f>
        <v>0.12</v>
      </c>
      <c r="F7" s="18" t="n">
        <f aca="false">E7*D7*Inputs!$B$6</f>
        <v>2560</v>
      </c>
      <c r="G7" s="18" t="n">
        <f aca="false">IF(ISNUMBER(Inputs!H25),Inputs!H25*(Inputs!I25+Inputs!$B$8*Inputs!J25+Inputs!K25)/(Inputs!$B$8+2)*Inputs!$B$6,0)</f>
        <v>0</v>
      </c>
      <c r="H7" s="33" t="n">
        <f aca="false">Inputs!C25</f>
        <v>2500</v>
      </c>
      <c r="I7" s="34" t="n">
        <f aca="false">C7-F7-G7-H7</f>
        <v>-793.333333333333</v>
      </c>
      <c r="J7" s="16" t="n">
        <f aca="false">H7/C7</f>
        <v>0.5859375</v>
      </c>
      <c r="K7" s="35" t="str">
        <f aca="false">IF(I7&gt;0,"Yes","No")</f>
        <v>No</v>
      </c>
      <c r="L7" s="36" t="str">
        <f aca="false">Inputs!L25</f>
        <v>Yes</v>
      </c>
      <c r="M7" s="37" t="n">
        <v>-793.333333333333</v>
      </c>
      <c r="N7" s="21" t="n">
        <v>0.5859375</v>
      </c>
      <c r="O7" s="23" t="n">
        <f aca="false">I7-M7</f>
        <v>0</v>
      </c>
      <c r="P7" s="24" t="str">
        <f aca="false">IF(AND(ABS(O7)&lt;=0.01,ABS(J7-N7)&lt;=0.000001),"PASS","FAIL")</f>
        <v>PASS</v>
      </c>
    </row>
    <row r="8" customFormat="false" ht="15" hidden="false" customHeight="false" outlineLevel="0" collapsed="false">
      <c r="A8" s="14" t="str">
        <f aca="false">Inputs!A26</f>
        <v>M-QC</v>
      </c>
      <c r="B8" s="14" t="str">
        <f aca="false">Inputs!B26</f>
        <v>R-RWK</v>
      </c>
      <c r="C8" s="32" t="n">
        <f aca="false">INDEX(Risk_Calc!$E$4:$E$10,MATCH(B8,Risk_Calc!$A$4:$A$10,0))</f>
        <v>4666.66666666667</v>
      </c>
      <c r="D8" s="16" t="n">
        <f aca="false">IF(ISNUMBER(Inputs!E26),(Inputs!E26+Inputs!$B$8*Inputs!F26+Inputs!G26)/(Inputs!$B$8+2),INDEX(Risk_Calc!$C$4:$C$10,MATCH(B8,Risk_Calc!$A$4:$A$10,0)))</f>
        <v>2.33333333333333</v>
      </c>
      <c r="E8" s="20" t="n">
        <f aca="false">IF(ISNUMBER(Inputs!D26),Inputs!D26,INDEX(Risk_Calc!$B$4:$B$10,MATCH(B8,Risk_Calc!$A$4:$A$10,0)))</f>
        <v>0.15</v>
      </c>
      <c r="F8" s="18" t="n">
        <f aca="false">E8*D8*Inputs!$B$6</f>
        <v>2800</v>
      </c>
      <c r="G8" s="18" t="n">
        <f aca="false">IF(ISNUMBER(Inputs!H26),Inputs!H26*(Inputs!I26+Inputs!$B$8*Inputs!J26+Inputs!K26)/(Inputs!$B$8+2)*Inputs!$B$6,0)</f>
        <v>0</v>
      </c>
      <c r="H8" s="33" t="n">
        <f aca="false">Inputs!C26</f>
        <v>1500</v>
      </c>
      <c r="I8" s="34" t="n">
        <f aca="false">C8-F8-G8-H8</f>
        <v>366.666666666667</v>
      </c>
      <c r="J8" s="16" t="n">
        <f aca="false">H8/C8</f>
        <v>0.321428571428571</v>
      </c>
      <c r="K8" s="35" t="str">
        <f aca="false">IF(I8&gt;0,"Yes","No")</f>
        <v>Yes</v>
      </c>
      <c r="L8" s="36" t="str">
        <f aca="false">Inputs!L26</f>
        <v>Yes</v>
      </c>
      <c r="M8" s="37" t="n">
        <v>366.666666666667</v>
      </c>
      <c r="N8" s="21" t="n">
        <v>0.321428571428571</v>
      </c>
      <c r="O8" s="23" t="n">
        <f aca="false">I8-M8</f>
        <v>0</v>
      </c>
      <c r="P8" s="24" t="str">
        <f aca="false">IF(AND(ABS(O8)&lt;=0.01,ABS(J8-N8)&lt;=0.000001),"PASS","FAIL")</f>
        <v>PASS</v>
      </c>
    </row>
    <row r="9" customFormat="false" ht="15" hidden="false" customHeight="false" outlineLevel="0" collapsed="false">
      <c r="A9" s="14" t="str">
        <f aca="false">Inputs!A27</f>
        <v>M-MECH</v>
      </c>
      <c r="B9" s="14" t="str">
        <f aca="false">Inputs!B27</f>
        <v>R-SKILL</v>
      </c>
      <c r="C9" s="32" t="n">
        <f aca="false">INDEX(Risk_Calc!$E$4:$E$10,MATCH(B9,Risk_Calc!$A$4:$A$10,0))</f>
        <v>4106.66666666667</v>
      </c>
      <c r="D9" s="16" t="n">
        <f aca="false">IF(ISNUMBER(Inputs!E27),(Inputs!E27+Inputs!$B$8*Inputs!F27+Inputs!G27)/(Inputs!$B$8+2),INDEX(Risk_Calc!$C$4:$C$10,MATCH(B9,Risk_Calc!$A$4:$A$10,0)))</f>
        <v>2.33333333333333</v>
      </c>
      <c r="E9" s="20" t="n">
        <f aca="false">IF(ISNUMBER(Inputs!D27),Inputs!D27,INDEX(Risk_Calc!$B$4:$B$10,MATCH(B9,Risk_Calc!$A$4:$A$10,0)))</f>
        <v>0.1</v>
      </c>
      <c r="F9" s="18" t="n">
        <f aca="false">E9*D9*Inputs!$B$6</f>
        <v>1866.66666666667</v>
      </c>
      <c r="G9" s="18" t="n">
        <f aca="false">IF(ISNUMBER(Inputs!H27),Inputs!H27*(Inputs!I27+Inputs!$B$8*Inputs!J27+Inputs!K27)/(Inputs!$B$8+2)*Inputs!$B$6,0)</f>
        <v>0</v>
      </c>
      <c r="H9" s="33" t="n">
        <f aca="false">Inputs!C27</f>
        <v>4000</v>
      </c>
      <c r="I9" s="34" t="n">
        <f aca="false">C9-F9-G9-H9</f>
        <v>-1760</v>
      </c>
      <c r="J9" s="16" t="n">
        <f aca="false">H9/C9</f>
        <v>0.974025974025974</v>
      </c>
      <c r="K9" s="35" t="str">
        <f aca="false">IF(I9&gt;0,"Yes","No")</f>
        <v>No</v>
      </c>
      <c r="L9" s="36" t="str">
        <f aca="false">Inputs!L27</f>
        <v>No</v>
      </c>
      <c r="M9" s="37" t="n">
        <v>-1760</v>
      </c>
      <c r="N9" s="21" t="n">
        <v>0.974025974025974</v>
      </c>
      <c r="O9" s="23" t="n">
        <f aca="false">I9-M9</f>
        <v>0</v>
      </c>
      <c r="P9" s="24" t="str">
        <f aca="false">IF(AND(ABS(O9)&lt;=0.01,ABS(J9-N9)&lt;=0.000001),"PASS","FAIL")</f>
        <v>PASS</v>
      </c>
    </row>
    <row r="11" customFormat="false" ht="15" hidden="false" customHeight="false" outlineLevel="0" collapsed="false">
      <c r="A11" s="27" t="s">
        <v>129</v>
      </c>
    </row>
  </sheetData>
  <conditionalFormatting sqref="P4:P9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7" min="6" style="0" width="18"/>
    <col collapsed="false" customWidth="true" hidden="false" outlineLevel="0" max="9" min="8" style="0" width="16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14"/>
    <col collapsed="false" customWidth="true" hidden="false" outlineLevel="0" max="15" min="14" style="0" width="10"/>
  </cols>
  <sheetData>
    <row r="1" customFormat="false" ht="17.35" hidden="false" customHeight="false" outlineLevel="0" collapsed="false">
      <c r="A1" s="1" t="s">
        <v>130</v>
      </c>
    </row>
    <row r="2" customFormat="false" ht="15" hidden="false" customHeight="false" outlineLevel="0" collapsed="false">
      <c r="A2" s="27" t="s">
        <v>131</v>
      </c>
    </row>
    <row r="4" customFormat="false" ht="63.75" hidden="false" customHeight="true" outlineLevel="0" collapsed="false">
      <c r="A4" s="4" t="s">
        <v>132</v>
      </c>
      <c r="B4" s="4" t="s">
        <v>133</v>
      </c>
      <c r="C4" s="4" t="s">
        <v>134</v>
      </c>
      <c r="D4" s="4" t="s">
        <v>135</v>
      </c>
      <c r="E4" s="4" t="s">
        <v>136</v>
      </c>
      <c r="F4" s="4" t="s">
        <v>137</v>
      </c>
      <c r="G4" s="4" t="s">
        <v>138</v>
      </c>
      <c r="H4" s="4" t="s">
        <v>139</v>
      </c>
      <c r="I4" s="4" t="s">
        <v>140</v>
      </c>
      <c r="J4" s="4" t="s">
        <v>141</v>
      </c>
      <c r="K4" s="4" t="s">
        <v>142</v>
      </c>
      <c r="L4" s="4" t="s">
        <v>143</v>
      </c>
      <c r="M4" s="4" t="s">
        <v>144</v>
      </c>
      <c r="N4" s="4" t="s">
        <v>64</v>
      </c>
      <c r="O4" s="4" t="s">
        <v>145</v>
      </c>
    </row>
    <row r="5" customFormat="false" ht="15" hidden="false" customHeight="false" outlineLevel="0" collapsed="false">
      <c r="A5" s="5" t="s">
        <v>146</v>
      </c>
      <c r="B5" s="38" t="n">
        <v>0</v>
      </c>
      <c r="C5" s="22" t="n">
        <v>50792.7374689168</v>
      </c>
      <c r="D5" s="18" t="n">
        <f aca="false">B5+C5</f>
        <v>50792.7374689168</v>
      </c>
      <c r="E5" s="39" t="n">
        <f aca="false">IF(N5="Yes",COUNTIFS($N$5:$N$27,"Yes",$D$5:$D$27,"&lt;"&amp;D5)+1,"-")</f>
        <v>11</v>
      </c>
      <c r="F5" s="22" t="n">
        <v>50821.0481403647</v>
      </c>
      <c r="G5" s="22" t="n">
        <v>50960.9271864491</v>
      </c>
      <c r="H5" s="22" t="n">
        <v>85.3563662755585</v>
      </c>
      <c r="I5" s="20" t="n">
        <f aca="false">(G5-D5)/H5</f>
        <v>1.97044139612666</v>
      </c>
      <c r="J5" s="40" t="n">
        <v>25.5676844037104</v>
      </c>
      <c r="K5" s="40" t="n">
        <v>25.5852082411435</v>
      </c>
      <c r="L5" s="21" t="n">
        <v>0.601851201915087</v>
      </c>
      <c r="M5" s="21" t="n">
        <v>0.604075</v>
      </c>
      <c r="N5" s="41" t="s">
        <v>66</v>
      </c>
      <c r="O5" s="24" t="str">
        <f aca="false">IF(ABS(I5)&lt;=4,"PASS","FAIL")</f>
        <v>PASS</v>
      </c>
    </row>
    <row r="6" customFormat="false" ht="15" hidden="false" customHeight="false" outlineLevel="0" collapsed="false">
      <c r="A6" s="5" t="s">
        <v>147</v>
      </c>
      <c r="B6" s="38" t="n">
        <v>6000</v>
      </c>
      <c r="C6" s="22" t="n">
        <v>39008.1783379877</v>
      </c>
      <c r="D6" s="18" t="n">
        <f aca="false">B6+C6</f>
        <v>45008.1783379877</v>
      </c>
      <c r="E6" s="39" t="n">
        <f aca="false">IF(N6="Yes",COUNTIFS($N$5:$N$27,"Yes",$D$5:$D$27,"&lt;"&amp;D6)+1,"-")</f>
        <v>3</v>
      </c>
      <c r="F6" s="22" t="n">
        <v>44929.4268722106</v>
      </c>
      <c r="G6" s="22" t="n">
        <v>45197.6844437781</v>
      </c>
      <c r="H6" s="22" t="n">
        <v>75.8693547130512</v>
      </c>
      <c r="I6" s="20" t="n">
        <f aca="false">(G6-D6)/H6</f>
        <v>2.49779514412901</v>
      </c>
      <c r="J6" s="40" t="n">
        <v>24.2336157339889</v>
      </c>
      <c r="K6" s="40" t="n">
        <v>24.2765443559969</v>
      </c>
      <c r="L6" s="21" t="n">
        <v>0.463001772710389</v>
      </c>
      <c r="M6" s="21" t="n">
        <v>0.464895</v>
      </c>
      <c r="N6" s="41" t="s">
        <v>66</v>
      </c>
      <c r="O6" s="24" t="str">
        <f aca="false">IF(ABS(I6)&lt;=4,"PASS","FAIL")</f>
        <v>PASS</v>
      </c>
    </row>
    <row r="7" customFormat="false" ht="15" hidden="false" customHeight="false" outlineLevel="0" collapsed="false">
      <c r="A7" s="5" t="s">
        <v>148</v>
      </c>
      <c r="B7" s="38" t="n">
        <v>3000</v>
      </c>
      <c r="C7" s="22" t="n">
        <v>44900.4579034522</v>
      </c>
      <c r="D7" s="18" t="n">
        <f aca="false">B7+C7</f>
        <v>47900.4579034522</v>
      </c>
      <c r="E7" s="39" t="n">
        <f aca="false">IF(N7="Yes",COUNTIFS($N$5:$N$27,"Yes",$D$5:$D$27,"&lt;"&amp;D7)+1,"-")</f>
        <v>7</v>
      </c>
      <c r="F7" s="22" t="n">
        <v>48045.5097566718</v>
      </c>
      <c r="G7" s="22" t="n">
        <v>48083.1842487585</v>
      </c>
      <c r="H7" s="22" t="n">
        <v>81.811064776234</v>
      </c>
      <c r="I7" s="20" t="n">
        <f aca="false">(G7-D7)/H7</f>
        <v>2.23351628298802</v>
      </c>
      <c r="J7" s="40" t="n">
        <v>24.9806142755621</v>
      </c>
      <c r="K7" s="40" t="n">
        <v>25.0059405647917</v>
      </c>
      <c r="L7" s="21" t="n">
        <v>0.532426487312738</v>
      </c>
      <c r="M7" s="21" t="n">
        <v>0.53509</v>
      </c>
      <c r="N7" s="41" t="s">
        <v>66</v>
      </c>
      <c r="O7" s="24" t="str">
        <f aca="false">IF(ABS(I7)&lt;=4,"PASS","FAIL")</f>
        <v>PASS</v>
      </c>
    </row>
    <row r="8" customFormat="false" ht="15" hidden="false" customHeight="false" outlineLevel="0" collapsed="false">
      <c r="A8" s="5" t="s">
        <v>149</v>
      </c>
      <c r="B8" s="38" t="n">
        <v>9000</v>
      </c>
      <c r="C8" s="22" t="n">
        <v>48661.1538852604</v>
      </c>
      <c r="D8" s="18" t="n">
        <f aca="false">B8+C8</f>
        <v>57661.1538852604</v>
      </c>
      <c r="E8" s="39" t="n">
        <f aca="false">IF(N8="Yes",COUNTIFS($N$5:$N$27,"Yes",$D$5:$D$27,"&lt;"&amp;D8)+1,"-")</f>
        <v>21</v>
      </c>
      <c r="F8" s="22" t="n">
        <v>57736.6198120495</v>
      </c>
      <c r="G8" s="22" t="n">
        <v>57817.042235652</v>
      </c>
      <c r="H8" s="22" t="n">
        <v>80.8283822239761</v>
      </c>
      <c r="I8" s="20" t="n">
        <f aca="false">(G8-D8)/H8</f>
        <v>1.92863380538408</v>
      </c>
      <c r="J8" s="40" t="n">
        <v>25.1950871398364</v>
      </c>
      <c r="K8" s="40" t="n">
        <v>25.212096922908</v>
      </c>
      <c r="L8" s="21" t="n">
        <v>0.587274083467518</v>
      </c>
      <c r="M8" s="21" t="n">
        <v>0.58889</v>
      </c>
      <c r="N8" s="41" t="s">
        <v>66</v>
      </c>
      <c r="O8" s="24" t="str">
        <f aca="false">IF(ABS(I8)&lt;=4,"PASS","FAIL")</f>
        <v>PASS</v>
      </c>
    </row>
    <row r="9" customFormat="false" ht="15" hidden="false" customHeight="false" outlineLevel="0" collapsed="false">
      <c r="A9" s="5" t="s">
        <v>150</v>
      </c>
      <c r="B9" s="38" t="n">
        <v>2500</v>
      </c>
      <c r="C9" s="22" t="n">
        <v>48318.4290118248</v>
      </c>
      <c r="D9" s="18" t="n">
        <f aca="false">B9+C9</f>
        <v>50818.4290118248</v>
      </c>
      <c r="E9" s="39" t="n">
        <f aca="false">IF(N9="Yes",COUNTIFS($N$5:$N$27,"Yes",$D$5:$D$27,"&lt;"&amp;D9)+1,"-")</f>
        <v>12</v>
      </c>
      <c r="F9" s="22" t="n">
        <v>50770.2949654628</v>
      </c>
      <c r="G9" s="22" t="n">
        <v>51012.5888108027</v>
      </c>
      <c r="H9" s="22" t="n">
        <v>82.7763244535016</v>
      </c>
      <c r="I9" s="20" t="n">
        <f aca="false">(G9-D9)/H9</f>
        <v>2.34559580000464</v>
      </c>
      <c r="J9" s="40" t="n">
        <v>25.2603106898135</v>
      </c>
      <c r="K9" s="40" t="n">
        <v>25.2865772336196</v>
      </c>
      <c r="L9" s="21" t="n">
        <v>0.57848134362088</v>
      </c>
      <c r="M9" s="21" t="n">
        <v>0.580885</v>
      </c>
      <c r="N9" s="41" t="s">
        <v>66</v>
      </c>
      <c r="O9" s="24" t="str">
        <f aca="false">IF(ABS(I9)&lt;=4,"PASS","FAIL")</f>
        <v>PASS</v>
      </c>
    </row>
    <row r="10" customFormat="false" ht="15" hidden="false" customHeight="false" outlineLevel="0" collapsed="false">
      <c r="A10" s="5" t="s">
        <v>151</v>
      </c>
      <c r="B10" s="38" t="n">
        <v>1500</v>
      </c>
      <c r="C10" s="22" t="n">
        <v>48123.9441718188</v>
      </c>
      <c r="D10" s="18" t="n">
        <f aca="false">B10+C10</f>
        <v>49623.9441718188</v>
      </c>
      <c r="E10" s="39" t="n">
        <f aca="false">IF(N10="Yes",COUNTIFS($N$5:$N$27,"Yes",$D$5:$D$27,"&lt;"&amp;D10)+1,"-")</f>
        <v>9</v>
      </c>
      <c r="F10" s="22" t="n">
        <v>49518.3663785494</v>
      </c>
      <c r="G10" s="22" t="n">
        <v>49753.3719674137</v>
      </c>
      <c r="H10" s="22" t="n">
        <v>83.0343267597293</v>
      </c>
      <c r="I10" s="20" t="n">
        <f aca="false">(G10-D10)/H10</f>
        <v>1.55872638034959</v>
      </c>
      <c r="J10" s="40" t="n">
        <v>25.2618906723566</v>
      </c>
      <c r="K10" s="40" t="n">
        <v>25.2820674234245</v>
      </c>
      <c r="L10" s="21" t="n">
        <v>0.574990681602689</v>
      </c>
      <c r="M10" s="21" t="n">
        <v>0.576455</v>
      </c>
      <c r="N10" s="41" t="s">
        <v>66</v>
      </c>
      <c r="O10" s="24" t="str">
        <f aca="false">IF(ABS(I10)&lt;=4,"PASS","FAIL")</f>
        <v>PASS</v>
      </c>
    </row>
    <row r="11" customFormat="false" ht="15" hidden="false" customHeight="false" outlineLevel="0" collapsed="false">
      <c r="A11" s="5" t="s">
        <v>152</v>
      </c>
      <c r="B11" s="38" t="n">
        <v>15000</v>
      </c>
      <c r="C11" s="22" t="n">
        <v>36944.3144819654</v>
      </c>
      <c r="D11" s="18" t="n">
        <f aca="false">B11+C11</f>
        <v>51944.3144819654</v>
      </c>
      <c r="E11" s="39" t="n">
        <f aca="false">IF(N11="Yes",COUNTIFS($N$5:$N$27,"Yes",$D$5:$D$27,"&lt;"&amp;D11)+1,"-")</f>
        <v>14</v>
      </c>
      <c r="F11" s="22" t="n">
        <v>51932.5086783391</v>
      </c>
      <c r="G11" s="22" t="n">
        <v>52123.2195370722</v>
      </c>
      <c r="H11" s="22" t="n">
        <v>71.0762988286291</v>
      </c>
      <c r="I11" s="20" t="n">
        <f aca="false">(G11-D11)/H11</f>
        <v>2.51708457045752</v>
      </c>
      <c r="J11" s="40" t="n">
        <v>23.848221256443</v>
      </c>
      <c r="K11" s="40" t="n">
        <v>23.8876282522851</v>
      </c>
      <c r="L11" s="21" t="n">
        <v>0.438489512807741</v>
      </c>
      <c r="M11" s="21" t="n">
        <v>0.44001</v>
      </c>
      <c r="N11" s="41" t="s">
        <v>66</v>
      </c>
      <c r="O11" s="24" t="str">
        <f aca="false">IF(ABS(I11)&lt;=4,"PASS","FAIL")</f>
        <v>PASS</v>
      </c>
    </row>
    <row r="12" customFormat="false" ht="15" hidden="false" customHeight="false" outlineLevel="0" collapsed="false">
      <c r="A12" s="5" t="s">
        <v>153</v>
      </c>
      <c r="B12" s="38" t="n">
        <v>8500</v>
      </c>
      <c r="C12" s="22" t="n">
        <v>36663.109173601</v>
      </c>
      <c r="D12" s="18" t="n">
        <f aca="false">B12+C12</f>
        <v>45163.109173601</v>
      </c>
      <c r="E12" s="39" t="n">
        <f aca="false">IF(N12="Yes",COUNTIFS($N$5:$N$27,"Yes",$D$5:$D$27,"&lt;"&amp;D12)+1,"-")</f>
        <v>4</v>
      </c>
      <c r="F12" s="22" t="n">
        <v>45023.4288861822</v>
      </c>
      <c r="G12" s="22" t="n">
        <v>45375.1415156737</v>
      </c>
      <c r="H12" s="22" t="n">
        <v>73.1209549844928</v>
      </c>
      <c r="I12" s="20" t="n">
        <f aca="false">(G12-D12)/H12</f>
        <v>2.89974798766845</v>
      </c>
      <c r="J12" s="40" t="n">
        <v>23.9192747295932</v>
      </c>
      <c r="K12" s="40" t="n">
        <v>23.9678712282139</v>
      </c>
      <c r="L12" s="21" t="n">
        <v>0.434385684738912</v>
      </c>
      <c r="M12" s="21" t="n">
        <v>0.436835</v>
      </c>
      <c r="N12" s="41" t="s">
        <v>66</v>
      </c>
      <c r="O12" s="24" t="str">
        <f aca="false">IF(ABS(I12)&lt;=4,"PASS","FAIL")</f>
        <v>PASS</v>
      </c>
    </row>
    <row r="13" customFormat="false" ht="15" hidden="false" customHeight="false" outlineLevel="0" collapsed="false">
      <c r="A13" s="5" t="s">
        <v>154</v>
      </c>
      <c r="B13" s="38" t="n">
        <v>7500</v>
      </c>
      <c r="C13" s="22" t="n">
        <v>36492.0951227268</v>
      </c>
      <c r="D13" s="18" t="n">
        <f aca="false">B13+C13</f>
        <v>43992.0951227268</v>
      </c>
      <c r="E13" s="39" t="n">
        <f aca="false">IF(N13="Yes",COUNTIFS($N$5:$N$27,"Yes",$D$5:$D$27,"&lt;"&amp;D13)+1,"-")</f>
        <v>1</v>
      </c>
      <c r="F13" s="22" t="n">
        <v>43774.4452232792</v>
      </c>
      <c r="G13" s="22" t="n">
        <v>44143.4355962964</v>
      </c>
      <c r="H13" s="22" t="n">
        <v>73.4511394774548</v>
      </c>
      <c r="I13" s="20" t="n">
        <f aca="false">(G13-D13)/H13</f>
        <v>2.06042376804882</v>
      </c>
      <c r="J13" s="40" t="n">
        <v>23.9243086176425</v>
      </c>
      <c r="K13" s="40" t="n">
        <v>23.9753306972641</v>
      </c>
      <c r="L13" s="21" t="n">
        <v>0.431288677013917</v>
      </c>
      <c r="M13" s="21" t="n">
        <v>0.43241</v>
      </c>
      <c r="N13" s="41" t="s">
        <v>66</v>
      </c>
      <c r="O13" s="24" t="str">
        <f aca="false">IF(ABS(I13)&lt;=4,"PASS","FAIL")</f>
        <v>PASS</v>
      </c>
    </row>
    <row r="14" customFormat="false" ht="15" hidden="false" customHeight="false" outlineLevel="0" collapsed="false">
      <c r="A14" s="5" t="s">
        <v>155</v>
      </c>
      <c r="B14" s="38" t="n">
        <v>12000</v>
      </c>
      <c r="C14" s="22" t="n">
        <v>42802.7341836129</v>
      </c>
      <c r="D14" s="18" t="n">
        <f aca="false">B14+C14</f>
        <v>54802.7341836129</v>
      </c>
      <c r="E14" s="39" t="n">
        <f aca="false">IF(N14="Yes",COUNTIFS($N$5:$N$27,"Yes",$D$5:$D$27,"&lt;"&amp;D14)+1,"-")</f>
        <v>17</v>
      </c>
      <c r="F14" s="22" t="n">
        <v>55002.7074116138</v>
      </c>
      <c r="G14" s="22" t="n">
        <v>54973.2551558237</v>
      </c>
      <c r="H14" s="22" t="n">
        <v>77.223278461115</v>
      </c>
      <c r="I14" s="20" t="n">
        <f aca="false">(G14-D14)/H14</f>
        <v>2.20815504869619</v>
      </c>
      <c r="J14" s="40" t="n">
        <v>24.6093452935774</v>
      </c>
      <c r="K14" s="40" t="n">
        <v>24.6309816667108</v>
      </c>
      <c r="L14" s="21" t="n">
        <v>0.51288179813763</v>
      </c>
      <c r="M14" s="21" t="n">
        <v>0.514895</v>
      </c>
      <c r="N14" s="41" t="s">
        <v>66</v>
      </c>
      <c r="O14" s="24" t="str">
        <f aca="false">IF(ABS(I14)&lt;=4,"PASS","FAIL")</f>
        <v>PASS</v>
      </c>
    </row>
    <row r="15" customFormat="false" ht="15" hidden="false" customHeight="false" outlineLevel="0" collapsed="false">
      <c r="A15" s="5" t="s">
        <v>156</v>
      </c>
      <c r="B15" s="38" t="n">
        <v>5500</v>
      </c>
      <c r="C15" s="22" t="n">
        <v>42490.7690927129</v>
      </c>
      <c r="D15" s="18" t="n">
        <f aca="false">B15+C15</f>
        <v>47990.7690927129</v>
      </c>
      <c r="E15" s="39" t="n">
        <f aca="false">IF(N15="Yes",COUNTIFS($N$5:$N$27,"Yes",$D$5:$D$27,"&lt;"&amp;D15)+1,"-")</f>
        <v>8</v>
      </c>
      <c r="F15" s="22" t="n">
        <v>48072.5594576908</v>
      </c>
      <c r="G15" s="22" t="n">
        <v>48197.9074434344</v>
      </c>
      <c r="H15" s="22" t="n">
        <v>79.1607778508308</v>
      </c>
      <c r="I15" s="20" t="n">
        <f aca="false">(G15-D15)/H15</f>
        <v>2.61667907194897</v>
      </c>
      <c r="J15" s="40" t="n">
        <v>24.6740508136876</v>
      </c>
      <c r="K15" s="40" t="n">
        <v>24.6957216020853</v>
      </c>
      <c r="L15" s="21" t="n">
        <v>0.506433514179896</v>
      </c>
      <c r="M15" s="21" t="n">
        <v>0.50935</v>
      </c>
      <c r="N15" s="41" t="s">
        <v>66</v>
      </c>
      <c r="O15" s="24" t="str">
        <f aca="false">IF(ABS(I15)&lt;=4,"PASS","FAIL")</f>
        <v>PASS</v>
      </c>
    </row>
    <row r="16" customFormat="false" ht="15" hidden="false" customHeight="false" outlineLevel="0" collapsed="false">
      <c r="A16" s="5" t="s">
        <v>157</v>
      </c>
      <c r="B16" s="38" t="n">
        <v>4500</v>
      </c>
      <c r="C16" s="22" t="n">
        <v>42308.0196472728</v>
      </c>
      <c r="D16" s="18" t="n">
        <f aca="false">B16+C16</f>
        <v>46808.0196472728</v>
      </c>
      <c r="E16" s="39" t="n">
        <f aca="false">IF(N16="Yes",COUNTIFS($N$5:$N$27,"Yes",$D$5:$D$27,"&lt;"&amp;D16)+1,"-")</f>
        <v>5</v>
      </c>
      <c r="F16" s="22" t="n">
        <v>46805.2801728503</v>
      </c>
      <c r="G16" s="22" t="n">
        <v>46951.9813906762</v>
      </c>
      <c r="H16" s="22" t="n">
        <v>79.4502551759227</v>
      </c>
      <c r="I16" s="20" t="n">
        <f aca="false">(G16-D16)/H16</f>
        <v>1.81197332953411</v>
      </c>
      <c r="J16" s="40" t="n">
        <v>24.6759416576751</v>
      </c>
      <c r="K16" s="40" t="n">
        <v>24.7008582502157</v>
      </c>
      <c r="L16" s="21" t="n">
        <v>0.503139679308302</v>
      </c>
      <c r="M16" s="21" t="n">
        <v>0.50504</v>
      </c>
      <c r="N16" s="41" t="s">
        <v>66</v>
      </c>
      <c r="O16" s="24" t="str">
        <f aca="false">IF(ABS(I16)&lt;=4,"PASS","FAIL")</f>
        <v>PASS</v>
      </c>
    </row>
    <row r="17" customFormat="false" ht="15" hidden="false" customHeight="false" outlineLevel="0" collapsed="false">
      <c r="A17" s="5" t="s">
        <v>158</v>
      </c>
      <c r="B17" s="38" t="n">
        <v>11500</v>
      </c>
      <c r="C17" s="22" t="n">
        <v>46196.2172782606</v>
      </c>
      <c r="D17" s="18" t="n">
        <f aca="false">B17+C17</f>
        <v>57696.2172782606</v>
      </c>
      <c r="E17" s="39" t="n">
        <f aca="false">IF(N17="Yes",COUNTIFS($N$5:$N$27,"Yes",$D$5:$D$27,"&lt;"&amp;D17)+1,"-")</f>
        <v>22</v>
      </c>
      <c r="F17" s="22" t="n">
        <v>57700.1291222235</v>
      </c>
      <c r="G17" s="22" t="n">
        <v>57880.4858342356</v>
      </c>
      <c r="H17" s="22" t="n">
        <v>78.1567509717579</v>
      </c>
      <c r="I17" s="20" t="n">
        <f aca="false">(G17-D17)/H17</f>
        <v>2.35767932627574</v>
      </c>
      <c r="J17" s="40" t="n">
        <v>24.8825192908939</v>
      </c>
      <c r="K17" s="40" t="n">
        <v>24.9123206332286</v>
      </c>
      <c r="L17" s="21" t="n">
        <v>0.562735580381541</v>
      </c>
      <c r="M17" s="21" t="n">
        <v>0.564465</v>
      </c>
      <c r="N17" s="41" t="s">
        <v>66</v>
      </c>
      <c r="O17" s="24" t="str">
        <f aca="false">IF(ABS(I17)&lt;=4,"PASS","FAIL")</f>
        <v>PASS</v>
      </c>
    </row>
    <row r="18" customFormat="false" ht="15" hidden="false" customHeight="false" outlineLevel="0" collapsed="false">
      <c r="A18" s="5" t="s">
        <v>159</v>
      </c>
      <c r="B18" s="38" t="n">
        <v>10500</v>
      </c>
      <c r="C18" s="22" t="n">
        <v>46005.9999662097</v>
      </c>
      <c r="D18" s="18" t="n">
        <f aca="false">B18+C18</f>
        <v>56505.9999662097</v>
      </c>
      <c r="E18" s="39" t="n">
        <f aca="false">IF(N18="Yes",COUNTIFS($N$5:$N$27,"Yes",$D$5:$D$27,"&lt;"&amp;D18)+1,"-")</f>
        <v>19</v>
      </c>
      <c r="F18" s="22" t="n">
        <v>56444.8357756797</v>
      </c>
      <c r="G18" s="22" t="n">
        <v>56622.4457643222</v>
      </c>
      <c r="H18" s="22" t="n">
        <v>78.4128601252399</v>
      </c>
      <c r="I18" s="20" t="n">
        <f aca="false">(G18-D18)/H18</f>
        <v>1.4850344436679</v>
      </c>
      <c r="J18" s="40" t="n">
        <v>24.8854304817346</v>
      </c>
      <c r="K18" s="40" t="n">
        <v>24.9135381828467</v>
      </c>
      <c r="L18" s="21" t="n">
        <v>0.559484731912395</v>
      </c>
      <c r="M18" s="21" t="n">
        <v>0.56031</v>
      </c>
      <c r="N18" s="41" t="s">
        <v>66</v>
      </c>
      <c r="O18" s="24" t="str">
        <f aca="false">IF(ABS(I18)&lt;=4,"PASS","FAIL")</f>
        <v>PASS</v>
      </c>
    </row>
    <row r="19" customFormat="false" ht="15" hidden="false" customHeight="false" outlineLevel="0" collapsed="false">
      <c r="A19" s="5" t="s">
        <v>160</v>
      </c>
      <c r="B19" s="38" t="n">
        <v>4000</v>
      </c>
      <c r="C19" s="22" t="n">
        <v>45674.0112293712</v>
      </c>
      <c r="D19" s="18" t="n">
        <f aca="false">B19+C19</f>
        <v>49674.0112293712</v>
      </c>
      <c r="E19" s="39" t="n">
        <f aca="false">IF(N19="Yes",COUNTIFS($N$5:$N$27,"Yes",$D$5:$D$27,"&lt;"&amp;D19)+1,"-")</f>
        <v>10</v>
      </c>
      <c r="F19" s="22" t="n">
        <v>49490.8114192248</v>
      </c>
      <c r="G19" s="22" t="n">
        <v>49828.725334353</v>
      </c>
      <c r="H19" s="22" t="n">
        <v>80.4052268127567</v>
      </c>
      <c r="I19" s="20" t="n">
        <f aca="false">(G19-D19)/H19</f>
        <v>1.92417969719864</v>
      </c>
      <c r="J19" s="40" t="n">
        <v>24.952746980971</v>
      </c>
      <c r="K19" s="40" t="n">
        <v>24.9861386496155</v>
      </c>
      <c r="L19" s="21" t="n">
        <v>0.550635225127461</v>
      </c>
      <c r="M19" s="21" t="n">
        <v>0.55244</v>
      </c>
      <c r="N19" s="41" t="s">
        <v>66</v>
      </c>
      <c r="O19" s="24" t="str">
        <f aca="false">IF(ABS(I19)&lt;=4,"PASS","FAIL")</f>
        <v>PASS</v>
      </c>
    </row>
    <row r="20" customFormat="false" ht="15" hidden="false" customHeight="false" outlineLevel="0" collapsed="false">
      <c r="A20" s="5" t="s">
        <v>161</v>
      </c>
      <c r="B20" s="38" t="n">
        <v>17500</v>
      </c>
      <c r="C20" s="22" t="n">
        <v>34618.2340867253</v>
      </c>
      <c r="D20" s="18" t="n">
        <f aca="false">B20+C20</f>
        <v>52118.2340867253</v>
      </c>
      <c r="E20" s="39" t="n">
        <f aca="false">IF(N20="Yes",COUNTIFS($N$5:$N$27,"Yes",$D$5:$D$27,"&lt;"&amp;D20)+1,"-")</f>
        <v>15</v>
      </c>
      <c r="F20" s="22" t="n">
        <v>52044.4040291649</v>
      </c>
      <c r="G20" s="22" t="n">
        <v>52320.5677634596</v>
      </c>
      <c r="H20" s="22" t="n">
        <v>68.2372218109778</v>
      </c>
      <c r="I20" s="20" t="n">
        <f aca="false">(G20-D20)/H20</f>
        <v>2.96515115012667</v>
      </c>
      <c r="J20" s="40" t="n">
        <v>23.5288954385083</v>
      </c>
      <c r="K20" s="40" t="n">
        <v>23.5619274099624</v>
      </c>
      <c r="L20" s="21" t="n">
        <v>0.408122669207344</v>
      </c>
      <c r="M20" s="21" t="n">
        <v>0.41014</v>
      </c>
      <c r="N20" s="41" t="s">
        <v>66</v>
      </c>
      <c r="O20" s="24" t="str">
        <f aca="false">IF(ABS(I20)&lt;=4,"PASS","FAIL")</f>
        <v>PASS</v>
      </c>
    </row>
    <row r="21" customFormat="false" ht="15" hidden="false" customHeight="false" outlineLevel="0" collapsed="false">
      <c r="A21" s="5" t="s">
        <v>162</v>
      </c>
      <c r="B21" s="38" t="n">
        <v>16500</v>
      </c>
      <c r="C21" s="22" t="n">
        <v>34455.1566308299</v>
      </c>
      <c r="D21" s="18" t="n">
        <f aca="false">B21+C21</f>
        <v>50955.1566308299</v>
      </c>
      <c r="E21" s="39" t="n">
        <f aca="false">IF(N21="Yes",COUNTIFS($N$5:$N$27,"Yes",$D$5:$D$27,"&lt;"&amp;D21)+1,"-")</f>
        <v>13</v>
      </c>
      <c r="F21" s="22" t="n">
        <v>50810.9739276758</v>
      </c>
      <c r="G21" s="22" t="n">
        <v>51095.3876469634</v>
      </c>
      <c r="H21" s="22" t="n">
        <v>68.571313092663</v>
      </c>
      <c r="I21" s="20" t="n">
        <f aca="false">(G21-D21)/H21</f>
        <v>2.04503909592522</v>
      </c>
      <c r="J21" s="40" t="n">
        <v>23.5372748917737</v>
      </c>
      <c r="K21" s="40" t="n">
        <v>23.5831111603471</v>
      </c>
      <c r="L21" s="21" t="n">
        <v>0.405546144990795</v>
      </c>
      <c r="M21" s="21" t="n">
        <v>0.406075</v>
      </c>
      <c r="N21" s="41" t="s">
        <v>66</v>
      </c>
      <c r="O21" s="24" t="str">
        <f aca="false">IF(ABS(I21)&lt;=4,"PASS","FAIL")</f>
        <v>PASS</v>
      </c>
    </row>
    <row r="22" customFormat="false" ht="15" hidden="false" customHeight="false" outlineLevel="0" collapsed="false">
      <c r="A22" s="5" t="s">
        <v>163</v>
      </c>
      <c r="B22" s="38" t="n">
        <v>10000</v>
      </c>
      <c r="C22" s="22" t="n">
        <v>34179.8172925955</v>
      </c>
      <c r="D22" s="18" t="n">
        <f aca="false">B22+C22</f>
        <v>44179.8172925955</v>
      </c>
      <c r="E22" s="39" t="n">
        <f aca="false">IF(N22="Yes",COUNTIFS($N$5:$N$27,"Yes",$D$5:$D$27,"&lt;"&amp;D22)+1,"-")</f>
        <v>2</v>
      </c>
      <c r="F22" s="22" t="n">
        <v>43904.5909577308</v>
      </c>
      <c r="G22" s="22" t="n">
        <v>44353.3251040505</v>
      </c>
      <c r="H22" s="22" t="n">
        <v>70.666185890893</v>
      </c>
      <c r="I22" s="20" t="n">
        <f aca="false">(G22-D22)/H22</f>
        <v>2.45531592327406</v>
      </c>
      <c r="J22" s="40" t="n">
        <v>23.6076626423082</v>
      </c>
      <c r="K22" s="40" t="n">
        <v>23.6470296867119</v>
      </c>
      <c r="L22" s="21" t="n">
        <v>0.402059157477124</v>
      </c>
      <c r="M22" s="21" t="n">
        <v>0.403935</v>
      </c>
      <c r="N22" s="41" t="s">
        <v>66</v>
      </c>
      <c r="O22" s="24" t="str">
        <f aca="false">IF(ABS(I22)&lt;=4,"PASS","FAIL")</f>
        <v>PASS</v>
      </c>
    </row>
    <row r="23" customFormat="false" ht="15" hidden="false" customHeight="false" outlineLevel="0" collapsed="false">
      <c r="A23" s="5" t="s">
        <v>164</v>
      </c>
      <c r="B23" s="38" t="n">
        <v>14500</v>
      </c>
      <c r="C23" s="22" t="n">
        <v>40407.225682493</v>
      </c>
      <c r="D23" s="18" t="n">
        <f aca="false">B23+C23</f>
        <v>54907.225682493</v>
      </c>
      <c r="E23" s="39" t="n">
        <f aca="false">IF(N23="Yes",COUNTIFS($N$5:$N$27,"Yes",$D$5:$D$27,"&lt;"&amp;D23)+1,"-")</f>
        <v>18</v>
      </c>
      <c r="F23" s="22" t="n">
        <v>55042.092479511</v>
      </c>
      <c r="G23" s="22" t="n">
        <v>55104.1926629481</v>
      </c>
      <c r="H23" s="22" t="n">
        <v>74.4836904756188</v>
      </c>
      <c r="I23" s="20" t="n">
        <f aca="false">(G23-D23)/H23</f>
        <v>2.64443100492705</v>
      </c>
      <c r="J23" s="40" t="n">
        <v>24.2981789474743</v>
      </c>
      <c r="K23" s="40" t="n">
        <v>24.3236782589067</v>
      </c>
      <c r="L23" s="21" t="n">
        <v>0.485429124794443</v>
      </c>
      <c r="M23" s="21" t="n">
        <v>0.48776</v>
      </c>
      <c r="N23" s="41" t="s">
        <v>66</v>
      </c>
      <c r="O23" s="24" t="str">
        <f aca="false">IF(ABS(I23)&lt;=4,"PASS","FAIL")</f>
        <v>PASS</v>
      </c>
    </row>
    <row r="24" customFormat="false" ht="15" hidden="false" customHeight="false" outlineLevel="0" collapsed="false">
      <c r="A24" s="5" t="s">
        <v>165</v>
      </c>
      <c r="B24" s="38" t="n">
        <v>13500</v>
      </c>
      <c r="C24" s="22" t="n">
        <v>40230.5782985199</v>
      </c>
      <c r="D24" s="18" t="n">
        <f aca="false">B24+C24</f>
        <v>53730.5782985199</v>
      </c>
      <c r="E24" s="39" t="n">
        <f aca="false">IF(N24="Yes",COUNTIFS($N$5:$N$27,"Yes",$D$5:$D$27,"&lt;"&amp;D24)+1,"-")</f>
        <v>16</v>
      </c>
      <c r="F24" s="22" t="n">
        <v>53786.0955289166</v>
      </c>
      <c r="G24" s="22" t="n">
        <v>53862.5876056723</v>
      </c>
      <c r="H24" s="22" t="n">
        <v>74.7736188525542</v>
      </c>
      <c r="I24" s="20" t="n">
        <f aca="false">(G24-D24)/H24</f>
        <v>1.76545296560759</v>
      </c>
      <c r="J24" s="40" t="n">
        <v>24.3017322538326</v>
      </c>
      <c r="K24" s="40" t="n">
        <v>24.3295320740969</v>
      </c>
      <c r="L24" s="21" t="n">
        <v>0.482515438451595</v>
      </c>
      <c r="M24" s="21" t="n">
        <v>0.483505</v>
      </c>
      <c r="N24" s="41" t="s">
        <v>66</v>
      </c>
      <c r="O24" s="24" t="str">
        <f aca="false">IF(ABS(I24)&lt;=4,"PASS","FAIL")</f>
        <v>PASS</v>
      </c>
    </row>
    <row r="25" customFormat="false" ht="15" hidden="false" customHeight="false" outlineLevel="0" collapsed="false">
      <c r="A25" s="5" t="s">
        <v>166</v>
      </c>
      <c r="B25" s="38" t="n">
        <v>7000</v>
      </c>
      <c r="C25" s="22" t="n">
        <v>39926.9142609834</v>
      </c>
      <c r="D25" s="18" t="n">
        <f aca="false">B25+C25</f>
        <v>46926.9142609834</v>
      </c>
      <c r="E25" s="39" t="n">
        <f aca="false">IF(N25="Yes",COUNTIFS($N$5:$N$27,"Yes",$D$5:$D$27,"&lt;"&amp;D25)+1,"-")</f>
        <v>6</v>
      </c>
      <c r="F25" s="22" t="n">
        <v>46862.8858175659</v>
      </c>
      <c r="G25" s="22" t="n">
        <v>47094.8691266716</v>
      </c>
      <c r="H25" s="22" t="n">
        <v>76.7563229494072</v>
      </c>
      <c r="I25" s="20" t="n">
        <f aca="false">(G25-D25)/H25</f>
        <v>2.18815674376348</v>
      </c>
      <c r="J25" s="40" t="n">
        <v>24.3678192315261</v>
      </c>
      <c r="K25" s="40" t="n">
        <v>24.3962763537012</v>
      </c>
      <c r="L25" s="21" t="n">
        <v>0.476347191302292</v>
      </c>
      <c r="M25" s="21" t="n">
        <v>0.478705</v>
      </c>
      <c r="N25" s="41" t="s">
        <v>66</v>
      </c>
      <c r="O25" s="24" t="str">
        <f aca="false">IF(ABS(I25)&lt;=4,"PASS","FAIL")</f>
        <v>PASS</v>
      </c>
    </row>
    <row r="26" customFormat="false" ht="15" hidden="false" customHeight="false" outlineLevel="0" collapsed="false">
      <c r="A26" s="5" t="s">
        <v>167</v>
      </c>
      <c r="B26" s="38" t="n">
        <v>13000</v>
      </c>
      <c r="C26" s="22" t="n">
        <v>43567.2972531953</v>
      </c>
      <c r="D26" s="18" t="n">
        <f aca="false">B26+C26</f>
        <v>56567.2972531953</v>
      </c>
      <c r="E26" s="39" t="n">
        <f aca="false">IF(N26="Yes",COUNTIFS($N$5:$N$27,"Yes",$D$5:$D$27,"&lt;"&amp;D26)+1,"-")</f>
        <v>20</v>
      </c>
      <c r="F26" s="22" t="n">
        <v>56430.5766356437</v>
      </c>
      <c r="G26" s="22" t="n">
        <v>56711.5193913757</v>
      </c>
      <c r="H26" s="22" t="n">
        <v>75.6874521153252</v>
      </c>
      <c r="I26" s="20" t="n">
        <f aca="false">(G26-D26)/H26</f>
        <v>1.9054960122141</v>
      </c>
      <c r="J26" s="40" t="n">
        <v>24.570676901951</v>
      </c>
      <c r="K26" s="40" t="n">
        <v>24.5947961879967</v>
      </c>
      <c r="L26" s="21" t="n">
        <v>0.533992232050234</v>
      </c>
      <c r="M26" s="21" t="n">
        <v>0.535105</v>
      </c>
      <c r="N26" s="41" t="s">
        <v>66</v>
      </c>
      <c r="O26" s="24" t="str">
        <f aca="false">IF(ABS(I26)&lt;=4,"PASS","FAIL")</f>
        <v>PASS</v>
      </c>
    </row>
    <row r="27" customFormat="false" ht="15" hidden="false" customHeight="false" outlineLevel="0" collapsed="false">
      <c r="A27" s="5" t="s">
        <v>168</v>
      </c>
      <c r="B27" s="38" t="n">
        <v>4000</v>
      </c>
      <c r="C27" s="22" t="n">
        <v>47580.124444704</v>
      </c>
      <c r="D27" s="18" t="n">
        <f aca="false">B27+C27</f>
        <v>51580.124444704</v>
      </c>
      <c r="E27" s="39" t="str">
        <f aca="false">IF(N27="Yes",COUNTIFS($N$5:$N$27,"Yes",$D$5:$D$27,"&lt;"&amp;D27)+1,"-")</f>
        <v>-</v>
      </c>
      <c r="F27" s="22" t="n">
        <v>51554.9160651012</v>
      </c>
      <c r="G27" s="22" t="n">
        <v>51760.5689223899</v>
      </c>
      <c r="H27" s="22" t="n">
        <v>82.3717829851692</v>
      </c>
      <c r="I27" s="20" t="n">
        <f aca="false">(G27-D27)/H27</f>
        <v>2.19061031759327</v>
      </c>
      <c r="J27" s="40" t="n">
        <v>25.1894826771265</v>
      </c>
      <c r="K27" s="40" t="n">
        <v>25.2148657217313</v>
      </c>
      <c r="L27" s="21" t="n">
        <v>0.569964359230291</v>
      </c>
      <c r="M27" s="21" t="n">
        <v>0.572525</v>
      </c>
      <c r="N27" s="41" t="s">
        <v>72</v>
      </c>
      <c r="O27" s="24" t="str">
        <f aca="false">IF(ABS(I27)&lt;=4,"PASS","FAIL")</f>
        <v>PASS</v>
      </c>
    </row>
    <row r="29" customFormat="false" ht="15" hidden="false" customHeight="false" outlineLevel="0" collapsed="false">
      <c r="A29" s="5" t="s">
        <v>169</v>
      </c>
      <c r="B29" s="7" t="str">
        <f aca="false">INDEX($A$5:$A$27,MATCH(1,$E$5:$E$27,0))</f>
        <v>O-M-BUF+M-QC</v>
      </c>
    </row>
    <row r="30" customFormat="false" ht="15" hidden="false" customHeight="false" outlineLevel="0" collapsed="false">
      <c r="A30" s="5" t="s">
        <v>170</v>
      </c>
      <c r="B30" s="18" t="n">
        <f aca="false">INDEX($D$5:$D$27,MATCH(1,$E$5:$E$27,0))</f>
        <v>43992.0951227268</v>
      </c>
    </row>
    <row r="31" customFormat="false" ht="15" hidden="false" customHeight="false" outlineLevel="0" collapsed="false">
      <c r="A31" s="5" t="s">
        <v>171</v>
      </c>
      <c r="B31" s="31" t="s">
        <v>154</v>
      </c>
    </row>
    <row r="32" customFormat="false" ht="15" hidden="false" customHeight="false" outlineLevel="0" collapsed="false">
      <c r="A32" s="5" t="s">
        <v>172</v>
      </c>
      <c r="B32" s="31" t="s">
        <v>154</v>
      </c>
    </row>
    <row r="33" customFormat="false" ht="15" hidden="false" customHeight="false" outlineLevel="0" collapsed="false">
      <c r="A33" s="5" t="s">
        <v>173</v>
      </c>
      <c r="B33" s="24" t="str">
        <f aca="false">IF(AND(B29=B31,B29=B32),"PASS","FAIL")</f>
        <v>PASS</v>
      </c>
    </row>
    <row r="34" customFormat="false" ht="15" hidden="false" customHeight="false" outlineLevel="0" collapsed="false">
      <c r="A34" s="5" t="s">
        <v>174</v>
      </c>
      <c r="B34" s="31" t="s">
        <v>175</v>
      </c>
    </row>
    <row r="35" customFormat="false" ht="15" hidden="false" customHeight="false" outlineLevel="0" collapsed="false">
      <c r="A35" s="5" t="s">
        <v>176</v>
      </c>
      <c r="B35" s="42" t="n">
        <f aca="false">SUMPRODUCT(($E$5:$E$27=2)*$D$5:$D$27)-SUMPRODUCT(($E$5:$E$27=1)*$D$5:$D$27)</f>
        <v>187.722169868721</v>
      </c>
    </row>
    <row r="37" customFormat="false" ht="15" hidden="false" customHeight="false" outlineLevel="0" collapsed="false">
      <c r="A37" s="27" t="s">
        <v>177</v>
      </c>
    </row>
  </sheetData>
  <conditionalFormatting sqref="O5:O27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conditionalFormatting sqref="B33">
    <cfRule type="cellIs" priority="4" operator="equal" aboveAverage="0" equalAverage="0" bottom="0" percent="0" rank="0" text="" dxfId="0">
      <formula>"PASS"</formula>
    </cfRule>
    <cfRule type="cellIs" priority="5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" t="s">
        <v>178</v>
      </c>
    </row>
    <row r="3" customFormat="false" ht="39.75" hidden="false" customHeight="true" outlineLevel="0" collapsed="false">
      <c r="A3" s="4" t="s">
        <v>179</v>
      </c>
      <c r="B3" s="4" t="s">
        <v>180</v>
      </c>
      <c r="C3" s="4" t="s">
        <v>181</v>
      </c>
      <c r="D3" s="4" t="s">
        <v>93</v>
      </c>
      <c r="E3" s="4" t="s">
        <v>182</v>
      </c>
      <c r="F3" s="4" t="s">
        <v>183</v>
      </c>
      <c r="G3" s="4" t="s">
        <v>89</v>
      </c>
    </row>
    <row r="4" customFormat="false" ht="15" hidden="false" customHeight="false" outlineLevel="0" collapsed="false">
      <c r="A4" s="43" t="n">
        <v>-0.5</v>
      </c>
      <c r="B4" s="21" t="n">
        <v>0.0534845290636144</v>
      </c>
      <c r="C4" s="21" t="n">
        <v>0.0532983333333333</v>
      </c>
      <c r="D4" s="16" t="n">
        <f aca="false">C4-B4</f>
        <v>-0.000186195730281044</v>
      </c>
      <c r="E4" s="21" t="n">
        <v>0.399156666666667</v>
      </c>
      <c r="F4" s="21" t="n">
        <v>0.30019</v>
      </c>
      <c r="G4" s="24" t="str">
        <f aca="false">IF(ABS(D4)&lt;=0.001,"PASS","FAIL")</f>
        <v>PASS</v>
      </c>
    </row>
    <row r="5" customFormat="false" ht="15" hidden="false" customHeight="false" outlineLevel="0" collapsed="false">
      <c r="A5" s="43" t="n">
        <v>0</v>
      </c>
      <c r="B5" s="21" t="n">
        <v>0.12</v>
      </c>
      <c r="C5" s="21" t="n">
        <v>0.120076666666667</v>
      </c>
      <c r="D5" s="16" t="n">
        <f aca="false">C5-B5</f>
        <v>7.6666666666711E-005</v>
      </c>
      <c r="E5" s="21" t="n">
        <v>0.399156666666667</v>
      </c>
      <c r="F5" s="21" t="n">
        <v>0.300441666666667</v>
      </c>
      <c r="G5" s="24" t="str">
        <f aca="false">IF(ABS(D5)&lt;=0.001,"PASS","FAIL")</f>
        <v>PASS</v>
      </c>
    </row>
    <row r="6" customFormat="false" ht="15" hidden="false" customHeight="false" outlineLevel="0" collapsed="false">
      <c r="A6" s="43" t="n">
        <v>0.6</v>
      </c>
      <c r="B6" s="21" t="n">
        <v>0.208503910710401</v>
      </c>
      <c r="C6" s="21" t="n">
        <v>0.208371666666667</v>
      </c>
      <c r="D6" s="16" t="n">
        <f aca="false">C6-B6</f>
        <v>-0.000132244043733881</v>
      </c>
      <c r="E6" s="21" t="n">
        <v>0.399156666666667</v>
      </c>
      <c r="F6" s="21" t="n">
        <v>0.300241666666667</v>
      </c>
      <c r="G6" s="24" t="str">
        <f aca="false">IF(ABS(D6)&lt;=0.001,"PASS","FAIL")</f>
        <v>PASS</v>
      </c>
    </row>
    <row r="7" customFormat="false" ht="15" hidden="false" customHeight="false" outlineLevel="0" collapsed="false">
      <c r="A7" s="43" t="n">
        <v>0.95</v>
      </c>
      <c r="B7" s="21" t="n">
        <v>0.287218868979117</v>
      </c>
      <c r="C7" s="21" t="n">
        <v>0.286868333333333</v>
      </c>
      <c r="D7" s="16" t="n">
        <f aca="false">C7-B7</f>
        <v>-0.000350535645783912</v>
      </c>
      <c r="E7" s="21" t="n">
        <v>0.399156666666667</v>
      </c>
      <c r="F7" s="21" t="n">
        <v>0.2994</v>
      </c>
      <c r="G7" s="24" t="str">
        <f aca="false">IF(ABS(D7)&lt;=0.001,"PASS","FAIL")</f>
        <v>PASS</v>
      </c>
    </row>
    <row r="9" customFormat="false" ht="15" hidden="false" customHeight="false" outlineLevel="0" collapsed="false">
      <c r="A9" s="12" t="s">
        <v>184</v>
      </c>
    </row>
    <row r="10" customFormat="false" ht="15" hidden="false" customHeight="false" outlineLevel="0" collapsed="false">
      <c r="A10" s="5" t="s">
        <v>185</v>
      </c>
      <c r="B10" s="16" t="n">
        <f aca="false">0.4*0.3</f>
        <v>0.12</v>
      </c>
      <c r="C10" s="27" t="s">
        <v>186</v>
      </c>
    </row>
  </sheetData>
  <conditionalFormatting sqref="G4:G7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2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10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187</v>
      </c>
    </row>
    <row r="3" customFormat="false" ht="39.75" hidden="false" customHeight="true" outlineLevel="0" collapsed="false">
      <c r="A3" s="4" t="s">
        <v>188</v>
      </c>
      <c r="B3" s="4" t="s">
        <v>189</v>
      </c>
      <c r="C3" s="4" t="s">
        <v>190</v>
      </c>
      <c r="D3" s="4" t="s">
        <v>191</v>
      </c>
      <c r="E3" s="4" t="s">
        <v>192</v>
      </c>
      <c r="F3" s="4" t="s">
        <v>193</v>
      </c>
      <c r="G3" s="4" t="s">
        <v>194</v>
      </c>
      <c r="H3" s="4" t="s">
        <v>195</v>
      </c>
      <c r="I3" s="4" t="s">
        <v>19</v>
      </c>
    </row>
    <row r="4" customFormat="false" ht="15" hidden="false" customHeight="false" outlineLevel="0" collapsed="false">
      <c r="A4" s="7" t="s">
        <v>196</v>
      </c>
      <c r="B4" s="7" t="s">
        <v>197</v>
      </c>
      <c r="C4" s="31" t="n">
        <v>3.5</v>
      </c>
      <c r="D4" s="31" t="n">
        <v>3.5</v>
      </c>
      <c r="E4" s="23" t="n">
        <f aca="false">ABS(C4-D4)</f>
        <v>0</v>
      </c>
      <c r="F4" s="44" t="n">
        <v>1E-012</v>
      </c>
      <c r="G4" s="24" t="str">
        <f aca="false">IF(E4&lt;=F4,"PASS","FAIL")</f>
        <v>PASS</v>
      </c>
      <c r="H4" s="41" t="s">
        <v>198</v>
      </c>
      <c r="I4" s="7"/>
    </row>
    <row r="5" customFormat="false" ht="15" hidden="false" customHeight="false" outlineLevel="0" collapsed="false">
      <c r="A5" s="7" t="s">
        <v>199</v>
      </c>
      <c r="B5" s="7" t="s">
        <v>200</v>
      </c>
      <c r="C5" s="31" t="n">
        <v>1.60714285714286</v>
      </c>
      <c r="D5" s="31" t="n">
        <v>1.60714285714286</v>
      </c>
      <c r="E5" s="23" t="n">
        <f aca="false">ABS(C5-D5)</f>
        <v>0</v>
      </c>
      <c r="F5" s="44" t="n">
        <v>1E-012</v>
      </c>
      <c r="G5" s="24" t="str">
        <f aca="false">IF(E5&lt;=F5,"PASS","FAIL")</f>
        <v>PASS</v>
      </c>
      <c r="H5" s="41" t="s">
        <v>198</v>
      </c>
      <c r="I5" s="7"/>
    </row>
    <row r="6" customFormat="false" ht="15" hidden="false" customHeight="false" outlineLevel="0" collapsed="false">
      <c r="A6" s="7" t="s">
        <v>201</v>
      </c>
      <c r="B6" s="7" t="s">
        <v>202</v>
      </c>
      <c r="C6" s="31" t="n">
        <v>3.5</v>
      </c>
      <c r="D6" s="31" t="n">
        <v>3.4999999973936</v>
      </c>
      <c r="E6" s="23" t="n">
        <f aca="false">ABS(C6-D6)</f>
        <v>2.60640220517416E-009</v>
      </c>
      <c r="F6" s="44" t="n">
        <v>0.0002</v>
      </c>
      <c r="G6" s="24" t="str">
        <f aca="false">IF(E6&lt;=F6,"PASS","FAIL")</f>
        <v>PASS</v>
      </c>
      <c r="H6" s="41" t="s">
        <v>198</v>
      </c>
      <c r="I6" s="7"/>
    </row>
    <row r="7" customFormat="false" ht="15" hidden="false" customHeight="false" outlineLevel="0" collapsed="false">
      <c r="A7" s="7" t="s">
        <v>203</v>
      </c>
      <c r="B7" s="7" t="s">
        <v>204</v>
      </c>
      <c r="C7" s="31" t="n">
        <v>1.60714285714286</v>
      </c>
      <c r="D7" s="31" t="n">
        <v>1.60714283286492</v>
      </c>
      <c r="E7" s="23" t="n">
        <f aca="false">ABS(C7-D7)</f>
        <v>2.42779418790917E-008</v>
      </c>
      <c r="F7" s="44" t="n">
        <v>0.00321428571428572</v>
      </c>
      <c r="G7" s="24" t="str">
        <f aca="false">IF(E7&lt;=F7,"PASS","FAIL")</f>
        <v>PASS</v>
      </c>
      <c r="H7" s="41" t="s">
        <v>198</v>
      </c>
      <c r="I7" s="7"/>
    </row>
    <row r="8" customFormat="false" ht="15" hidden="false" customHeight="false" outlineLevel="0" collapsed="false">
      <c r="A8" s="7" t="s">
        <v>205</v>
      </c>
      <c r="B8" s="7" t="s">
        <v>206</v>
      </c>
      <c r="C8" s="31" t="n">
        <v>0</v>
      </c>
      <c r="D8" s="31" t="n">
        <v>9.99200722162641E-016</v>
      </c>
      <c r="E8" s="23" t="n">
        <f aca="false">ABS(C8-D8)</f>
        <v>9.99200722162641E-016</v>
      </c>
      <c r="F8" s="44" t="n">
        <v>1E-005</v>
      </c>
      <c r="G8" s="24" t="str">
        <f aca="false">IF(E8&lt;=F8,"PASS","FAIL")</f>
        <v>PASS</v>
      </c>
      <c r="H8" s="41" t="s">
        <v>198</v>
      </c>
      <c r="I8" s="7"/>
    </row>
    <row r="9" customFormat="false" ht="15" hidden="false" customHeight="false" outlineLevel="0" collapsed="false">
      <c r="A9" s="7" t="s">
        <v>207</v>
      </c>
      <c r="B9" s="7" t="s">
        <v>208</v>
      </c>
      <c r="C9" s="31" t="n">
        <v>2.5</v>
      </c>
      <c r="D9" s="31" t="n">
        <v>2.5</v>
      </c>
      <c r="E9" s="23" t="n">
        <f aca="false">ABS(C9-D9)</f>
        <v>0</v>
      </c>
      <c r="F9" s="44" t="n">
        <v>1E-012</v>
      </c>
      <c r="G9" s="24" t="str">
        <f aca="false">IF(E9&lt;=F9,"PASS","FAIL")</f>
        <v>PASS</v>
      </c>
      <c r="H9" s="41" t="s">
        <v>198</v>
      </c>
      <c r="I9" s="7"/>
    </row>
    <row r="10" customFormat="false" ht="15" hidden="false" customHeight="false" outlineLevel="0" collapsed="false">
      <c r="A10" s="7" t="s">
        <v>209</v>
      </c>
      <c r="B10" s="7" t="s">
        <v>210</v>
      </c>
      <c r="C10" s="31" t="n">
        <v>0.75</v>
      </c>
      <c r="D10" s="31" t="n">
        <v>0.75</v>
      </c>
      <c r="E10" s="23" t="n">
        <f aca="false">ABS(C10-D10)</f>
        <v>0</v>
      </c>
      <c r="F10" s="44" t="n">
        <v>1E-012</v>
      </c>
      <c r="G10" s="24" t="str">
        <f aca="false">IF(E10&lt;=F10,"PASS","FAIL")</f>
        <v>PASS</v>
      </c>
      <c r="H10" s="41" t="s">
        <v>198</v>
      </c>
      <c r="I10" s="7"/>
    </row>
    <row r="11" customFormat="false" ht="15" hidden="false" customHeight="false" outlineLevel="0" collapsed="false">
      <c r="A11" s="7" t="s">
        <v>211</v>
      </c>
      <c r="B11" s="7" t="s">
        <v>212</v>
      </c>
      <c r="C11" s="31" t="n">
        <v>2.5</v>
      </c>
      <c r="D11" s="31" t="n">
        <v>2.49999999716678</v>
      </c>
      <c r="E11" s="23" t="n">
        <f aca="false">ABS(C11-D11)</f>
        <v>2.83322520999718E-009</v>
      </c>
      <c r="F11" s="44" t="n">
        <v>0.0002</v>
      </c>
      <c r="G11" s="24" t="str">
        <f aca="false">IF(E11&lt;=F11,"PASS","FAIL")</f>
        <v>PASS</v>
      </c>
      <c r="H11" s="41" t="s">
        <v>198</v>
      </c>
      <c r="I11" s="7"/>
    </row>
    <row r="12" customFormat="false" ht="15" hidden="false" customHeight="false" outlineLevel="0" collapsed="false">
      <c r="A12" s="7" t="s">
        <v>213</v>
      </c>
      <c r="B12" s="7" t="s">
        <v>214</v>
      </c>
      <c r="C12" s="31" t="n">
        <v>0.75</v>
      </c>
      <c r="D12" s="31" t="n">
        <v>0.749999980426547</v>
      </c>
      <c r="E12" s="23" t="n">
        <f aca="false">ABS(C12-D12)</f>
        <v>1.9573453080568E-008</v>
      </c>
      <c r="F12" s="44" t="n">
        <v>0.002</v>
      </c>
      <c r="G12" s="24" t="str">
        <f aca="false">IF(E12&lt;=F12,"PASS","FAIL")</f>
        <v>PASS</v>
      </c>
      <c r="H12" s="41" t="s">
        <v>198</v>
      </c>
      <c r="I12" s="7"/>
    </row>
    <row r="13" customFormat="false" ht="15" hidden="false" customHeight="false" outlineLevel="0" collapsed="false">
      <c r="A13" s="7" t="s">
        <v>215</v>
      </c>
      <c r="B13" s="7" t="s">
        <v>216</v>
      </c>
      <c r="C13" s="31" t="n">
        <v>0</v>
      </c>
      <c r="D13" s="31" t="n">
        <v>9.99200722162641E-016</v>
      </c>
      <c r="E13" s="23" t="n">
        <f aca="false">ABS(C13-D13)</f>
        <v>9.99200722162641E-016</v>
      </c>
      <c r="F13" s="44" t="n">
        <v>1E-005</v>
      </c>
      <c r="G13" s="24" t="str">
        <f aca="false">IF(E13&lt;=F13,"PASS","FAIL")</f>
        <v>PASS</v>
      </c>
      <c r="H13" s="41" t="s">
        <v>198</v>
      </c>
      <c r="I13" s="7"/>
    </row>
    <row r="14" customFormat="false" ht="15" hidden="false" customHeight="false" outlineLevel="0" collapsed="false">
      <c r="A14" s="7" t="s">
        <v>217</v>
      </c>
      <c r="B14" s="7" t="s">
        <v>218</v>
      </c>
      <c r="C14" s="31" t="n">
        <v>1.16666666666667</v>
      </c>
      <c r="D14" s="31" t="n">
        <v>1.16666666666667</v>
      </c>
      <c r="E14" s="23" t="n">
        <f aca="false">ABS(C14-D14)</f>
        <v>0</v>
      </c>
      <c r="F14" s="44" t="n">
        <v>1E-012</v>
      </c>
      <c r="G14" s="24" t="str">
        <f aca="false">IF(E14&lt;=F14,"PASS","FAIL")</f>
        <v>PASS</v>
      </c>
      <c r="H14" s="41" t="s">
        <v>198</v>
      </c>
      <c r="I14" s="7"/>
    </row>
    <row r="15" customFormat="false" ht="15" hidden="false" customHeight="false" outlineLevel="0" collapsed="false">
      <c r="A15" s="7" t="s">
        <v>219</v>
      </c>
      <c r="B15" s="7" t="s">
        <v>220</v>
      </c>
      <c r="C15" s="31" t="n">
        <v>0.305555555555556</v>
      </c>
      <c r="D15" s="31" t="n">
        <v>0.305555555555556</v>
      </c>
      <c r="E15" s="23" t="n">
        <f aca="false">ABS(C15-D15)</f>
        <v>0</v>
      </c>
      <c r="F15" s="44" t="n">
        <v>1E-012</v>
      </c>
      <c r="G15" s="24" t="str">
        <f aca="false">IF(E15&lt;=F15,"PASS","FAIL")</f>
        <v>PASS</v>
      </c>
      <c r="H15" s="41" t="s">
        <v>198</v>
      </c>
      <c r="I15" s="7"/>
    </row>
    <row r="16" customFormat="false" ht="15" hidden="false" customHeight="false" outlineLevel="0" collapsed="false">
      <c r="A16" s="7" t="s">
        <v>221</v>
      </c>
      <c r="B16" s="7" t="s">
        <v>222</v>
      </c>
      <c r="C16" s="31" t="n">
        <v>1.16666666666667</v>
      </c>
      <c r="D16" s="31" t="n">
        <v>1.1666666658282</v>
      </c>
      <c r="E16" s="23" t="n">
        <f aca="false">ABS(C16-D16)</f>
        <v>8.38471958530818E-010</v>
      </c>
      <c r="F16" s="44" t="n">
        <v>0.0002</v>
      </c>
      <c r="G16" s="24" t="str">
        <f aca="false">IF(E16&lt;=F16,"PASS","FAIL")</f>
        <v>PASS</v>
      </c>
      <c r="H16" s="41" t="s">
        <v>198</v>
      </c>
      <c r="I16" s="7"/>
    </row>
    <row r="17" customFormat="false" ht="15" hidden="false" customHeight="false" outlineLevel="0" collapsed="false">
      <c r="A17" s="7" t="s">
        <v>223</v>
      </c>
      <c r="B17" s="7" t="s">
        <v>224</v>
      </c>
      <c r="C17" s="31" t="n">
        <v>0.305555555555556</v>
      </c>
      <c r="D17" s="31" t="n">
        <v>0.305555552124388</v>
      </c>
      <c r="E17" s="23" t="n">
        <f aca="false">ABS(C17-D17)</f>
        <v>3.43116801637677E-009</v>
      </c>
      <c r="F17" s="44" t="n">
        <v>0.002</v>
      </c>
      <c r="G17" s="24" t="str">
        <f aca="false">IF(E17&lt;=F17,"PASS","FAIL")</f>
        <v>PASS</v>
      </c>
      <c r="H17" s="41" t="s">
        <v>198</v>
      </c>
      <c r="I17" s="7"/>
    </row>
    <row r="18" customFormat="false" ht="15" hidden="false" customHeight="false" outlineLevel="0" collapsed="false">
      <c r="A18" s="7" t="s">
        <v>225</v>
      </c>
      <c r="B18" s="7" t="s">
        <v>226</v>
      </c>
      <c r="C18" s="31" t="n">
        <v>0</v>
      </c>
      <c r="D18" s="31" t="n">
        <v>1.11022302462516E-015</v>
      </c>
      <c r="E18" s="23" t="n">
        <f aca="false">ABS(C18-D18)</f>
        <v>1.11022302462516E-015</v>
      </c>
      <c r="F18" s="44" t="n">
        <v>1E-005</v>
      </c>
      <c r="G18" s="24" t="str">
        <f aca="false">IF(E18&lt;=F18,"PASS","FAIL")</f>
        <v>PASS</v>
      </c>
      <c r="H18" s="41" t="s">
        <v>198</v>
      </c>
      <c r="I18" s="7"/>
    </row>
    <row r="19" customFormat="false" ht="15" hidden="false" customHeight="false" outlineLevel="0" collapsed="false">
      <c r="A19" s="7" t="s">
        <v>227</v>
      </c>
      <c r="B19" s="7" t="s">
        <v>228</v>
      </c>
      <c r="C19" s="31" t="n">
        <v>3.375</v>
      </c>
      <c r="D19" s="31" t="n">
        <v>3.375</v>
      </c>
      <c r="E19" s="23" t="n">
        <f aca="false">ABS(C19-D19)</f>
        <v>0</v>
      </c>
      <c r="F19" s="44" t="n">
        <v>1E-012</v>
      </c>
      <c r="G19" s="24" t="str">
        <f aca="false">IF(E19&lt;=F19,"PASS","FAIL")</f>
        <v>PASS</v>
      </c>
      <c r="H19" s="41" t="s">
        <v>198</v>
      </c>
      <c r="I19" s="7"/>
    </row>
    <row r="20" customFormat="false" ht="15" hidden="false" customHeight="false" outlineLevel="0" collapsed="false">
      <c r="A20" s="7" t="s">
        <v>229</v>
      </c>
      <c r="B20" s="7" t="s">
        <v>230</v>
      </c>
      <c r="C20" s="31" t="n">
        <v>1.22048611111111</v>
      </c>
      <c r="D20" s="31" t="n">
        <v>1.22048611111111</v>
      </c>
      <c r="E20" s="23" t="n">
        <f aca="false">ABS(C20-D20)</f>
        <v>0</v>
      </c>
      <c r="F20" s="44" t="n">
        <v>1E-012</v>
      </c>
      <c r="G20" s="24" t="str">
        <f aca="false">IF(E20&lt;=F20,"PASS","FAIL")</f>
        <v>PASS</v>
      </c>
      <c r="H20" s="41" t="s">
        <v>198</v>
      </c>
      <c r="I20" s="7"/>
    </row>
    <row r="21" customFormat="false" ht="15" hidden="false" customHeight="false" outlineLevel="0" collapsed="false">
      <c r="A21" s="7" t="s">
        <v>231</v>
      </c>
      <c r="B21" s="7" t="s">
        <v>232</v>
      </c>
      <c r="C21" s="31" t="n">
        <v>3.375</v>
      </c>
      <c r="D21" s="31" t="n">
        <v>3.37499999438825</v>
      </c>
      <c r="E21" s="23" t="n">
        <f aca="false">ABS(C21-D21)</f>
        <v>5.61174884339266E-009</v>
      </c>
      <c r="F21" s="44" t="n">
        <v>0.0002</v>
      </c>
      <c r="G21" s="24" t="str">
        <f aca="false">IF(E21&lt;=F21,"PASS","FAIL")</f>
        <v>PASS</v>
      </c>
      <c r="H21" s="41" t="s">
        <v>198</v>
      </c>
      <c r="I21" s="7"/>
    </row>
    <row r="22" customFormat="false" ht="15" hidden="false" customHeight="false" outlineLevel="0" collapsed="false">
      <c r="A22" s="7" t="s">
        <v>233</v>
      </c>
      <c r="B22" s="7" t="s">
        <v>234</v>
      </c>
      <c r="C22" s="31" t="n">
        <v>1.22048611111111</v>
      </c>
      <c r="D22" s="31" t="n">
        <v>1.22048605748345</v>
      </c>
      <c r="E22" s="23" t="n">
        <f aca="false">ABS(C22-D22)</f>
        <v>5.36276649754086E-008</v>
      </c>
      <c r="F22" s="44" t="n">
        <v>0.00244097222222222</v>
      </c>
      <c r="G22" s="24" t="str">
        <f aca="false">IF(E22&lt;=F22,"PASS","FAIL")</f>
        <v>PASS</v>
      </c>
      <c r="H22" s="41" t="s">
        <v>198</v>
      </c>
      <c r="I22" s="7"/>
    </row>
    <row r="23" customFormat="false" ht="15" hidden="false" customHeight="false" outlineLevel="0" collapsed="false">
      <c r="A23" s="7" t="s">
        <v>235</v>
      </c>
      <c r="B23" s="7" t="s">
        <v>236</v>
      </c>
      <c r="C23" s="31" t="n">
        <v>0</v>
      </c>
      <c r="D23" s="31" t="n">
        <v>1.11022302462516E-015</v>
      </c>
      <c r="E23" s="23" t="n">
        <f aca="false">ABS(C23-D23)</f>
        <v>1.11022302462516E-015</v>
      </c>
      <c r="F23" s="44" t="n">
        <v>1E-005</v>
      </c>
      <c r="G23" s="24" t="str">
        <f aca="false">IF(E23&lt;=F23,"PASS","FAIL")</f>
        <v>PASS</v>
      </c>
      <c r="H23" s="41" t="s">
        <v>198</v>
      </c>
      <c r="I23" s="7"/>
    </row>
    <row r="24" customFormat="false" ht="15" hidden="false" customHeight="false" outlineLevel="0" collapsed="false">
      <c r="A24" s="7" t="s">
        <v>237</v>
      </c>
      <c r="B24" s="7" t="s">
        <v>238</v>
      </c>
      <c r="C24" s="31" t="n">
        <v>3.16666666666667</v>
      </c>
      <c r="D24" s="31" t="n">
        <v>3.16666666666667</v>
      </c>
      <c r="E24" s="23" t="n">
        <f aca="false">ABS(C24-D24)</f>
        <v>0</v>
      </c>
      <c r="F24" s="44" t="n">
        <v>1E-012</v>
      </c>
      <c r="G24" s="24" t="str">
        <f aca="false">IF(E24&lt;=F24,"PASS","FAIL")</f>
        <v>PASS</v>
      </c>
      <c r="H24" s="41" t="s">
        <v>198</v>
      </c>
      <c r="I24" s="7"/>
    </row>
    <row r="25" customFormat="false" ht="15" hidden="false" customHeight="false" outlineLevel="0" collapsed="false">
      <c r="A25" s="7" t="s">
        <v>239</v>
      </c>
      <c r="B25" s="7" t="s">
        <v>240</v>
      </c>
      <c r="C25" s="31" t="n">
        <v>0.972222222222222</v>
      </c>
      <c r="D25" s="31" t="n">
        <v>0.972222222222222</v>
      </c>
      <c r="E25" s="23" t="n">
        <f aca="false">ABS(C25-D25)</f>
        <v>0</v>
      </c>
      <c r="F25" s="44" t="n">
        <v>1E-012</v>
      </c>
      <c r="G25" s="24" t="str">
        <f aca="false">IF(E25&lt;=F25,"PASS","FAIL")</f>
        <v>PASS</v>
      </c>
      <c r="H25" s="41" t="s">
        <v>198</v>
      </c>
      <c r="I25" s="7"/>
    </row>
    <row r="26" customFormat="false" ht="15" hidden="false" customHeight="false" outlineLevel="0" collapsed="false">
      <c r="A26" s="7" t="s">
        <v>241</v>
      </c>
      <c r="B26" s="7" t="s">
        <v>242</v>
      </c>
      <c r="C26" s="31" t="n">
        <v>3.16666666666667</v>
      </c>
      <c r="D26" s="31" t="n">
        <v>3.16666665796474</v>
      </c>
      <c r="E26" s="23" t="n">
        <f aca="false">ABS(C26-D26)</f>
        <v>8.70192318203067E-009</v>
      </c>
      <c r="F26" s="44" t="n">
        <v>0.0002</v>
      </c>
      <c r="G26" s="24" t="str">
        <f aca="false">IF(E26&lt;=F26,"PASS","FAIL")</f>
        <v>PASS</v>
      </c>
      <c r="H26" s="41" t="s">
        <v>198</v>
      </c>
      <c r="I26" s="7"/>
    </row>
    <row r="27" customFormat="false" ht="15" hidden="false" customHeight="false" outlineLevel="0" collapsed="false">
      <c r="A27" s="7" t="s">
        <v>243</v>
      </c>
      <c r="B27" s="7" t="s">
        <v>244</v>
      </c>
      <c r="C27" s="31" t="n">
        <v>0.972222222222222</v>
      </c>
      <c r="D27" s="31" t="n">
        <v>0.972222125123546</v>
      </c>
      <c r="E27" s="23" t="n">
        <f aca="false">ABS(C27-D27)</f>
        <v>9.70986764325943E-008</v>
      </c>
      <c r="F27" s="44" t="n">
        <v>0.002</v>
      </c>
      <c r="G27" s="24" t="str">
        <f aca="false">IF(E27&lt;=F27,"PASS","FAIL")</f>
        <v>PASS</v>
      </c>
      <c r="H27" s="41" t="s">
        <v>198</v>
      </c>
      <c r="I27" s="7"/>
    </row>
    <row r="28" customFormat="false" ht="15" hidden="false" customHeight="false" outlineLevel="0" collapsed="false">
      <c r="A28" s="7" t="s">
        <v>245</v>
      </c>
      <c r="B28" s="7" t="s">
        <v>246</v>
      </c>
      <c r="C28" s="31" t="n">
        <v>0</v>
      </c>
      <c r="D28" s="31" t="n">
        <v>2.77555756156289E-016</v>
      </c>
      <c r="E28" s="23" t="n">
        <f aca="false">ABS(C28-D28)</f>
        <v>2.77555756156289E-016</v>
      </c>
      <c r="F28" s="44" t="n">
        <v>1E-005</v>
      </c>
      <c r="G28" s="24" t="str">
        <f aca="false">IF(E28&lt;=F28,"PASS","FAIL")</f>
        <v>PASS</v>
      </c>
      <c r="H28" s="41" t="s">
        <v>198</v>
      </c>
      <c r="I28" s="7"/>
    </row>
    <row r="29" customFormat="false" ht="15" hidden="false" customHeight="false" outlineLevel="0" collapsed="false">
      <c r="A29" s="7" t="s">
        <v>247</v>
      </c>
      <c r="B29" s="7" t="s">
        <v>248</v>
      </c>
      <c r="C29" s="31" t="n">
        <v>7.83333333333333</v>
      </c>
      <c r="D29" s="31" t="n">
        <v>7.83333333333333</v>
      </c>
      <c r="E29" s="23" t="n">
        <f aca="false">ABS(C29-D29)</f>
        <v>0</v>
      </c>
      <c r="F29" s="44" t="n">
        <v>1E-012</v>
      </c>
      <c r="G29" s="24" t="str">
        <f aca="false">IF(E29&lt;=F29,"PASS","FAIL")</f>
        <v>PASS</v>
      </c>
      <c r="H29" s="41" t="s">
        <v>198</v>
      </c>
      <c r="I29" s="7"/>
    </row>
    <row r="30" customFormat="false" ht="15" hidden="false" customHeight="false" outlineLevel="0" collapsed="false">
      <c r="A30" s="7" t="s">
        <v>249</v>
      </c>
      <c r="B30" s="7" t="s">
        <v>250</v>
      </c>
      <c r="C30" s="31" t="n">
        <v>0.972222222222222</v>
      </c>
      <c r="D30" s="31" t="n">
        <v>0.972222222222222</v>
      </c>
      <c r="E30" s="23" t="n">
        <f aca="false">ABS(C30-D30)</f>
        <v>0</v>
      </c>
      <c r="F30" s="44" t="n">
        <v>1E-012</v>
      </c>
      <c r="G30" s="24" t="str">
        <f aca="false">IF(E30&lt;=F30,"PASS","FAIL")</f>
        <v>PASS</v>
      </c>
      <c r="H30" s="41" t="s">
        <v>198</v>
      </c>
      <c r="I30" s="7"/>
    </row>
    <row r="31" customFormat="false" ht="15" hidden="false" customHeight="false" outlineLevel="0" collapsed="false">
      <c r="A31" s="7" t="s">
        <v>251</v>
      </c>
      <c r="B31" s="7" t="s">
        <v>252</v>
      </c>
      <c r="C31" s="31" t="n">
        <v>7.83333333333333</v>
      </c>
      <c r="D31" s="31" t="n">
        <v>7.83333334203526</v>
      </c>
      <c r="E31" s="23" t="n">
        <f aca="false">ABS(C31-D31)</f>
        <v>8.70192540247672E-009</v>
      </c>
      <c r="F31" s="44" t="n">
        <v>0.0002</v>
      </c>
      <c r="G31" s="24" t="str">
        <f aca="false">IF(E31&lt;=F31,"PASS","FAIL")</f>
        <v>PASS</v>
      </c>
      <c r="H31" s="41" t="s">
        <v>198</v>
      </c>
      <c r="I31" s="7"/>
    </row>
    <row r="32" customFormat="false" ht="15" hidden="false" customHeight="false" outlineLevel="0" collapsed="false">
      <c r="A32" s="7" t="s">
        <v>253</v>
      </c>
      <c r="B32" s="7" t="s">
        <v>254</v>
      </c>
      <c r="C32" s="31" t="n">
        <v>0.972222222222222</v>
      </c>
      <c r="D32" s="31" t="n">
        <v>0.972222125123546</v>
      </c>
      <c r="E32" s="23" t="n">
        <f aca="false">ABS(C32-D32)</f>
        <v>9.70986764325943E-008</v>
      </c>
      <c r="F32" s="44" t="n">
        <v>0.002</v>
      </c>
      <c r="G32" s="24" t="str">
        <f aca="false">IF(E32&lt;=F32,"PASS","FAIL")</f>
        <v>PASS</v>
      </c>
      <c r="H32" s="41" t="s">
        <v>198</v>
      </c>
      <c r="I32" s="7"/>
    </row>
    <row r="33" customFormat="false" ht="15" hidden="false" customHeight="false" outlineLevel="0" collapsed="false">
      <c r="A33" s="7" t="s">
        <v>255</v>
      </c>
      <c r="B33" s="7" t="s">
        <v>256</v>
      </c>
      <c r="C33" s="31" t="n">
        <v>0</v>
      </c>
      <c r="D33" s="31" t="n">
        <v>1.33226762955019E-015</v>
      </c>
      <c r="E33" s="23" t="n">
        <f aca="false">ABS(C33-D33)</f>
        <v>1.33226762955019E-015</v>
      </c>
      <c r="F33" s="44" t="n">
        <v>1E-005</v>
      </c>
      <c r="G33" s="24" t="str">
        <f aca="false">IF(E33&lt;=F33,"PASS","FAIL")</f>
        <v>PASS</v>
      </c>
      <c r="H33" s="41" t="s">
        <v>198</v>
      </c>
      <c r="I33" s="7"/>
    </row>
    <row r="34" customFormat="false" ht="15" hidden="false" customHeight="false" outlineLevel="0" collapsed="false">
      <c r="A34" s="7" t="s">
        <v>257</v>
      </c>
      <c r="B34" s="7" t="s">
        <v>258</v>
      </c>
      <c r="C34" s="31" t="n">
        <v>4</v>
      </c>
      <c r="D34" s="31" t="n">
        <v>4</v>
      </c>
      <c r="E34" s="23" t="n">
        <f aca="false">ABS(C34-D34)</f>
        <v>0</v>
      </c>
      <c r="F34" s="44" t="n">
        <v>1E-012</v>
      </c>
      <c r="G34" s="24" t="str">
        <f aca="false">IF(E34&lt;=F34,"PASS","FAIL")</f>
        <v>PASS</v>
      </c>
      <c r="H34" s="41" t="s">
        <v>198</v>
      </c>
      <c r="I34" s="7"/>
    </row>
    <row r="35" customFormat="false" ht="15" hidden="false" customHeight="false" outlineLevel="0" collapsed="false">
      <c r="A35" s="7" t="s">
        <v>259</v>
      </c>
      <c r="B35" s="7" t="s">
        <v>260</v>
      </c>
      <c r="C35" s="31" t="n">
        <v>2.16666666666667</v>
      </c>
      <c r="D35" s="31" t="n">
        <v>2.16666666666667</v>
      </c>
      <c r="E35" s="23" t="n">
        <f aca="false">ABS(C35-D35)</f>
        <v>0</v>
      </c>
      <c r="F35" s="44" t="n">
        <v>1E-012</v>
      </c>
      <c r="G35" s="24" t="str">
        <f aca="false">IF(E35&lt;=F35,"PASS","FAIL")</f>
        <v>PASS</v>
      </c>
      <c r="H35" s="41" t="s">
        <v>198</v>
      </c>
      <c r="I35" s="7"/>
    </row>
    <row r="36" customFormat="false" ht="15" hidden="false" customHeight="false" outlineLevel="0" collapsed="false">
      <c r="A36" s="7" t="s">
        <v>261</v>
      </c>
      <c r="B36" s="7" t="s">
        <v>262</v>
      </c>
      <c r="C36" s="31" t="n">
        <v>4</v>
      </c>
      <c r="D36" s="31" t="n">
        <v>3.99999999995319</v>
      </c>
      <c r="E36" s="23" t="n">
        <f aca="false">ABS(C36-D36)</f>
        <v>4.6808779075036E-011</v>
      </c>
      <c r="F36" s="44" t="n">
        <v>0.0002</v>
      </c>
      <c r="G36" s="24" t="str">
        <f aca="false">IF(E36&lt;=F36,"PASS","FAIL")</f>
        <v>PASS</v>
      </c>
      <c r="H36" s="41" t="s">
        <v>198</v>
      </c>
      <c r="I36" s="7"/>
    </row>
    <row r="37" customFormat="false" ht="15" hidden="false" customHeight="false" outlineLevel="0" collapsed="false">
      <c r="A37" s="7" t="s">
        <v>263</v>
      </c>
      <c r="B37" s="7" t="s">
        <v>264</v>
      </c>
      <c r="C37" s="31" t="n">
        <v>2.16666666666667</v>
      </c>
      <c r="D37" s="31" t="n">
        <v>2.16666666516503</v>
      </c>
      <c r="E37" s="23" t="n">
        <f aca="false">ABS(C37-D37)</f>
        <v>1.50163614875964E-009</v>
      </c>
      <c r="F37" s="44" t="n">
        <v>0.00433333333333333</v>
      </c>
      <c r="G37" s="24" t="str">
        <f aca="false">IF(E37&lt;=F37,"PASS","FAIL")</f>
        <v>PASS</v>
      </c>
      <c r="H37" s="41" t="s">
        <v>198</v>
      </c>
      <c r="I37" s="7"/>
    </row>
    <row r="38" customFormat="false" ht="15" hidden="false" customHeight="false" outlineLevel="0" collapsed="false">
      <c r="A38" s="7" t="s">
        <v>265</v>
      </c>
      <c r="B38" s="7" t="s">
        <v>266</v>
      </c>
      <c r="C38" s="31" t="n">
        <v>0</v>
      </c>
      <c r="D38" s="31" t="n">
        <v>2.77555756156289E-016</v>
      </c>
      <c r="E38" s="23" t="n">
        <f aca="false">ABS(C38-D38)</f>
        <v>2.77555756156289E-016</v>
      </c>
      <c r="F38" s="44" t="n">
        <v>1E-005</v>
      </c>
      <c r="G38" s="24" t="str">
        <f aca="false">IF(E38&lt;=F38,"PASS","FAIL")</f>
        <v>PASS</v>
      </c>
      <c r="H38" s="41" t="s">
        <v>198</v>
      </c>
      <c r="I38" s="7"/>
    </row>
    <row r="39" customFormat="false" ht="15" hidden="false" customHeight="false" outlineLevel="0" collapsed="false">
      <c r="A39" s="7" t="s">
        <v>267</v>
      </c>
      <c r="B39" s="7" t="s">
        <v>268</v>
      </c>
      <c r="C39" s="31" t="n">
        <v>1.33333333333333</v>
      </c>
      <c r="D39" s="31" t="n">
        <v>1.33333333333333</v>
      </c>
      <c r="E39" s="23" t="n">
        <f aca="false">ABS(C39-D39)</f>
        <v>0</v>
      </c>
      <c r="F39" s="44" t="n">
        <v>1E-012</v>
      </c>
      <c r="G39" s="24" t="str">
        <f aca="false">IF(E39&lt;=F39,"PASS","FAIL")</f>
        <v>PASS</v>
      </c>
      <c r="H39" s="41" t="s">
        <v>198</v>
      </c>
      <c r="I39" s="7"/>
    </row>
    <row r="40" customFormat="false" ht="15" hidden="false" customHeight="false" outlineLevel="0" collapsed="false">
      <c r="A40" s="7" t="s">
        <v>269</v>
      </c>
      <c r="B40" s="7" t="s">
        <v>270</v>
      </c>
      <c r="C40" s="31" t="n">
        <v>0.888888888888889</v>
      </c>
      <c r="D40" s="31" t="n">
        <v>0.888888888888889</v>
      </c>
      <c r="E40" s="23" t="n">
        <f aca="false">ABS(C40-D40)</f>
        <v>0</v>
      </c>
      <c r="F40" s="44" t="n">
        <v>1E-012</v>
      </c>
      <c r="G40" s="24" t="str">
        <f aca="false">IF(E40&lt;=F40,"PASS","FAIL")</f>
        <v>PASS</v>
      </c>
      <c r="H40" s="41" t="s">
        <v>198</v>
      </c>
      <c r="I40" s="7"/>
    </row>
    <row r="41" customFormat="false" ht="15" hidden="false" customHeight="false" outlineLevel="0" collapsed="false">
      <c r="A41" s="7" t="s">
        <v>271</v>
      </c>
      <c r="B41" s="7" t="s">
        <v>272</v>
      </c>
      <c r="C41" s="31" t="n">
        <v>1.33333333333333</v>
      </c>
      <c r="D41" s="31" t="n">
        <v>1.33333333324725</v>
      </c>
      <c r="E41" s="23" t="n">
        <f aca="false">ABS(C41-D41)</f>
        <v>8.60880255970642E-011</v>
      </c>
      <c r="F41" s="44" t="n">
        <v>0.0002</v>
      </c>
      <c r="G41" s="24" t="str">
        <f aca="false">IF(E41&lt;=F41,"PASS","FAIL")</f>
        <v>PASS</v>
      </c>
      <c r="H41" s="41" t="s">
        <v>198</v>
      </c>
      <c r="I41" s="7"/>
    </row>
    <row r="42" customFormat="false" ht="15" hidden="false" customHeight="false" outlineLevel="0" collapsed="false">
      <c r="A42" s="7" t="s">
        <v>273</v>
      </c>
      <c r="B42" s="7" t="s">
        <v>274</v>
      </c>
      <c r="C42" s="31" t="n">
        <v>0.888888888888889</v>
      </c>
      <c r="D42" s="31" t="n">
        <v>0.88888888842975</v>
      </c>
      <c r="E42" s="23" t="n">
        <f aca="false">ABS(C42-D42)</f>
        <v>4.59138504993462E-010</v>
      </c>
      <c r="F42" s="44" t="n">
        <v>0.002</v>
      </c>
      <c r="G42" s="24" t="str">
        <f aca="false">IF(E42&lt;=F42,"PASS","FAIL")</f>
        <v>PASS</v>
      </c>
      <c r="H42" s="41" t="s">
        <v>198</v>
      </c>
      <c r="I42" s="7"/>
    </row>
    <row r="43" customFormat="false" ht="15" hidden="false" customHeight="false" outlineLevel="0" collapsed="false">
      <c r="A43" s="7" t="s">
        <v>275</v>
      </c>
      <c r="B43" s="7" t="s">
        <v>276</v>
      </c>
      <c r="C43" s="31" t="n">
        <v>0</v>
      </c>
      <c r="D43" s="31" t="n">
        <v>1.66533453693774E-016</v>
      </c>
      <c r="E43" s="23" t="n">
        <f aca="false">ABS(C43-D43)</f>
        <v>1.66533453693774E-016</v>
      </c>
      <c r="F43" s="44" t="n">
        <v>1E-005</v>
      </c>
      <c r="G43" s="24" t="str">
        <f aca="false">IF(E43&lt;=F43,"PASS","FAIL")</f>
        <v>PASS</v>
      </c>
      <c r="H43" s="41" t="s">
        <v>198</v>
      </c>
      <c r="I43" s="7"/>
    </row>
    <row r="44" customFormat="false" ht="15" hidden="false" customHeight="false" outlineLevel="0" collapsed="false">
      <c r="A44" s="7" t="s">
        <v>277</v>
      </c>
      <c r="B44" s="7" t="s">
        <v>278</v>
      </c>
      <c r="C44" s="31" t="n">
        <v>6</v>
      </c>
      <c r="D44" s="31" t="n">
        <v>6</v>
      </c>
      <c r="E44" s="23" t="n">
        <f aca="false">ABS(C44-D44)</f>
        <v>0</v>
      </c>
      <c r="F44" s="44" t="n">
        <v>1E-012</v>
      </c>
      <c r="G44" s="24" t="str">
        <f aca="false">IF(E44&lt;=F44,"PASS","FAIL")</f>
        <v>PASS</v>
      </c>
      <c r="H44" s="41" t="s">
        <v>198</v>
      </c>
      <c r="I44" s="7"/>
    </row>
    <row r="45" customFormat="false" ht="15" hidden="false" customHeight="false" outlineLevel="0" collapsed="false">
      <c r="A45" s="7" t="s">
        <v>279</v>
      </c>
      <c r="B45" s="7" t="s">
        <v>280</v>
      </c>
      <c r="C45" s="31" t="n">
        <v>5.33333333333333</v>
      </c>
      <c r="D45" s="31" t="n">
        <v>5.33333333333333</v>
      </c>
      <c r="E45" s="23" t="n">
        <f aca="false">ABS(C45-D45)</f>
        <v>0</v>
      </c>
      <c r="F45" s="44" t="n">
        <v>1E-012</v>
      </c>
      <c r="G45" s="24" t="str">
        <f aca="false">IF(E45&lt;=F45,"PASS","FAIL")</f>
        <v>PASS</v>
      </c>
      <c r="H45" s="41" t="s">
        <v>198</v>
      </c>
      <c r="I45" s="7"/>
    </row>
    <row r="46" customFormat="false" ht="15" hidden="false" customHeight="false" outlineLevel="0" collapsed="false">
      <c r="A46" s="7" t="s">
        <v>281</v>
      </c>
      <c r="B46" s="7" t="s">
        <v>282</v>
      </c>
      <c r="C46" s="31" t="n">
        <v>6</v>
      </c>
      <c r="D46" s="31" t="n">
        <v>6</v>
      </c>
      <c r="E46" s="23" t="n">
        <f aca="false">ABS(C46-D46)</f>
        <v>0</v>
      </c>
      <c r="F46" s="44" t="n">
        <v>0.0002</v>
      </c>
      <c r="G46" s="24" t="str">
        <f aca="false">IF(E46&lt;=F46,"PASS","FAIL")</f>
        <v>PASS</v>
      </c>
      <c r="H46" s="41" t="s">
        <v>198</v>
      </c>
      <c r="I46" s="7"/>
    </row>
    <row r="47" customFormat="false" ht="15" hidden="false" customHeight="false" outlineLevel="0" collapsed="false">
      <c r="A47" s="7" t="s">
        <v>283</v>
      </c>
      <c r="B47" s="7" t="s">
        <v>284</v>
      </c>
      <c r="C47" s="31" t="n">
        <v>5.33333333333333</v>
      </c>
      <c r="D47" s="31" t="n">
        <v>5.333333333332</v>
      </c>
      <c r="E47" s="23" t="n">
        <f aca="false">ABS(C47-D47)</f>
        <v>1.33315580796989E-012</v>
      </c>
      <c r="F47" s="44" t="n">
        <v>0.0106666666666667</v>
      </c>
      <c r="G47" s="24" t="str">
        <f aca="false">IF(E47&lt;=F47,"PASS","FAIL")</f>
        <v>PASS</v>
      </c>
      <c r="H47" s="41" t="s">
        <v>198</v>
      </c>
      <c r="I47" s="7"/>
    </row>
    <row r="48" customFormat="false" ht="15" hidden="false" customHeight="false" outlineLevel="0" collapsed="false">
      <c r="A48" s="7" t="s">
        <v>285</v>
      </c>
      <c r="B48" s="7" t="s">
        <v>286</v>
      </c>
      <c r="C48" s="31" t="n">
        <v>0</v>
      </c>
      <c r="D48" s="31" t="n">
        <v>1.11022302462516E-016</v>
      </c>
      <c r="E48" s="23" t="n">
        <f aca="false">ABS(C48-D48)</f>
        <v>1.11022302462516E-016</v>
      </c>
      <c r="F48" s="44" t="n">
        <v>1E-005</v>
      </c>
      <c r="G48" s="24" t="str">
        <f aca="false">IF(E48&lt;=F48,"PASS","FAIL")</f>
        <v>PASS</v>
      </c>
      <c r="H48" s="41" t="s">
        <v>198</v>
      </c>
      <c r="I48" s="7"/>
    </row>
    <row r="49" customFormat="false" ht="15" hidden="false" customHeight="false" outlineLevel="0" collapsed="false">
      <c r="A49" s="7" t="s">
        <v>287</v>
      </c>
      <c r="B49" s="7" t="s">
        <v>288</v>
      </c>
      <c r="C49" s="31" t="n">
        <v>4</v>
      </c>
      <c r="D49" s="31" t="n">
        <v>4</v>
      </c>
      <c r="E49" s="23" t="n">
        <f aca="false">ABS(C49-D49)</f>
        <v>0</v>
      </c>
      <c r="F49" s="44" t="n">
        <v>1E-012</v>
      </c>
      <c r="G49" s="24" t="str">
        <f aca="false">IF(E49&lt;=F49,"PASS","FAIL")</f>
        <v>PASS</v>
      </c>
      <c r="H49" s="41" t="s">
        <v>198</v>
      </c>
      <c r="I49" s="7"/>
    </row>
    <row r="50" customFormat="false" ht="15" hidden="false" customHeight="false" outlineLevel="0" collapsed="false">
      <c r="A50" s="7" t="s">
        <v>289</v>
      </c>
      <c r="B50" s="7" t="s">
        <v>290</v>
      </c>
      <c r="C50" s="31" t="n">
        <v>0</v>
      </c>
      <c r="D50" s="31" t="n">
        <v>0</v>
      </c>
      <c r="E50" s="23" t="n">
        <f aca="false">ABS(C50-D50)</f>
        <v>0</v>
      </c>
      <c r="F50" s="44" t="n">
        <v>1E-012</v>
      </c>
      <c r="G50" s="24" t="str">
        <f aca="false">IF(E50&lt;=F50,"PASS","FAIL")</f>
        <v>PASS</v>
      </c>
      <c r="H50" s="41" t="s">
        <v>198</v>
      </c>
      <c r="I50" s="7"/>
    </row>
    <row r="51" customFormat="false" ht="15" hidden="false" customHeight="false" outlineLevel="0" collapsed="false">
      <c r="A51" s="7" t="s">
        <v>291</v>
      </c>
      <c r="B51" s="7" t="s">
        <v>292</v>
      </c>
      <c r="C51" s="31" t="n">
        <v>4</v>
      </c>
      <c r="D51" s="31" t="n">
        <v>4</v>
      </c>
      <c r="E51" s="23" t="n">
        <f aca="false">ABS(C51-D51)</f>
        <v>0</v>
      </c>
      <c r="F51" s="44" t="n">
        <v>0.0002</v>
      </c>
      <c r="G51" s="24" t="str">
        <f aca="false">IF(E51&lt;=F51,"PASS","FAIL")</f>
        <v>PASS</v>
      </c>
      <c r="H51" s="41" t="s">
        <v>198</v>
      </c>
      <c r="I51" s="7"/>
    </row>
    <row r="52" customFormat="false" ht="15" hidden="false" customHeight="false" outlineLevel="0" collapsed="false">
      <c r="A52" s="7" t="s">
        <v>293</v>
      </c>
      <c r="B52" s="7" t="s">
        <v>294</v>
      </c>
      <c r="C52" s="31" t="n">
        <v>0</v>
      </c>
      <c r="D52" s="31" t="n">
        <v>0</v>
      </c>
      <c r="E52" s="23" t="n">
        <f aca="false">ABS(C52-D52)</f>
        <v>0</v>
      </c>
      <c r="F52" s="44" t="n">
        <v>0.002</v>
      </c>
      <c r="G52" s="24" t="str">
        <f aca="false">IF(E52&lt;=F52,"PASS","FAIL")</f>
        <v>PASS</v>
      </c>
      <c r="H52" s="41" t="s">
        <v>198</v>
      </c>
      <c r="I52" s="7"/>
    </row>
    <row r="53" customFormat="false" ht="15" hidden="false" customHeight="false" outlineLevel="0" collapsed="false">
      <c r="A53" s="7" t="s">
        <v>295</v>
      </c>
      <c r="B53" s="7" t="s">
        <v>296</v>
      </c>
      <c r="C53" s="31" t="n">
        <v>0</v>
      </c>
      <c r="D53" s="31" t="n">
        <v>0</v>
      </c>
      <c r="E53" s="23" t="n">
        <f aca="false">ABS(C53-D53)</f>
        <v>0</v>
      </c>
      <c r="F53" s="44" t="n">
        <v>1E-005</v>
      </c>
      <c r="G53" s="24" t="str">
        <f aca="false">IF(E53&lt;=F53,"PASS","FAIL")</f>
        <v>PASS</v>
      </c>
      <c r="H53" s="41" t="s">
        <v>198</v>
      </c>
      <c r="I53" s="7"/>
    </row>
    <row r="54" customFormat="false" ht="15" hidden="false" customHeight="false" outlineLevel="0" collapsed="false">
      <c r="A54" s="7" t="s">
        <v>297</v>
      </c>
      <c r="B54" s="7" t="s">
        <v>298</v>
      </c>
      <c r="C54" s="31" t="n">
        <v>3.5</v>
      </c>
      <c r="D54" s="31" t="n">
        <v>3.5</v>
      </c>
      <c r="E54" s="23" t="n">
        <f aca="false">ABS(C54-D54)</f>
        <v>0</v>
      </c>
      <c r="F54" s="44" t="n">
        <v>1E-012</v>
      </c>
      <c r="G54" s="24" t="str">
        <f aca="false">IF(E54&lt;=F54,"PASS","FAIL")</f>
        <v>PASS</v>
      </c>
      <c r="H54" s="41" t="s">
        <v>198</v>
      </c>
      <c r="I54" s="7"/>
    </row>
    <row r="55" customFormat="false" ht="15" hidden="false" customHeight="false" outlineLevel="0" collapsed="false">
      <c r="A55" s="7" t="s">
        <v>299</v>
      </c>
      <c r="B55" s="7" t="s">
        <v>300</v>
      </c>
      <c r="C55" s="31" t="n">
        <v>14000</v>
      </c>
      <c r="D55" s="31" t="n">
        <v>14000</v>
      </c>
      <c r="E55" s="23" t="n">
        <f aca="false">ABS(C55-D55)</f>
        <v>0</v>
      </c>
      <c r="F55" s="44" t="n">
        <v>1E-006</v>
      </c>
      <c r="G55" s="24" t="str">
        <f aca="false">IF(E55&lt;=F55,"PASS","FAIL")</f>
        <v>PASS</v>
      </c>
      <c r="H55" s="41" t="s">
        <v>198</v>
      </c>
      <c r="I55" s="7"/>
    </row>
    <row r="56" customFormat="false" ht="15" hidden="false" customHeight="false" outlineLevel="0" collapsed="false">
      <c r="A56" s="7" t="s">
        <v>301</v>
      </c>
      <c r="B56" s="7" t="s">
        <v>302</v>
      </c>
      <c r="C56" s="31" t="n">
        <v>2.5</v>
      </c>
      <c r="D56" s="31" t="n">
        <v>2.5</v>
      </c>
      <c r="E56" s="23" t="n">
        <f aca="false">ABS(C56-D56)</f>
        <v>0</v>
      </c>
      <c r="F56" s="44" t="n">
        <v>1E-012</v>
      </c>
      <c r="G56" s="24" t="str">
        <f aca="false">IF(E56&lt;=F56,"PASS","FAIL")</f>
        <v>PASS</v>
      </c>
      <c r="H56" s="41" t="s">
        <v>198</v>
      </c>
      <c r="I56" s="7"/>
    </row>
    <row r="57" customFormat="false" ht="15" hidden="false" customHeight="false" outlineLevel="0" collapsed="false">
      <c r="A57" s="7" t="s">
        <v>303</v>
      </c>
      <c r="B57" s="7" t="s">
        <v>304</v>
      </c>
      <c r="C57" s="31" t="n">
        <v>7000</v>
      </c>
      <c r="D57" s="31" t="n">
        <v>7000</v>
      </c>
      <c r="E57" s="23" t="n">
        <f aca="false">ABS(C57-D57)</f>
        <v>0</v>
      </c>
      <c r="F57" s="44" t="n">
        <v>1E-006</v>
      </c>
      <c r="G57" s="24" t="str">
        <f aca="false">IF(E57&lt;=F57,"PASS","FAIL")</f>
        <v>PASS</v>
      </c>
      <c r="H57" s="41" t="s">
        <v>198</v>
      </c>
      <c r="I57" s="7"/>
    </row>
    <row r="58" customFormat="false" ht="15" hidden="false" customHeight="false" outlineLevel="0" collapsed="false">
      <c r="A58" s="7" t="s">
        <v>305</v>
      </c>
      <c r="B58" s="7" t="s">
        <v>306</v>
      </c>
      <c r="C58" s="31" t="n">
        <v>2.33333333333333</v>
      </c>
      <c r="D58" s="31" t="n">
        <v>2.33333333333333</v>
      </c>
      <c r="E58" s="23" t="n">
        <f aca="false">ABS(C58-D58)</f>
        <v>0</v>
      </c>
      <c r="F58" s="44" t="n">
        <v>1E-012</v>
      </c>
      <c r="G58" s="24" t="str">
        <f aca="false">IF(E58&lt;=F58,"PASS","FAIL")</f>
        <v>PASS</v>
      </c>
      <c r="H58" s="41" t="s">
        <v>198</v>
      </c>
      <c r="I58" s="7"/>
    </row>
    <row r="59" customFormat="false" ht="15" hidden="false" customHeight="false" outlineLevel="0" collapsed="false">
      <c r="A59" s="7" t="s">
        <v>307</v>
      </c>
      <c r="B59" s="7" t="s">
        <v>308</v>
      </c>
      <c r="C59" s="31" t="n">
        <v>4666.66666666667</v>
      </c>
      <c r="D59" s="31" t="n">
        <v>4666.66666666667</v>
      </c>
      <c r="E59" s="23" t="n">
        <f aca="false">ABS(C59-D59)</f>
        <v>0</v>
      </c>
      <c r="F59" s="44" t="n">
        <v>1E-006</v>
      </c>
      <c r="G59" s="24" t="str">
        <f aca="false">IF(E59&lt;=F59,"PASS","FAIL")</f>
        <v>PASS</v>
      </c>
      <c r="H59" s="41" t="s">
        <v>198</v>
      </c>
      <c r="I59" s="7"/>
    </row>
    <row r="60" customFormat="false" ht="15" hidden="false" customHeight="false" outlineLevel="0" collapsed="false">
      <c r="A60" s="7" t="s">
        <v>309</v>
      </c>
      <c r="B60" s="7" t="s">
        <v>310</v>
      </c>
      <c r="C60" s="31" t="n">
        <v>2.66666666666667</v>
      </c>
      <c r="D60" s="31" t="n">
        <v>2.66666666666667</v>
      </c>
      <c r="E60" s="23" t="n">
        <f aca="false">ABS(C60-D60)</f>
        <v>0</v>
      </c>
      <c r="F60" s="44" t="n">
        <v>1E-012</v>
      </c>
      <c r="G60" s="24" t="str">
        <f aca="false">IF(E60&lt;=F60,"PASS","FAIL")</f>
        <v>PASS</v>
      </c>
      <c r="H60" s="41" t="s">
        <v>198</v>
      </c>
      <c r="I60" s="7"/>
    </row>
    <row r="61" customFormat="false" ht="15" hidden="false" customHeight="false" outlineLevel="0" collapsed="false">
      <c r="A61" s="7" t="s">
        <v>311</v>
      </c>
      <c r="B61" s="7" t="s">
        <v>312</v>
      </c>
      <c r="C61" s="31" t="n">
        <v>4266.66666666667</v>
      </c>
      <c r="D61" s="31" t="n">
        <v>4266.66666666667</v>
      </c>
      <c r="E61" s="23" t="n">
        <f aca="false">ABS(C61-D61)</f>
        <v>0</v>
      </c>
      <c r="F61" s="44" t="n">
        <v>1E-006</v>
      </c>
      <c r="G61" s="24" t="str">
        <f aca="false">IF(E61&lt;=F61,"PASS","FAIL")</f>
        <v>PASS</v>
      </c>
      <c r="H61" s="41" t="s">
        <v>198</v>
      </c>
      <c r="I61" s="7"/>
    </row>
    <row r="62" customFormat="false" ht="15" hidden="false" customHeight="false" outlineLevel="0" collapsed="false">
      <c r="A62" s="7" t="s">
        <v>313</v>
      </c>
      <c r="B62" s="7" t="s">
        <v>314</v>
      </c>
      <c r="C62" s="31" t="n">
        <v>1.33333333333333</v>
      </c>
      <c r="D62" s="31" t="n">
        <v>1.33333333333333</v>
      </c>
      <c r="E62" s="23" t="n">
        <f aca="false">ABS(C62-D62)</f>
        <v>0</v>
      </c>
      <c r="F62" s="44" t="n">
        <v>1E-012</v>
      </c>
      <c r="G62" s="24" t="str">
        <f aca="false">IF(E62&lt;=F62,"PASS","FAIL")</f>
        <v>PASS</v>
      </c>
      <c r="H62" s="41" t="s">
        <v>198</v>
      </c>
      <c r="I62" s="7"/>
    </row>
    <row r="63" customFormat="false" ht="15" hidden="false" customHeight="false" outlineLevel="0" collapsed="false">
      <c r="A63" s="7" t="s">
        <v>315</v>
      </c>
      <c r="B63" s="7" t="s">
        <v>316</v>
      </c>
      <c r="C63" s="31" t="n">
        <v>1066.66666666667</v>
      </c>
      <c r="D63" s="31" t="n">
        <v>1066.66666666667</v>
      </c>
      <c r="E63" s="23" t="n">
        <f aca="false">ABS(C63-D63)</f>
        <v>0</v>
      </c>
      <c r="F63" s="44" t="n">
        <v>1E-006</v>
      </c>
      <c r="G63" s="24" t="str">
        <f aca="false">IF(E63&lt;=F63,"PASS","FAIL")</f>
        <v>PASS</v>
      </c>
      <c r="H63" s="41" t="s">
        <v>198</v>
      </c>
      <c r="I63" s="7"/>
    </row>
    <row r="64" customFormat="false" ht="15" hidden="false" customHeight="false" outlineLevel="0" collapsed="false">
      <c r="A64" s="7" t="s">
        <v>317</v>
      </c>
      <c r="B64" s="7" t="s">
        <v>318</v>
      </c>
      <c r="C64" s="31" t="n">
        <v>2.5</v>
      </c>
      <c r="D64" s="31" t="n">
        <v>2.5</v>
      </c>
      <c r="E64" s="23" t="n">
        <f aca="false">ABS(C64-D64)</f>
        <v>0</v>
      </c>
      <c r="F64" s="44" t="n">
        <v>1E-012</v>
      </c>
      <c r="G64" s="24" t="str">
        <f aca="false">IF(E64&lt;=F64,"PASS","FAIL")</f>
        <v>PASS</v>
      </c>
      <c r="H64" s="41" t="s">
        <v>198</v>
      </c>
      <c r="I64" s="7"/>
    </row>
    <row r="65" customFormat="false" ht="15" hidden="false" customHeight="false" outlineLevel="0" collapsed="false">
      <c r="A65" s="7" t="s">
        <v>319</v>
      </c>
      <c r="B65" s="7" t="s">
        <v>320</v>
      </c>
      <c r="C65" s="31" t="n">
        <v>6000</v>
      </c>
      <c r="D65" s="31" t="n">
        <v>6000</v>
      </c>
      <c r="E65" s="23" t="n">
        <f aca="false">ABS(C65-D65)</f>
        <v>0</v>
      </c>
      <c r="F65" s="44" t="n">
        <v>1E-006</v>
      </c>
      <c r="G65" s="24" t="str">
        <f aca="false">IF(E65&lt;=F65,"PASS","FAIL")</f>
        <v>PASS</v>
      </c>
      <c r="H65" s="41" t="s">
        <v>198</v>
      </c>
      <c r="I65" s="7"/>
    </row>
    <row r="66" customFormat="false" ht="15" hidden="false" customHeight="false" outlineLevel="0" collapsed="false">
      <c r="A66" s="7" t="s">
        <v>321</v>
      </c>
      <c r="B66" s="7" t="s">
        <v>322</v>
      </c>
      <c r="C66" s="31" t="n">
        <v>2.33333333333333</v>
      </c>
      <c r="D66" s="31" t="n">
        <v>2.33333333333333</v>
      </c>
      <c r="E66" s="23" t="n">
        <f aca="false">ABS(C66-D66)</f>
        <v>0</v>
      </c>
      <c r="F66" s="44" t="n">
        <v>1E-012</v>
      </c>
      <c r="G66" s="24" t="str">
        <f aca="false">IF(E66&lt;=F66,"PASS","FAIL")</f>
        <v>PASS</v>
      </c>
      <c r="H66" s="41" t="s">
        <v>198</v>
      </c>
      <c r="I66" s="7"/>
    </row>
    <row r="67" customFormat="false" ht="15" hidden="false" customHeight="false" outlineLevel="0" collapsed="false">
      <c r="A67" s="7" t="s">
        <v>323</v>
      </c>
      <c r="B67" s="7" t="s">
        <v>324</v>
      </c>
      <c r="C67" s="31" t="n">
        <v>4106.66666666667</v>
      </c>
      <c r="D67" s="31" t="n">
        <v>4106.66666666667</v>
      </c>
      <c r="E67" s="23" t="n">
        <f aca="false">ABS(C67-D67)</f>
        <v>0</v>
      </c>
      <c r="F67" s="44" t="n">
        <v>1E-006</v>
      </c>
      <c r="G67" s="24" t="str">
        <f aca="false">IF(E67&lt;=F67,"PASS","FAIL")</f>
        <v>PASS</v>
      </c>
      <c r="H67" s="41" t="s">
        <v>198</v>
      </c>
      <c r="I67" s="7"/>
    </row>
    <row r="68" customFormat="false" ht="15" hidden="false" customHeight="false" outlineLevel="0" collapsed="false">
      <c r="A68" s="7" t="s">
        <v>325</v>
      </c>
      <c r="B68" s="7" t="s">
        <v>326</v>
      </c>
      <c r="C68" s="31" t="n">
        <v>5.13833333333333</v>
      </c>
      <c r="D68" s="31" t="n">
        <v>5.13833333333333</v>
      </c>
      <c r="E68" s="23" t="n">
        <f aca="false">ABS(C68-D68)</f>
        <v>0</v>
      </c>
      <c r="F68" s="44" t="n">
        <v>1E-012</v>
      </c>
      <c r="G68" s="24" t="str">
        <f aca="false">IF(E68&lt;=F68,"PASS","FAIL")</f>
        <v>PASS</v>
      </c>
      <c r="H68" s="41" t="s">
        <v>198</v>
      </c>
      <c r="I68" s="7"/>
    </row>
    <row r="69" customFormat="false" ht="15" hidden="false" customHeight="false" outlineLevel="0" collapsed="false">
      <c r="A69" s="7" t="s">
        <v>327</v>
      </c>
      <c r="B69" s="7" t="s">
        <v>328</v>
      </c>
      <c r="C69" s="31" t="n">
        <v>10.7938400793651</v>
      </c>
      <c r="D69" s="31" t="n">
        <v>10.7938400793651</v>
      </c>
      <c r="E69" s="23" t="n">
        <f aca="false">ABS(C69-D69)</f>
        <v>0</v>
      </c>
      <c r="F69" s="44" t="n">
        <v>1E-012</v>
      </c>
      <c r="G69" s="24" t="str">
        <f aca="false">IF(E69&lt;=F69,"PASS","FAIL")</f>
        <v>PASS</v>
      </c>
      <c r="H69" s="41" t="s">
        <v>198</v>
      </c>
      <c r="I69" s="7"/>
    </row>
    <row r="70" customFormat="false" ht="15" hidden="false" customHeight="false" outlineLevel="0" collapsed="false">
      <c r="A70" s="7" t="s">
        <v>329</v>
      </c>
      <c r="B70" s="7" t="s">
        <v>330</v>
      </c>
      <c r="C70" s="31" t="n">
        <v>41106.6666666667</v>
      </c>
      <c r="D70" s="31" t="n">
        <v>41106.6666666667</v>
      </c>
      <c r="E70" s="23" t="n">
        <f aca="false">ABS(C70-D70)</f>
        <v>0</v>
      </c>
      <c r="F70" s="44" t="n">
        <v>1E-006</v>
      </c>
      <c r="G70" s="24" t="str">
        <f aca="false">IF(E70&lt;=F70,"PASS","FAIL")</f>
        <v>PASS</v>
      </c>
      <c r="H70" s="41" t="s">
        <v>198</v>
      </c>
      <c r="I70" s="7"/>
    </row>
    <row r="71" customFormat="false" ht="15" hidden="false" customHeight="false" outlineLevel="0" collapsed="false">
      <c r="A71" s="7" t="s">
        <v>331</v>
      </c>
      <c r="B71" s="7" t="s">
        <v>332</v>
      </c>
      <c r="C71" s="31" t="n">
        <v>5.13833333333333</v>
      </c>
      <c r="D71" s="31" t="n">
        <v>5.1383330716613</v>
      </c>
      <c r="E71" s="23" t="n">
        <f aca="false">ABS(C71-D71)</f>
        <v>2.61672037815686E-007</v>
      </c>
      <c r="F71" s="44" t="n">
        <v>0.002</v>
      </c>
      <c r="G71" s="24" t="str">
        <f aca="false">IF(E71&lt;=F71,"PASS","FAIL")</f>
        <v>PASS</v>
      </c>
      <c r="H71" s="41" t="s">
        <v>198</v>
      </c>
      <c r="I71" s="7"/>
    </row>
    <row r="72" customFormat="false" ht="15" hidden="false" customHeight="false" outlineLevel="0" collapsed="false">
      <c r="A72" s="7" t="s">
        <v>333</v>
      </c>
      <c r="B72" s="7" t="s">
        <v>334</v>
      </c>
      <c r="C72" s="31" t="n">
        <v>10.7938400793651</v>
      </c>
      <c r="D72" s="31" t="n">
        <v>10.7938436271519</v>
      </c>
      <c r="E72" s="23" t="n">
        <f aca="false">ABS(C72-D72)</f>
        <v>3.54778679145795E-006</v>
      </c>
      <c r="F72" s="44" t="n">
        <v>0.02</v>
      </c>
      <c r="G72" s="24" t="str">
        <f aca="false">IF(E72&lt;=F72,"PASS","FAIL")</f>
        <v>PASS</v>
      </c>
      <c r="H72" s="41" t="s">
        <v>198</v>
      </c>
      <c r="I72" s="7"/>
    </row>
    <row r="73" customFormat="false" ht="15" hidden="false" customHeight="false" outlineLevel="0" collapsed="false">
      <c r="A73" s="7" t="s">
        <v>335</v>
      </c>
      <c r="B73" s="7" t="s">
        <v>336</v>
      </c>
      <c r="C73" s="31" t="n">
        <v>0.095823</v>
      </c>
      <c r="D73" s="31" t="n">
        <v>0.0958229999999999</v>
      </c>
      <c r="E73" s="23" t="n">
        <f aca="false">ABS(C73-D73)</f>
        <v>0</v>
      </c>
      <c r="F73" s="44" t="n">
        <v>0.0005</v>
      </c>
      <c r="G73" s="24" t="str">
        <f aca="false">IF(E73&lt;=F73,"PASS","FAIL")</f>
        <v>PASS</v>
      </c>
      <c r="H73" s="41" t="s">
        <v>198</v>
      </c>
      <c r="I73" s="7" t="s">
        <v>337</v>
      </c>
    </row>
    <row r="74" customFormat="false" ht="15" hidden="false" customHeight="false" outlineLevel="0" collapsed="false">
      <c r="A74" s="7" t="s">
        <v>338</v>
      </c>
      <c r="B74" s="7" t="s">
        <v>339</v>
      </c>
      <c r="C74" s="31" t="n">
        <v>50792.7374689168</v>
      </c>
      <c r="D74" s="31" t="n">
        <v>50821.0481403647</v>
      </c>
      <c r="E74" s="23" t="n">
        <f aca="false">ABS(C74-D74)</f>
        <v>28.3106714479654</v>
      </c>
      <c r="F74" s="44" t="n">
        <v>1547.03750247093</v>
      </c>
      <c r="G74" s="24" t="str">
        <f aca="false">IF(E74&lt;=F74,"PASS","FAIL")</f>
        <v>PASS</v>
      </c>
      <c r="H74" s="41" t="s">
        <v>198</v>
      </c>
      <c r="I74" s="7"/>
    </row>
    <row r="75" customFormat="false" ht="15" hidden="false" customHeight="false" outlineLevel="0" collapsed="false">
      <c r="A75" s="7" t="s">
        <v>340</v>
      </c>
      <c r="B75" s="7" t="s">
        <v>341</v>
      </c>
      <c r="C75" s="31" t="n">
        <v>50792.7374689168</v>
      </c>
      <c r="D75" s="31" t="n">
        <v>50960.9271864491</v>
      </c>
      <c r="E75" s="23" t="n">
        <f aca="false">ABS(C75-D75)</f>
        <v>168.18971753231</v>
      </c>
      <c r="F75" s="44" t="n">
        <v>341.425465102234</v>
      </c>
      <c r="G75" s="24" t="str">
        <f aca="false">IF(E75&lt;=F75,"PASS","FAIL")</f>
        <v>PASS</v>
      </c>
      <c r="H75" s="41" t="s">
        <v>198</v>
      </c>
      <c r="I75" s="7"/>
    </row>
    <row r="76" customFormat="false" ht="15" hidden="false" customHeight="false" outlineLevel="0" collapsed="false">
      <c r="A76" s="7" t="s">
        <v>342</v>
      </c>
      <c r="B76" s="7" t="s">
        <v>343</v>
      </c>
      <c r="C76" s="31" t="n">
        <v>25.5676844037104</v>
      </c>
      <c r="D76" s="31" t="n">
        <v>25.5852082411435</v>
      </c>
      <c r="E76" s="23" t="n">
        <f aca="false">ABS(C76-D76)</f>
        <v>0.0175238374331919</v>
      </c>
      <c r="F76" s="44" t="n">
        <v>0.0478506578494806</v>
      </c>
      <c r="G76" s="24" t="str">
        <f aca="false">IF(E76&lt;=F76,"PASS","FAIL")</f>
        <v>PASS</v>
      </c>
      <c r="H76" s="41" t="s">
        <v>198</v>
      </c>
      <c r="I76" s="7"/>
    </row>
    <row r="77" customFormat="false" ht="15" hidden="false" customHeight="false" outlineLevel="0" collapsed="false">
      <c r="A77" s="7" t="s">
        <v>344</v>
      </c>
      <c r="B77" s="7" t="s">
        <v>345</v>
      </c>
      <c r="C77" s="31" t="n">
        <v>0.601851201915087</v>
      </c>
      <c r="D77" s="31" t="n">
        <v>0.604075</v>
      </c>
      <c r="E77" s="23" t="n">
        <f aca="false">ABS(C77-D77)</f>
        <v>0.00222379808491302</v>
      </c>
      <c r="F77" s="44" t="n">
        <v>0.00637418238645807</v>
      </c>
      <c r="G77" s="24" t="str">
        <f aca="false">IF(E77&lt;=F77,"PASS","FAIL")</f>
        <v>PASS</v>
      </c>
      <c r="H77" s="41" t="s">
        <v>198</v>
      </c>
      <c r="I77" s="7"/>
    </row>
    <row r="78" customFormat="false" ht="15" hidden="false" customHeight="false" outlineLevel="0" collapsed="false">
      <c r="A78" s="7" t="s">
        <v>346</v>
      </c>
      <c r="B78" s="7" t="s">
        <v>347</v>
      </c>
      <c r="C78" s="31" t="n">
        <v>5.1383330716613</v>
      </c>
      <c r="D78" s="31" t="n">
        <v>5.15209223448921</v>
      </c>
      <c r="E78" s="23" t="n">
        <f aca="false">ABS(C78-D78)</f>
        <v>0.0137591628279106</v>
      </c>
      <c r="F78" s="44" t="n">
        <v>0.06</v>
      </c>
      <c r="G78" s="24" t="str">
        <f aca="false">IF(E78&lt;=F78,"PASS","FAIL")</f>
        <v>PASS</v>
      </c>
      <c r="H78" s="41" t="s">
        <v>198</v>
      </c>
      <c r="I78" s="7"/>
    </row>
    <row r="79" customFormat="false" ht="15" hidden="false" customHeight="false" outlineLevel="0" collapsed="false">
      <c r="A79" s="7" t="s">
        <v>348</v>
      </c>
      <c r="B79" s="7" t="s">
        <v>349</v>
      </c>
      <c r="C79" s="31" t="n">
        <v>45008.1783379877</v>
      </c>
      <c r="D79" s="31" t="n">
        <v>44929.4268722106</v>
      </c>
      <c r="E79" s="23" t="n">
        <f aca="false">ABS(C79-D79)</f>
        <v>78.7514657771098</v>
      </c>
      <c r="F79" s="44" t="n">
        <v>1364.77759417197</v>
      </c>
      <c r="G79" s="24" t="str">
        <f aca="false">IF(E79&lt;=F79,"PASS","FAIL")</f>
        <v>PASS</v>
      </c>
      <c r="H79" s="41" t="s">
        <v>198</v>
      </c>
      <c r="I79" s="7"/>
    </row>
    <row r="80" customFormat="false" ht="15" hidden="false" customHeight="false" outlineLevel="0" collapsed="false">
      <c r="A80" s="7" t="s">
        <v>350</v>
      </c>
      <c r="B80" s="7" t="s">
        <v>351</v>
      </c>
      <c r="C80" s="31" t="n">
        <v>45008.1783379877</v>
      </c>
      <c r="D80" s="31" t="n">
        <v>45197.6844437781</v>
      </c>
      <c r="E80" s="23" t="n">
        <f aca="false">ABS(C80-D80)</f>
        <v>189.50610579046</v>
      </c>
      <c r="F80" s="44" t="n">
        <v>303.477418852205</v>
      </c>
      <c r="G80" s="24" t="str">
        <f aca="false">IF(E80&lt;=F80,"PASS","FAIL")</f>
        <v>PASS</v>
      </c>
      <c r="H80" s="41" t="s">
        <v>198</v>
      </c>
      <c r="I80" s="7"/>
    </row>
    <row r="81" customFormat="false" ht="15" hidden="false" customHeight="false" outlineLevel="0" collapsed="false">
      <c r="A81" s="7" t="s">
        <v>352</v>
      </c>
      <c r="B81" s="7" t="s">
        <v>353</v>
      </c>
      <c r="C81" s="31" t="n">
        <v>24.2336157339889</v>
      </c>
      <c r="D81" s="31" t="n">
        <v>24.2765443559969</v>
      </c>
      <c r="E81" s="23" t="n">
        <f aca="false">ABS(C81-D81)</f>
        <v>0.0429286220079881</v>
      </c>
      <c r="F81" s="44" t="n">
        <v>0.0496701556900949</v>
      </c>
      <c r="G81" s="24" t="str">
        <f aca="false">IF(E81&lt;=F81,"PASS","FAIL")</f>
        <v>PASS</v>
      </c>
      <c r="H81" s="41" t="s">
        <v>198</v>
      </c>
      <c r="I81" s="7"/>
    </row>
    <row r="82" customFormat="false" ht="15" hidden="false" customHeight="false" outlineLevel="0" collapsed="false">
      <c r="A82" s="7" t="s">
        <v>354</v>
      </c>
      <c r="B82" s="7" t="s">
        <v>355</v>
      </c>
      <c r="C82" s="31" t="n">
        <v>0.463001772710389</v>
      </c>
      <c r="D82" s="31" t="n">
        <v>0.464895</v>
      </c>
      <c r="E82" s="23" t="n">
        <f aca="false">ABS(C82-D82)</f>
        <v>0.00189322728961072</v>
      </c>
      <c r="F82" s="44" t="n">
        <v>0.00646109976552868</v>
      </c>
      <c r="G82" s="24" t="str">
        <f aca="false">IF(E82&lt;=F82,"PASS","FAIL")</f>
        <v>PASS</v>
      </c>
      <c r="H82" s="41" t="s">
        <v>198</v>
      </c>
      <c r="I82" s="7"/>
    </row>
    <row r="83" customFormat="false" ht="15" hidden="false" customHeight="false" outlineLevel="0" collapsed="false">
      <c r="A83" s="7" t="s">
        <v>356</v>
      </c>
      <c r="B83" s="7" t="s">
        <v>357</v>
      </c>
      <c r="C83" s="31" t="n">
        <v>4.08833307165319</v>
      </c>
      <c r="D83" s="31" t="n">
        <v>4.104001364248</v>
      </c>
      <c r="E83" s="23" t="n">
        <f aca="false">ABS(C83-D83)</f>
        <v>0.0156682925948086</v>
      </c>
      <c r="F83" s="44" t="n">
        <v>0.06</v>
      </c>
      <c r="G83" s="24" t="str">
        <f aca="false">IF(E83&lt;=F83,"PASS","FAIL")</f>
        <v>PASS</v>
      </c>
      <c r="H83" s="41" t="s">
        <v>198</v>
      </c>
      <c r="I83" s="7"/>
    </row>
    <row r="84" customFormat="false" ht="15" hidden="false" customHeight="false" outlineLevel="0" collapsed="false">
      <c r="A84" s="7" t="s">
        <v>358</v>
      </c>
      <c r="B84" s="7" t="s">
        <v>359</v>
      </c>
      <c r="C84" s="31" t="n">
        <v>47900.4579034522</v>
      </c>
      <c r="D84" s="31" t="n">
        <v>48045.5097566718</v>
      </c>
      <c r="E84" s="23" t="n">
        <f aca="false">ABS(C84-D84)</f>
        <v>145.05185321952</v>
      </c>
      <c r="F84" s="44" t="n">
        <v>1490.58763244207</v>
      </c>
      <c r="G84" s="24" t="str">
        <f aca="false">IF(E84&lt;=F84,"PASS","FAIL")</f>
        <v>PASS</v>
      </c>
      <c r="H84" s="41" t="s">
        <v>198</v>
      </c>
      <c r="I84" s="7"/>
    </row>
    <row r="85" customFormat="false" ht="15" hidden="false" customHeight="false" outlineLevel="0" collapsed="false">
      <c r="A85" s="7" t="s">
        <v>360</v>
      </c>
      <c r="B85" s="7" t="s">
        <v>361</v>
      </c>
      <c r="C85" s="31" t="n">
        <v>47900.4579034522</v>
      </c>
      <c r="D85" s="31" t="n">
        <v>48083.1842487585</v>
      </c>
      <c r="E85" s="23" t="n">
        <f aca="false">ABS(C85-D85)</f>
        <v>182.726345306306</v>
      </c>
      <c r="F85" s="44" t="n">
        <v>327.244259104936</v>
      </c>
      <c r="G85" s="24" t="str">
        <f aca="false">IF(E85&lt;=F85,"PASS","FAIL")</f>
        <v>PASS</v>
      </c>
      <c r="H85" s="41" t="s">
        <v>198</v>
      </c>
      <c r="I85" s="7"/>
    </row>
    <row r="86" customFormat="false" ht="15" hidden="false" customHeight="false" outlineLevel="0" collapsed="false">
      <c r="A86" s="7" t="s">
        <v>362</v>
      </c>
      <c r="B86" s="7" t="s">
        <v>363</v>
      </c>
      <c r="C86" s="31" t="n">
        <v>24.9806142755621</v>
      </c>
      <c r="D86" s="31" t="n">
        <v>25.0059405647917</v>
      </c>
      <c r="E86" s="23" t="n">
        <f aca="false">ABS(C86-D86)</f>
        <v>0.025326289229568</v>
      </c>
      <c r="F86" s="44" t="n">
        <v>0.0485443251204356</v>
      </c>
      <c r="G86" s="24" t="str">
        <f aca="false">IF(E86&lt;=F86,"PASS","FAIL")</f>
        <v>PASS</v>
      </c>
      <c r="H86" s="41" t="s">
        <v>198</v>
      </c>
      <c r="I86" s="7"/>
    </row>
    <row r="87" customFormat="false" ht="15" hidden="false" customHeight="false" outlineLevel="0" collapsed="false">
      <c r="A87" s="7" t="s">
        <v>364</v>
      </c>
      <c r="B87" s="7" t="s">
        <v>365</v>
      </c>
      <c r="C87" s="31" t="n">
        <v>0.532426487312738</v>
      </c>
      <c r="D87" s="31" t="n">
        <v>0.53509</v>
      </c>
      <c r="E87" s="23" t="n">
        <f aca="false">ABS(C87-D87)</f>
        <v>0.00266351268726184</v>
      </c>
      <c r="F87" s="44" t="n">
        <v>0.00646110920646424</v>
      </c>
      <c r="G87" s="24" t="str">
        <f aca="false">IF(E87&lt;=F87,"PASS","FAIL")</f>
        <v>PASS</v>
      </c>
      <c r="H87" s="41" t="s">
        <v>198</v>
      </c>
      <c r="I87" s="7"/>
    </row>
    <row r="88" customFormat="false" ht="15" hidden="false" customHeight="false" outlineLevel="0" collapsed="false">
      <c r="A88" s="7" t="s">
        <v>366</v>
      </c>
      <c r="B88" s="7" t="s">
        <v>367</v>
      </c>
      <c r="C88" s="31" t="n">
        <v>4.61333307165725</v>
      </c>
      <c r="D88" s="31" t="n">
        <v>4.62878957561041</v>
      </c>
      <c r="E88" s="23" t="n">
        <f aca="false">ABS(C88-D88)</f>
        <v>0.0154565039531667</v>
      </c>
      <c r="F88" s="44" t="n">
        <v>0.06</v>
      </c>
      <c r="G88" s="24" t="str">
        <f aca="false">IF(E88&lt;=F88,"PASS","FAIL")</f>
        <v>PASS</v>
      </c>
      <c r="H88" s="41" t="s">
        <v>198</v>
      </c>
      <c r="I88" s="7"/>
    </row>
    <row r="89" customFormat="false" ht="15" hidden="false" customHeight="false" outlineLevel="0" collapsed="false">
      <c r="A89" s="7" t="s">
        <v>368</v>
      </c>
      <c r="B89" s="7" t="s">
        <v>369</v>
      </c>
      <c r="C89" s="31" t="n">
        <v>57661.1538852604</v>
      </c>
      <c r="D89" s="31" t="n">
        <v>57736.6198120495</v>
      </c>
      <c r="E89" s="23" t="n">
        <f aca="false">ABS(C89-D89)</f>
        <v>75.4659267891693</v>
      </c>
      <c r="F89" s="44" t="n">
        <v>1472.82522592195</v>
      </c>
      <c r="G89" s="24" t="str">
        <f aca="false">IF(E89&lt;=F89,"PASS","FAIL")</f>
        <v>PASS</v>
      </c>
      <c r="H89" s="41" t="s">
        <v>198</v>
      </c>
      <c r="I89" s="7"/>
    </row>
    <row r="90" customFormat="false" ht="15" hidden="false" customHeight="false" outlineLevel="0" collapsed="false">
      <c r="A90" s="7" t="s">
        <v>370</v>
      </c>
      <c r="B90" s="7" t="s">
        <v>371</v>
      </c>
      <c r="C90" s="31" t="n">
        <v>57661.1538852604</v>
      </c>
      <c r="D90" s="31" t="n">
        <v>57817.042235652</v>
      </c>
      <c r="E90" s="23" t="n">
        <f aca="false">ABS(C90-D90)</f>
        <v>155.888350391666</v>
      </c>
      <c r="F90" s="44" t="n">
        <v>323.313528895904</v>
      </c>
      <c r="G90" s="24" t="str">
        <f aca="false">IF(E90&lt;=F90,"PASS","FAIL")</f>
        <v>PASS</v>
      </c>
      <c r="H90" s="41" t="s">
        <v>198</v>
      </c>
      <c r="I90" s="7"/>
    </row>
    <row r="91" customFormat="false" ht="15" hidden="false" customHeight="false" outlineLevel="0" collapsed="false">
      <c r="A91" s="7" t="s">
        <v>372</v>
      </c>
      <c r="B91" s="7" t="s">
        <v>373</v>
      </c>
      <c r="C91" s="31" t="n">
        <v>25.1950871398364</v>
      </c>
      <c r="D91" s="31" t="n">
        <v>25.212096922908</v>
      </c>
      <c r="E91" s="23" t="n">
        <f aca="false">ABS(C91-D91)</f>
        <v>0.01700978307165</v>
      </c>
      <c r="F91" s="44" t="n">
        <v>0.0484197284057335</v>
      </c>
      <c r="G91" s="24" t="str">
        <f aca="false">IF(E91&lt;=F91,"PASS","FAIL")</f>
        <v>PASS</v>
      </c>
      <c r="H91" s="41" t="s">
        <v>198</v>
      </c>
      <c r="I91" s="7"/>
    </row>
    <row r="92" customFormat="false" ht="15" hidden="false" customHeight="false" outlineLevel="0" collapsed="false">
      <c r="A92" s="7" t="s">
        <v>374</v>
      </c>
      <c r="B92" s="7" t="s">
        <v>375</v>
      </c>
      <c r="C92" s="31" t="n">
        <v>0.587274083467518</v>
      </c>
      <c r="D92" s="31" t="n">
        <v>0.58889</v>
      </c>
      <c r="E92" s="23" t="n">
        <f aca="false">ABS(C92-D92)</f>
        <v>0.00161591653248216</v>
      </c>
      <c r="F92" s="44" t="n">
        <v>0.00640089598059304</v>
      </c>
      <c r="G92" s="24" t="str">
        <f aca="false">IF(E92&lt;=F92,"PASS","FAIL")</f>
        <v>PASS</v>
      </c>
      <c r="H92" s="41" t="s">
        <v>198</v>
      </c>
      <c r="I92" s="7"/>
    </row>
    <row r="93" customFormat="false" ht="15" hidden="false" customHeight="false" outlineLevel="0" collapsed="false">
      <c r="A93" s="7" t="s">
        <v>376</v>
      </c>
      <c r="B93" s="7" t="s">
        <v>377</v>
      </c>
      <c r="C93" s="31" t="n">
        <v>4.97166640663346</v>
      </c>
      <c r="D93" s="31" t="n">
        <v>4.98485950876146</v>
      </c>
      <c r="E93" s="23" t="n">
        <f aca="false">ABS(C93-D93)</f>
        <v>0.0131931021280005</v>
      </c>
      <c r="F93" s="44" t="n">
        <v>0.06</v>
      </c>
      <c r="G93" s="24" t="str">
        <f aca="false">IF(E93&lt;=F93,"PASS","FAIL")</f>
        <v>PASS</v>
      </c>
      <c r="H93" s="41" t="s">
        <v>198</v>
      </c>
      <c r="I93" s="7"/>
    </row>
    <row r="94" customFormat="false" ht="15" hidden="false" customHeight="false" outlineLevel="0" collapsed="false">
      <c r="A94" s="7" t="s">
        <v>378</v>
      </c>
      <c r="B94" s="7" t="s">
        <v>379</v>
      </c>
      <c r="C94" s="31" t="n">
        <v>50818.4290118248</v>
      </c>
      <c r="D94" s="31" t="n">
        <v>50770.2949654628</v>
      </c>
      <c r="E94" s="23" t="n">
        <f aca="false">ABS(C94-D94)</f>
        <v>48.1340463619345</v>
      </c>
      <c r="F94" s="44" t="n">
        <v>1494.16490318951</v>
      </c>
      <c r="G94" s="24" t="str">
        <f aca="false">IF(E94&lt;=F94,"PASS","FAIL")</f>
        <v>PASS</v>
      </c>
      <c r="H94" s="41" t="s">
        <v>198</v>
      </c>
      <c r="I94" s="7"/>
    </row>
    <row r="95" customFormat="false" ht="15" hidden="false" customHeight="false" outlineLevel="0" collapsed="false">
      <c r="A95" s="7" t="s">
        <v>380</v>
      </c>
      <c r="B95" s="7" t="s">
        <v>381</v>
      </c>
      <c r="C95" s="31" t="n">
        <v>50818.4290118248</v>
      </c>
      <c r="D95" s="31" t="n">
        <v>51012.5888108027</v>
      </c>
      <c r="E95" s="23" t="n">
        <f aca="false">ABS(C95-D95)</f>
        <v>194.159798977955</v>
      </c>
      <c r="F95" s="44" t="n">
        <v>331.105297814006</v>
      </c>
      <c r="G95" s="24" t="str">
        <f aca="false">IF(E95&lt;=F95,"PASS","FAIL")</f>
        <v>PASS</v>
      </c>
      <c r="H95" s="41" t="s">
        <v>198</v>
      </c>
      <c r="I95" s="7"/>
    </row>
    <row r="96" customFormat="false" ht="15" hidden="false" customHeight="false" outlineLevel="0" collapsed="false">
      <c r="A96" s="7" t="s">
        <v>382</v>
      </c>
      <c r="B96" s="7" t="s">
        <v>383</v>
      </c>
      <c r="C96" s="31" t="n">
        <v>25.2603106898135</v>
      </c>
      <c r="D96" s="31" t="n">
        <v>25.2865772336196</v>
      </c>
      <c r="E96" s="23" t="n">
        <f aca="false">ABS(C96-D96)</f>
        <v>0.0262665438061305</v>
      </c>
      <c r="F96" s="44" t="n">
        <v>0.0501722113427321</v>
      </c>
      <c r="G96" s="24" t="str">
        <f aca="false">IF(E96&lt;=F96,"PASS","FAIL")</f>
        <v>PASS</v>
      </c>
      <c r="H96" s="41" t="s">
        <v>198</v>
      </c>
      <c r="I96" s="7"/>
    </row>
    <row r="97" customFormat="false" ht="15" hidden="false" customHeight="false" outlineLevel="0" collapsed="false">
      <c r="A97" s="7" t="s">
        <v>384</v>
      </c>
      <c r="B97" s="7" t="s">
        <v>385</v>
      </c>
      <c r="C97" s="31" t="n">
        <v>0.57848134362088</v>
      </c>
      <c r="D97" s="31" t="n">
        <v>0.580885</v>
      </c>
      <c r="E97" s="23" t="n">
        <f aca="false">ABS(C97-D97)</f>
        <v>0.00240365637912043</v>
      </c>
      <c r="F97" s="44" t="n">
        <v>0.00641323116797659</v>
      </c>
      <c r="G97" s="24" t="str">
        <f aca="false">IF(E97&lt;=F97,"PASS","FAIL")</f>
        <v>PASS</v>
      </c>
      <c r="H97" s="41" t="s">
        <v>198</v>
      </c>
      <c r="I97" s="7"/>
    </row>
    <row r="98" customFormat="false" ht="15" hidden="false" customHeight="false" outlineLevel="0" collapsed="false">
      <c r="A98" s="7" t="s">
        <v>386</v>
      </c>
      <c r="B98" s="7" t="s">
        <v>387</v>
      </c>
      <c r="C98" s="31" t="n">
        <v>4.92499973857862</v>
      </c>
      <c r="D98" s="31" t="n">
        <v>4.94093036847221</v>
      </c>
      <c r="E98" s="23" t="n">
        <f aca="false">ABS(C98-D98)</f>
        <v>0.015930629893588</v>
      </c>
      <c r="F98" s="44" t="n">
        <v>0.06</v>
      </c>
      <c r="G98" s="24" t="str">
        <f aca="false">IF(E98&lt;=F98,"PASS","FAIL")</f>
        <v>PASS</v>
      </c>
      <c r="H98" s="41" t="s">
        <v>198</v>
      </c>
      <c r="I98" s="7"/>
    </row>
    <row r="99" customFormat="false" ht="15" hidden="false" customHeight="false" outlineLevel="0" collapsed="false">
      <c r="A99" s="7" t="s">
        <v>388</v>
      </c>
      <c r="B99" s="7" t="s">
        <v>389</v>
      </c>
      <c r="C99" s="31" t="n">
        <v>49623.9441718188</v>
      </c>
      <c r="D99" s="31" t="n">
        <v>49518.3663785494</v>
      </c>
      <c r="E99" s="23" t="n">
        <f aca="false">ABS(C99-D99)</f>
        <v>105.577793269425</v>
      </c>
      <c r="F99" s="44" t="n">
        <v>1504.54920391966</v>
      </c>
      <c r="G99" s="24" t="str">
        <f aca="false">IF(E99&lt;=F99,"PASS","FAIL")</f>
        <v>PASS</v>
      </c>
      <c r="H99" s="41" t="s">
        <v>198</v>
      </c>
      <c r="I99" s="7"/>
    </row>
    <row r="100" customFormat="false" ht="15" hidden="false" customHeight="false" outlineLevel="0" collapsed="false">
      <c r="A100" s="7" t="s">
        <v>390</v>
      </c>
      <c r="B100" s="7" t="s">
        <v>391</v>
      </c>
      <c r="C100" s="31" t="n">
        <v>49623.9441718188</v>
      </c>
      <c r="D100" s="31" t="n">
        <v>49753.3719674137</v>
      </c>
      <c r="E100" s="23" t="n">
        <f aca="false">ABS(C100-D100)</f>
        <v>129.427795594958</v>
      </c>
      <c r="F100" s="44" t="n">
        <v>332.137307038917</v>
      </c>
      <c r="G100" s="24" t="str">
        <f aca="false">IF(E100&lt;=F100,"PASS","FAIL")</f>
        <v>PASS</v>
      </c>
      <c r="H100" s="41" t="s">
        <v>198</v>
      </c>
      <c r="I100" s="7"/>
    </row>
    <row r="101" customFormat="false" ht="15" hidden="false" customHeight="false" outlineLevel="0" collapsed="false">
      <c r="A101" s="7" t="s">
        <v>392</v>
      </c>
      <c r="B101" s="7" t="s">
        <v>393</v>
      </c>
      <c r="C101" s="31" t="n">
        <v>25.2618906723566</v>
      </c>
      <c r="D101" s="31" t="n">
        <v>25.2820674234245</v>
      </c>
      <c r="E101" s="23" t="n">
        <f aca="false">ABS(C101-D101)</f>
        <v>0.0201767510679005</v>
      </c>
      <c r="F101" s="44" t="n">
        <v>0.0495384899648088</v>
      </c>
      <c r="G101" s="24" t="str">
        <f aca="false">IF(E101&lt;=F101,"PASS","FAIL")</f>
        <v>PASS</v>
      </c>
      <c r="H101" s="41" t="s">
        <v>198</v>
      </c>
      <c r="I101" s="7"/>
    </row>
    <row r="102" customFormat="false" ht="15" hidden="false" customHeight="false" outlineLevel="0" collapsed="false">
      <c r="A102" s="7" t="s">
        <v>394</v>
      </c>
      <c r="B102" s="7" t="s">
        <v>395</v>
      </c>
      <c r="C102" s="31" t="n">
        <v>0.574990681602689</v>
      </c>
      <c r="D102" s="31" t="n">
        <v>0.576455</v>
      </c>
      <c r="E102" s="23" t="n">
        <f aca="false">ABS(C102-D102)</f>
        <v>0.00146431839731143</v>
      </c>
      <c r="F102" s="44" t="n">
        <v>0.00641954416631399</v>
      </c>
      <c r="G102" s="24" t="str">
        <f aca="false">IF(E102&lt;=F102,"PASS","FAIL")</f>
        <v>PASS</v>
      </c>
      <c r="H102" s="41" t="s">
        <v>198</v>
      </c>
      <c r="I102" s="7"/>
    </row>
    <row r="103" customFormat="false" ht="15" hidden="false" customHeight="false" outlineLevel="0" collapsed="false">
      <c r="A103" s="7" t="s">
        <v>396</v>
      </c>
      <c r="B103" s="7" t="s">
        <v>397</v>
      </c>
      <c r="C103" s="31" t="n">
        <v>4.90499973832811</v>
      </c>
      <c r="D103" s="31" t="n">
        <v>4.91532536045874</v>
      </c>
      <c r="E103" s="23" t="n">
        <f aca="false">ABS(C103-D103)</f>
        <v>0.0103256221306243</v>
      </c>
      <c r="F103" s="44" t="n">
        <v>0.06</v>
      </c>
      <c r="G103" s="24" t="str">
        <f aca="false">IF(E103&lt;=F103,"PASS","FAIL")</f>
        <v>PASS</v>
      </c>
      <c r="H103" s="41" t="s">
        <v>198</v>
      </c>
      <c r="I103" s="7"/>
    </row>
    <row r="104" customFormat="false" ht="15" hidden="false" customHeight="false" outlineLevel="0" collapsed="false">
      <c r="A104" s="7" t="s">
        <v>398</v>
      </c>
      <c r="B104" s="7" t="s">
        <v>399</v>
      </c>
      <c r="C104" s="31" t="n">
        <v>51944.3144819654</v>
      </c>
      <c r="D104" s="31" t="n">
        <v>51932.5086783391</v>
      </c>
      <c r="E104" s="23" t="n">
        <f aca="false">ABS(C104-D104)</f>
        <v>11.8058036263246</v>
      </c>
      <c r="F104" s="44" t="n">
        <v>1289.48149505546</v>
      </c>
      <c r="G104" s="24" t="str">
        <f aca="false">IF(E104&lt;=F104,"PASS","FAIL")</f>
        <v>PASS</v>
      </c>
      <c r="H104" s="41" t="s">
        <v>198</v>
      </c>
      <c r="I104" s="7"/>
    </row>
    <row r="105" customFormat="false" ht="15" hidden="false" customHeight="false" outlineLevel="0" collapsed="false">
      <c r="A105" s="7" t="s">
        <v>400</v>
      </c>
      <c r="B105" s="7" t="s">
        <v>401</v>
      </c>
      <c r="C105" s="31" t="n">
        <v>51944.3144819654</v>
      </c>
      <c r="D105" s="31" t="n">
        <v>52123.2195370722</v>
      </c>
      <c r="E105" s="23" t="n">
        <f aca="false">ABS(C105-D105)</f>
        <v>178.90505510677</v>
      </c>
      <c r="F105" s="44" t="n">
        <v>284.305195314516</v>
      </c>
      <c r="G105" s="24" t="str">
        <f aca="false">IF(E105&lt;=F105,"PASS","FAIL")</f>
        <v>PASS</v>
      </c>
      <c r="H105" s="41" t="s">
        <v>198</v>
      </c>
      <c r="I105" s="7"/>
    </row>
    <row r="106" customFormat="false" ht="15" hidden="false" customHeight="false" outlineLevel="0" collapsed="false">
      <c r="A106" s="7" t="s">
        <v>402</v>
      </c>
      <c r="B106" s="7" t="s">
        <v>403</v>
      </c>
      <c r="C106" s="31" t="n">
        <v>23.848221256443</v>
      </c>
      <c r="D106" s="31" t="n">
        <v>23.8876282522851</v>
      </c>
      <c r="E106" s="23" t="n">
        <f aca="false">ABS(C106-D106)</f>
        <v>0.0394069958420396</v>
      </c>
      <c r="F106" s="44" t="n">
        <v>0.0484890560264266</v>
      </c>
      <c r="G106" s="24" t="str">
        <f aca="false">IF(E106&lt;=F106,"PASS","FAIL")</f>
        <v>PASS</v>
      </c>
      <c r="H106" s="41" t="s">
        <v>198</v>
      </c>
      <c r="I106" s="7"/>
    </row>
    <row r="107" customFormat="false" ht="15" hidden="false" customHeight="false" outlineLevel="0" collapsed="false">
      <c r="A107" s="7" t="s">
        <v>404</v>
      </c>
      <c r="B107" s="7" t="s">
        <v>405</v>
      </c>
      <c r="C107" s="31" t="n">
        <v>0.438489512807741</v>
      </c>
      <c r="D107" s="31" t="n">
        <v>0.44001</v>
      </c>
      <c r="E107" s="23" t="n">
        <f aca="false">ABS(C107-D107)</f>
        <v>0.00152048719225872</v>
      </c>
      <c r="F107" s="44" t="n">
        <v>0.00643983062649917</v>
      </c>
      <c r="G107" s="24" t="str">
        <f aca="false">IF(E107&lt;=F107,"PASS","FAIL")</f>
        <v>PASS</v>
      </c>
      <c r="H107" s="41" t="s">
        <v>198</v>
      </c>
      <c r="I107" s="7"/>
    </row>
    <row r="108" customFormat="false" ht="15" hidden="false" customHeight="false" outlineLevel="0" collapsed="false">
      <c r="A108" s="7" t="s">
        <v>406</v>
      </c>
      <c r="B108" s="7" t="s">
        <v>407</v>
      </c>
      <c r="C108" s="31" t="n">
        <v>3.92166640662534</v>
      </c>
      <c r="D108" s="31" t="n">
        <v>3.93676863852025</v>
      </c>
      <c r="E108" s="23" t="n">
        <f aca="false">ABS(C108-D108)</f>
        <v>0.0151022318949119</v>
      </c>
      <c r="F108" s="44" t="n">
        <v>0.06</v>
      </c>
      <c r="G108" s="24" t="str">
        <f aca="false">IF(E108&lt;=F108,"PASS","FAIL")</f>
        <v>PASS</v>
      </c>
      <c r="H108" s="41" t="s">
        <v>198</v>
      </c>
      <c r="I108" s="7"/>
    </row>
    <row r="109" customFormat="false" ht="15" hidden="false" customHeight="false" outlineLevel="0" collapsed="false">
      <c r="A109" s="7" t="s">
        <v>408</v>
      </c>
      <c r="B109" s="7" t="s">
        <v>409</v>
      </c>
      <c r="C109" s="31" t="n">
        <v>45163.109173601</v>
      </c>
      <c r="D109" s="31" t="n">
        <v>45023.4288861822</v>
      </c>
      <c r="E109" s="23" t="n">
        <f aca="false">ABS(C109-D109)</f>
        <v>139.680287418851</v>
      </c>
      <c r="F109" s="44" t="n">
        <v>1311.24439085983</v>
      </c>
      <c r="G109" s="24" t="str">
        <f aca="false">IF(E109&lt;=F109,"PASS","FAIL")</f>
        <v>PASS</v>
      </c>
      <c r="H109" s="41" t="s">
        <v>198</v>
      </c>
      <c r="I109" s="7"/>
    </row>
    <row r="110" customFormat="false" ht="15" hidden="false" customHeight="false" outlineLevel="0" collapsed="false">
      <c r="A110" s="7" t="s">
        <v>410</v>
      </c>
      <c r="B110" s="7" t="s">
        <v>411</v>
      </c>
      <c r="C110" s="31" t="n">
        <v>45163.109173601</v>
      </c>
      <c r="D110" s="31" t="n">
        <v>45375.1415156737</v>
      </c>
      <c r="E110" s="23" t="n">
        <f aca="false">ABS(C110-D110)</f>
        <v>212.032342072678</v>
      </c>
      <c r="F110" s="44" t="n">
        <v>292.483819937971</v>
      </c>
      <c r="G110" s="24" t="str">
        <f aca="false">IF(E110&lt;=F110,"PASS","FAIL")</f>
        <v>PASS</v>
      </c>
      <c r="H110" s="41" t="s">
        <v>198</v>
      </c>
      <c r="I110" s="7"/>
    </row>
    <row r="111" customFormat="false" ht="15" hidden="false" customHeight="false" outlineLevel="0" collapsed="false">
      <c r="A111" s="7" t="s">
        <v>412</v>
      </c>
      <c r="B111" s="7" t="s">
        <v>413</v>
      </c>
      <c r="C111" s="31" t="n">
        <v>23.9192747295932</v>
      </c>
      <c r="D111" s="31" t="n">
        <v>23.9678712282139</v>
      </c>
      <c r="E111" s="23" t="n">
        <f aca="false">ABS(C111-D111)</f>
        <v>0.0485964986207073</v>
      </c>
      <c r="F111" s="44" t="n">
        <v>0.0477279519671563</v>
      </c>
      <c r="G111" s="24" t="str">
        <f aca="false">IF(E111&lt;=F111,"PASS","FAIL")</f>
        <v>FAIL</v>
      </c>
      <c r="H111" s="41" t="s">
        <v>414</v>
      </c>
      <c r="I111" s="7"/>
    </row>
    <row r="112" customFormat="false" ht="15" hidden="false" customHeight="false" outlineLevel="0" collapsed="false">
      <c r="A112" s="7" t="s">
        <v>415</v>
      </c>
      <c r="B112" s="7" t="s">
        <v>416</v>
      </c>
      <c r="C112" s="31" t="n">
        <v>0.434385684738912</v>
      </c>
      <c r="D112" s="31" t="n">
        <v>0.436835</v>
      </c>
      <c r="E112" s="23" t="n">
        <f aca="false">ABS(C112-D112)</f>
        <v>0.00244931526108816</v>
      </c>
      <c r="F112" s="44" t="n">
        <v>0.0064363064166038</v>
      </c>
      <c r="G112" s="24" t="str">
        <f aca="false">IF(E112&lt;=F112,"PASS","FAIL")</f>
        <v>PASS</v>
      </c>
      <c r="H112" s="41" t="s">
        <v>198</v>
      </c>
      <c r="I112" s="7"/>
    </row>
    <row r="113" customFormat="false" ht="15" hidden="false" customHeight="false" outlineLevel="0" collapsed="false">
      <c r="A113" s="7" t="s">
        <v>417</v>
      </c>
      <c r="B113" s="7" t="s">
        <v>418</v>
      </c>
      <c r="C113" s="31" t="n">
        <v>3.87499973857052</v>
      </c>
      <c r="D113" s="31" t="n">
        <v>3.89283949823101</v>
      </c>
      <c r="E113" s="23" t="n">
        <f aca="false">ABS(C113-D113)</f>
        <v>0.0178397596604878</v>
      </c>
      <c r="F113" s="44" t="n">
        <v>0.06</v>
      </c>
      <c r="G113" s="24" t="str">
        <f aca="false">IF(E113&lt;=F113,"PASS","FAIL")</f>
        <v>PASS</v>
      </c>
      <c r="H113" s="41" t="s">
        <v>198</v>
      </c>
      <c r="I113" s="7"/>
    </row>
    <row r="114" customFormat="false" ht="15" hidden="false" customHeight="false" outlineLevel="0" collapsed="false">
      <c r="A114" s="7" t="s">
        <v>419</v>
      </c>
      <c r="B114" s="7" t="s">
        <v>420</v>
      </c>
      <c r="C114" s="31" t="n">
        <v>43992.0951227268</v>
      </c>
      <c r="D114" s="31" t="n">
        <v>43774.4452232792</v>
      </c>
      <c r="E114" s="23" t="n">
        <f aca="false">ABS(C114-D114)</f>
        <v>217.649899447562</v>
      </c>
      <c r="F114" s="44" t="n">
        <v>1319.56578680488</v>
      </c>
      <c r="G114" s="24" t="str">
        <f aca="false">IF(E114&lt;=F114,"PASS","FAIL")</f>
        <v>PASS</v>
      </c>
      <c r="H114" s="41" t="s">
        <v>198</v>
      </c>
      <c r="I114" s="7"/>
    </row>
    <row r="115" customFormat="false" ht="15" hidden="false" customHeight="false" outlineLevel="0" collapsed="false">
      <c r="A115" s="7" t="s">
        <v>421</v>
      </c>
      <c r="B115" s="7" t="s">
        <v>422</v>
      </c>
      <c r="C115" s="31" t="n">
        <v>43992.0951227268</v>
      </c>
      <c r="D115" s="31" t="n">
        <v>44143.4355962964</v>
      </c>
      <c r="E115" s="23" t="n">
        <f aca="false">ABS(C115-D115)</f>
        <v>151.340473569617</v>
      </c>
      <c r="F115" s="44" t="n">
        <v>293.804557909819</v>
      </c>
      <c r="G115" s="24" t="str">
        <f aca="false">IF(E115&lt;=F115,"PASS","FAIL")</f>
        <v>PASS</v>
      </c>
      <c r="H115" s="41" t="s">
        <v>198</v>
      </c>
      <c r="I115" s="7"/>
    </row>
    <row r="116" customFormat="false" ht="15" hidden="false" customHeight="false" outlineLevel="0" collapsed="false">
      <c r="A116" s="7" t="s">
        <v>423</v>
      </c>
      <c r="B116" s="7" t="s">
        <v>424</v>
      </c>
      <c r="C116" s="31" t="n">
        <v>23.9243086176425</v>
      </c>
      <c r="D116" s="31" t="n">
        <v>23.9753306972641</v>
      </c>
      <c r="E116" s="23" t="n">
        <f aca="false">ABS(C116-D116)</f>
        <v>0.0510220796216494</v>
      </c>
      <c r="F116" s="44" t="n">
        <v>0.0474632127934726</v>
      </c>
      <c r="G116" s="24" t="str">
        <f aca="false">IF(E116&lt;=F116,"PASS","FAIL")</f>
        <v>FAIL</v>
      </c>
      <c r="H116" s="41" t="s">
        <v>414</v>
      </c>
      <c r="I116" s="7"/>
    </row>
    <row r="117" customFormat="false" ht="15" hidden="false" customHeight="false" outlineLevel="0" collapsed="false">
      <c r="A117" s="7" t="s">
        <v>425</v>
      </c>
      <c r="B117" s="7" t="s">
        <v>426</v>
      </c>
      <c r="C117" s="31" t="n">
        <v>0.431288677013917</v>
      </c>
      <c r="D117" s="31" t="n">
        <v>0.43241</v>
      </c>
      <c r="E117" s="23" t="n">
        <f aca="false">ABS(C117-D117)</f>
        <v>0.0011213229860832</v>
      </c>
      <c r="F117" s="44" t="n">
        <v>0.00643108647534665</v>
      </c>
      <c r="G117" s="24" t="str">
        <f aca="false">IF(E117&lt;=F117,"PASS","FAIL")</f>
        <v>PASS</v>
      </c>
      <c r="H117" s="41" t="s">
        <v>198</v>
      </c>
      <c r="I117" s="7"/>
    </row>
    <row r="118" customFormat="false" ht="15" hidden="false" customHeight="false" outlineLevel="0" collapsed="false">
      <c r="A118" s="7" t="s">
        <v>427</v>
      </c>
      <c r="B118" s="7" t="s">
        <v>428</v>
      </c>
      <c r="C118" s="31" t="n">
        <v>3.85499973832001</v>
      </c>
      <c r="D118" s="31" t="n">
        <v>3.86723449021754</v>
      </c>
      <c r="E118" s="23" t="n">
        <f aca="false">ABS(C118-D118)</f>
        <v>0.0122347518975303</v>
      </c>
      <c r="F118" s="44" t="n">
        <v>0.06</v>
      </c>
      <c r="G118" s="24" t="str">
        <f aca="false">IF(E118&lt;=F118,"PASS","FAIL")</f>
        <v>PASS</v>
      </c>
      <c r="H118" s="41" t="s">
        <v>198</v>
      </c>
      <c r="I118" s="7"/>
    </row>
    <row r="119" customFormat="false" ht="15" hidden="false" customHeight="false" outlineLevel="0" collapsed="false">
      <c r="A119" s="7" t="s">
        <v>429</v>
      </c>
      <c r="B119" s="7" t="s">
        <v>430</v>
      </c>
      <c r="C119" s="31" t="n">
        <v>54802.7341836129</v>
      </c>
      <c r="D119" s="31" t="n">
        <v>55002.7074116138</v>
      </c>
      <c r="E119" s="23" t="n">
        <f aca="false">ABS(C119-D119)</f>
        <v>199.973228000876</v>
      </c>
      <c r="F119" s="44" t="n">
        <v>1415.14640776699</v>
      </c>
      <c r="G119" s="24" t="str">
        <f aca="false">IF(E119&lt;=F119,"PASS","FAIL")</f>
        <v>PASS</v>
      </c>
      <c r="H119" s="41" t="s">
        <v>198</v>
      </c>
      <c r="I119" s="7"/>
    </row>
    <row r="120" customFormat="false" ht="15" hidden="false" customHeight="false" outlineLevel="0" collapsed="false">
      <c r="A120" s="7" t="s">
        <v>431</v>
      </c>
      <c r="B120" s="7" t="s">
        <v>432</v>
      </c>
      <c r="C120" s="31" t="n">
        <v>54802.7341836129</v>
      </c>
      <c r="D120" s="31" t="n">
        <v>54973.2551558237</v>
      </c>
      <c r="E120" s="23" t="n">
        <f aca="false">ABS(C120-D120)</f>
        <v>170.520972210783</v>
      </c>
      <c r="F120" s="44" t="n">
        <v>308.89311384446</v>
      </c>
      <c r="G120" s="24" t="str">
        <f aca="false">IF(E120&lt;=F120,"PASS","FAIL")</f>
        <v>PASS</v>
      </c>
      <c r="H120" s="41" t="s">
        <v>198</v>
      </c>
      <c r="I120" s="7"/>
    </row>
    <row r="121" customFormat="false" ht="15" hidden="false" customHeight="false" outlineLevel="0" collapsed="false">
      <c r="A121" s="7" t="s">
        <v>433</v>
      </c>
      <c r="B121" s="7" t="s">
        <v>434</v>
      </c>
      <c r="C121" s="31" t="n">
        <v>24.6093452935774</v>
      </c>
      <c r="D121" s="31" t="n">
        <v>24.6309816667108</v>
      </c>
      <c r="E121" s="23" t="n">
        <f aca="false">ABS(C121-D121)</f>
        <v>0.0216363731333686</v>
      </c>
      <c r="F121" s="44" t="n">
        <v>0.0489019266913666</v>
      </c>
      <c r="G121" s="24" t="str">
        <f aca="false">IF(E121&lt;=F121,"PASS","FAIL")</f>
        <v>PASS</v>
      </c>
      <c r="H121" s="41" t="s">
        <v>198</v>
      </c>
      <c r="I121" s="7"/>
    </row>
    <row r="122" customFormat="false" ht="15" hidden="false" customHeight="false" outlineLevel="0" collapsed="false">
      <c r="A122" s="7" t="s">
        <v>435</v>
      </c>
      <c r="B122" s="7" t="s">
        <v>436</v>
      </c>
      <c r="C122" s="31" t="n">
        <v>0.51288179813763</v>
      </c>
      <c r="D122" s="31" t="n">
        <v>0.514895</v>
      </c>
      <c r="E122" s="23" t="n">
        <f aca="false">ABS(C122-D122)</f>
        <v>0.00201320186237042</v>
      </c>
      <c r="F122" s="44" t="n">
        <v>0.00647015112921252</v>
      </c>
      <c r="G122" s="24" t="str">
        <f aca="false">IF(E122&lt;=F122,"PASS","FAIL")</f>
        <v>PASS</v>
      </c>
      <c r="H122" s="41" t="s">
        <v>198</v>
      </c>
      <c r="I122" s="7"/>
    </row>
    <row r="123" customFormat="false" ht="15" hidden="false" customHeight="false" outlineLevel="0" collapsed="false">
      <c r="A123" s="7" t="s">
        <v>437</v>
      </c>
      <c r="B123" s="7" t="s">
        <v>438</v>
      </c>
      <c r="C123" s="31" t="n">
        <v>4.4466664066294</v>
      </c>
      <c r="D123" s="31" t="n">
        <v>4.46155684988266</v>
      </c>
      <c r="E123" s="23" t="n">
        <f aca="false">ABS(C123-D123)</f>
        <v>0.0148904432532602</v>
      </c>
      <c r="F123" s="44" t="n">
        <v>0.06</v>
      </c>
      <c r="G123" s="24" t="str">
        <f aca="false">IF(E123&lt;=F123,"PASS","FAIL")</f>
        <v>PASS</v>
      </c>
      <c r="H123" s="41" t="s">
        <v>198</v>
      </c>
      <c r="I123" s="7"/>
    </row>
    <row r="124" customFormat="false" ht="15" hidden="false" customHeight="false" outlineLevel="0" collapsed="false">
      <c r="A124" s="7" t="s">
        <v>439</v>
      </c>
      <c r="B124" s="7" t="s">
        <v>440</v>
      </c>
      <c r="C124" s="31" t="n">
        <v>47990.7690927129</v>
      </c>
      <c r="D124" s="31" t="n">
        <v>48072.5594576908</v>
      </c>
      <c r="E124" s="23" t="n">
        <f aca="false">ABS(C124-D124)</f>
        <v>81.7903649778382</v>
      </c>
      <c r="F124" s="44" t="n">
        <v>1440.06646474637</v>
      </c>
      <c r="G124" s="24" t="str">
        <f aca="false">IF(E124&lt;=F124,"PASS","FAIL")</f>
        <v>PASS</v>
      </c>
      <c r="H124" s="41" t="s">
        <v>198</v>
      </c>
      <c r="I124" s="7"/>
    </row>
    <row r="125" customFormat="false" ht="15" hidden="false" customHeight="false" outlineLevel="0" collapsed="false">
      <c r="A125" s="7" t="s">
        <v>441</v>
      </c>
      <c r="B125" s="7" t="s">
        <v>442</v>
      </c>
      <c r="C125" s="31" t="n">
        <v>47990.7690927129</v>
      </c>
      <c r="D125" s="31" t="n">
        <v>48197.9074434344</v>
      </c>
      <c r="E125" s="23" t="n">
        <f aca="false">ABS(C125-D125)</f>
        <v>207.138350721471</v>
      </c>
      <c r="F125" s="44" t="n">
        <v>316.643111403323</v>
      </c>
      <c r="G125" s="24" t="str">
        <f aca="false">IF(E125&lt;=F125,"PASS","FAIL")</f>
        <v>PASS</v>
      </c>
      <c r="H125" s="41" t="s">
        <v>198</v>
      </c>
      <c r="I125" s="7"/>
    </row>
    <row r="126" customFormat="false" ht="15" hidden="false" customHeight="false" outlineLevel="0" collapsed="false">
      <c r="A126" s="7" t="s">
        <v>443</v>
      </c>
      <c r="B126" s="7" t="s">
        <v>444</v>
      </c>
      <c r="C126" s="31" t="n">
        <v>24.6740508136876</v>
      </c>
      <c r="D126" s="31" t="n">
        <v>24.6957216020853</v>
      </c>
      <c r="E126" s="23" t="n">
        <f aca="false">ABS(C126-D126)</f>
        <v>0.0216707883976994</v>
      </c>
      <c r="F126" s="44" t="n">
        <v>0.049472821857194</v>
      </c>
      <c r="G126" s="24" t="str">
        <f aca="false">IF(E126&lt;=F126,"PASS","FAIL")</f>
        <v>PASS</v>
      </c>
      <c r="H126" s="41" t="s">
        <v>198</v>
      </c>
      <c r="I126" s="7"/>
    </row>
    <row r="127" customFormat="false" ht="15" hidden="false" customHeight="false" outlineLevel="0" collapsed="false">
      <c r="A127" s="7" t="s">
        <v>445</v>
      </c>
      <c r="B127" s="7" t="s">
        <v>446</v>
      </c>
      <c r="C127" s="31" t="n">
        <v>0.506433514179896</v>
      </c>
      <c r="D127" s="31" t="n">
        <v>0.50935</v>
      </c>
      <c r="E127" s="23" t="n">
        <f aca="false">ABS(C127-D127)</f>
        <v>0.00291648582010451</v>
      </c>
      <c r="F127" s="44" t="n">
        <v>0.00647135395601824</v>
      </c>
      <c r="G127" s="24" t="str">
        <f aca="false">IF(E127&lt;=F127,"PASS","FAIL")</f>
        <v>PASS</v>
      </c>
      <c r="H127" s="41" t="s">
        <v>198</v>
      </c>
      <c r="I127" s="7"/>
    </row>
    <row r="128" customFormat="false" ht="15" hidden="false" customHeight="false" outlineLevel="0" collapsed="false">
      <c r="A128" s="7" t="s">
        <v>447</v>
      </c>
      <c r="B128" s="7" t="s">
        <v>448</v>
      </c>
      <c r="C128" s="31" t="n">
        <v>4.39999973857457</v>
      </c>
      <c r="D128" s="31" t="n">
        <v>4.41762770959341</v>
      </c>
      <c r="E128" s="23" t="n">
        <f aca="false">ABS(C128-D128)</f>
        <v>0.0176279710188432</v>
      </c>
      <c r="F128" s="44" t="n">
        <v>0.06</v>
      </c>
      <c r="G128" s="24" t="str">
        <f aca="false">IF(E128&lt;=F128,"PASS","FAIL")</f>
        <v>PASS</v>
      </c>
      <c r="H128" s="41" t="s">
        <v>198</v>
      </c>
      <c r="I128" s="7"/>
    </row>
    <row r="129" customFormat="false" ht="15" hidden="false" customHeight="false" outlineLevel="0" collapsed="false">
      <c r="A129" s="7" t="s">
        <v>449</v>
      </c>
      <c r="B129" s="7" t="s">
        <v>450</v>
      </c>
      <c r="C129" s="31" t="n">
        <v>46808.0196472728</v>
      </c>
      <c r="D129" s="31" t="n">
        <v>46805.2801728503</v>
      </c>
      <c r="E129" s="23" t="n">
        <f aca="false">ABS(C129-D129)</f>
        <v>2.73947442241479</v>
      </c>
      <c r="F129" s="44" t="n">
        <v>1445.47577796461</v>
      </c>
      <c r="G129" s="24" t="str">
        <f aca="false">IF(E129&lt;=F129,"PASS","FAIL")</f>
        <v>PASS</v>
      </c>
      <c r="H129" s="41" t="s">
        <v>198</v>
      </c>
      <c r="I129" s="7"/>
    </row>
    <row r="130" customFormat="false" ht="15" hidden="false" customHeight="false" outlineLevel="0" collapsed="false">
      <c r="A130" s="7" t="s">
        <v>451</v>
      </c>
      <c r="B130" s="7" t="s">
        <v>452</v>
      </c>
      <c r="C130" s="31" t="n">
        <v>46808.0196472728</v>
      </c>
      <c r="D130" s="31" t="n">
        <v>46951.9813906762</v>
      </c>
      <c r="E130" s="23" t="n">
        <f aca="false">ABS(C130-D130)</f>
        <v>143.961743403452</v>
      </c>
      <c r="F130" s="44" t="n">
        <v>317.801020703691</v>
      </c>
      <c r="G130" s="24" t="str">
        <f aca="false">IF(E130&lt;=F130,"PASS","FAIL")</f>
        <v>PASS</v>
      </c>
      <c r="H130" s="41" t="s">
        <v>198</v>
      </c>
      <c r="I130" s="7"/>
    </row>
    <row r="131" customFormat="false" ht="15" hidden="false" customHeight="false" outlineLevel="0" collapsed="false">
      <c r="A131" s="7" t="s">
        <v>453</v>
      </c>
      <c r="B131" s="7" t="s">
        <v>454</v>
      </c>
      <c r="C131" s="31" t="n">
        <v>24.6759416576751</v>
      </c>
      <c r="D131" s="31" t="n">
        <v>24.7008582502157</v>
      </c>
      <c r="E131" s="23" t="n">
        <f aca="false">ABS(C131-D131)</f>
        <v>0.0249165925405812</v>
      </c>
      <c r="F131" s="44" t="n">
        <v>0.0492072028938257</v>
      </c>
      <c r="G131" s="24" t="str">
        <f aca="false">IF(E131&lt;=F131,"PASS","FAIL")</f>
        <v>PASS</v>
      </c>
      <c r="H131" s="41" t="s">
        <v>198</v>
      </c>
      <c r="I131" s="7"/>
    </row>
    <row r="132" customFormat="false" ht="15" hidden="false" customHeight="false" outlineLevel="0" collapsed="false">
      <c r="A132" s="7" t="s">
        <v>455</v>
      </c>
      <c r="B132" s="7" t="s">
        <v>456</v>
      </c>
      <c r="C132" s="31" t="n">
        <v>0.503139679308302</v>
      </c>
      <c r="D132" s="31" t="n">
        <v>0.50504</v>
      </c>
      <c r="E132" s="23" t="n">
        <f aca="false">ABS(C132-D132)</f>
        <v>0.00190032069169765</v>
      </c>
      <c r="F132" s="44" t="n">
        <v>0.00647190875041072</v>
      </c>
      <c r="G132" s="24" t="str">
        <f aca="false">IF(E132&lt;=F132,"PASS","FAIL")</f>
        <v>PASS</v>
      </c>
      <c r="H132" s="41" t="s">
        <v>198</v>
      </c>
      <c r="I132" s="7"/>
    </row>
    <row r="133" customFormat="false" ht="15" hidden="false" customHeight="false" outlineLevel="0" collapsed="false">
      <c r="A133" s="7" t="s">
        <v>457</v>
      </c>
      <c r="B133" s="7" t="s">
        <v>458</v>
      </c>
      <c r="C133" s="31" t="n">
        <v>4.37999973832406</v>
      </c>
      <c r="D133" s="31" t="n">
        <v>4.39202270157995</v>
      </c>
      <c r="E133" s="23" t="n">
        <f aca="false">ABS(C133-D133)</f>
        <v>0.0120229632558857</v>
      </c>
      <c r="F133" s="44" t="n">
        <v>0.06</v>
      </c>
      <c r="G133" s="24" t="str">
        <f aca="false">IF(E133&lt;=F133,"PASS","FAIL")</f>
        <v>PASS</v>
      </c>
      <c r="H133" s="41" t="s">
        <v>198</v>
      </c>
      <c r="I133" s="7"/>
    </row>
    <row r="134" customFormat="false" ht="15" hidden="false" customHeight="false" outlineLevel="0" collapsed="false">
      <c r="A134" s="7" t="s">
        <v>459</v>
      </c>
      <c r="B134" s="7" t="s">
        <v>460</v>
      </c>
      <c r="C134" s="31" t="n">
        <v>57696.2172782606</v>
      </c>
      <c r="D134" s="31" t="n">
        <v>57700.1291222235</v>
      </c>
      <c r="E134" s="23" t="n">
        <f aca="false">ABS(C134-D134)</f>
        <v>3.9118439628437</v>
      </c>
      <c r="F134" s="44" t="n">
        <v>1416.33569106036</v>
      </c>
      <c r="G134" s="24" t="str">
        <f aca="false">IF(E134&lt;=F134,"PASS","FAIL")</f>
        <v>PASS</v>
      </c>
      <c r="H134" s="41" t="s">
        <v>198</v>
      </c>
      <c r="I134" s="7"/>
    </row>
    <row r="135" customFormat="false" ht="15" hidden="false" customHeight="false" outlineLevel="0" collapsed="false">
      <c r="A135" s="7" t="s">
        <v>461</v>
      </c>
      <c r="B135" s="7" t="s">
        <v>462</v>
      </c>
      <c r="C135" s="31" t="n">
        <v>57696.2172782606</v>
      </c>
      <c r="D135" s="31" t="n">
        <v>57880.4858342356</v>
      </c>
      <c r="E135" s="23" t="n">
        <f aca="false">ABS(C135-D135)</f>
        <v>184.268555974995</v>
      </c>
      <c r="F135" s="44" t="n">
        <v>312.627003887032</v>
      </c>
      <c r="G135" s="24" t="str">
        <f aca="false">IF(E135&lt;=F135,"PASS","FAIL")</f>
        <v>PASS</v>
      </c>
      <c r="H135" s="41" t="s">
        <v>198</v>
      </c>
      <c r="I135" s="7"/>
    </row>
    <row r="136" customFormat="false" ht="15" hidden="false" customHeight="false" outlineLevel="0" collapsed="false">
      <c r="A136" s="7" t="s">
        <v>463</v>
      </c>
      <c r="B136" s="7" t="s">
        <v>464</v>
      </c>
      <c r="C136" s="31" t="n">
        <v>24.8825192908939</v>
      </c>
      <c r="D136" s="31" t="n">
        <v>24.9123206332286</v>
      </c>
      <c r="E136" s="23" t="n">
        <f aca="false">ABS(C136-D136)</f>
        <v>0.0298013423347605</v>
      </c>
      <c r="F136" s="44" t="n">
        <v>0.0476576055811475</v>
      </c>
      <c r="G136" s="24" t="str">
        <f aca="false">IF(E136&lt;=F136,"PASS","FAIL")</f>
        <v>PASS</v>
      </c>
      <c r="H136" s="41" t="s">
        <v>198</v>
      </c>
      <c r="I136" s="7"/>
    </row>
    <row r="137" customFormat="false" ht="15" hidden="false" customHeight="false" outlineLevel="0" collapsed="false">
      <c r="A137" s="7" t="s">
        <v>465</v>
      </c>
      <c r="B137" s="7" t="s">
        <v>466</v>
      </c>
      <c r="C137" s="31" t="n">
        <v>0.562735580381541</v>
      </c>
      <c r="D137" s="31" t="n">
        <v>0.564465</v>
      </c>
      <c r="E137" s="23" t="n">
        <f aca="false">ABS(C137-D137)</f>
        <v>0.00172941961845885</v>
      </c>
      <c r="F137" s="44" t="n">
        <v>0.00643481015399758</v>
      </c>
      <c r="G137" s="24" t="str">
        <f aca="false">IF(E137&lt;=F137,"PASS","FAIL")</f>
        <v>PASS</v>
      </c>
      <c r="H137" s="41" t="s">
        <v>198</v>
      </c>
      <c r="I137" s="7"/>
    </row>
    <row r="138" customFormat="false" ht="15" hidden="false" customHeight="false" outlineLevel="0" collapsed="false">
      <c r="A138" s="7" t="s">
        <v>467</v>
      </c>
      <c r="B138" s="7" t="s">
        <v>468</v>
      </c>
      <c r="C138" s="31" t="n">
        <v>4.75833307355078</v>
      </c>
      <c r="D138" s="31" t="n">
        <v>4.77369764274446</v>
      </c>
      <c r="E138" s="23" t="n">
        <f aca="false">ABS(C138-D138)</f>
        <v>0.0153645691936806</v>
      </c>
      <c r="F138" s="44" t="n">
        <v>0.06</v>
      </c>
      <c r="G138" s="24" t="str">
        <f aca="false">IF(E138&lt;=F138,"PASS","FAIL")</f>
        <v>PASS</v>
      </c>
      <c r="H138" s="41" t="s">
        <v>198</v>
      </c>
      <c r="I138" s="7"/>
    </row>
    <row r="139" customFormat="false" ht="15" hidden="false" customHeight="false" outlineLevel="0" collapsed="false">
      <c r="A139" s="7" t="s">
        <v>469</v>
      </c>
      <c r="B139" s="7" t="s">
        <v>470</v>
      </c>
      <c r="C139" s="31" t="n">
        <v>56505.9999662097</v>
      </c>
      <c r="D139" s="31" t="n">
        <v>56444.8357756797</v>
      </c>
      <c r="E139" s="23" t="n">
        <f aca="false">ABS(C139-D139)</f>
        <v>61.1641905300639</v>
      </c>
      <c r="F139" s="44" t="n">
        <v>1430.2097962871</v>
      </c>
      <c r="G139" s="24" t="str">
        <f aca="false">IF(E139&lt;=F139,"PASS","FAIL")</f>
        <v>PASS</v>
      </c>
      <c r="H139" s="41" t="s">
        <v>198</v>
      </c>
      <c r="I139" s="7"/>
    </row>
    <row r="140" customFormat="false" ht="15" hidden="false" customHeight="false" outlineLevel="0" collapsed="false">
      <c r="A140" s="7" t="s">
        <v>471</v>
      </c>
      <c r="B140" s="7" t="s">
        <v>472</v>
      </c>
      <c r="C140" s="31" t="n">
        <v>56505.9999662097</v>
      </c>
      <c r="D140" s="31" t="n">
        <v>56622.4457643222</v>
      </c>
      <c r="E140" s="23" t="n">
        <f aca="false">ABS(C140-D140)</f>
        <v>116.445798112494</v>
      </c>
      <c r="F140" s="44" t="n">
        <v>313.651440500959</v>
      </c>
      <c r="G140" s="24" t="str">
        <f aca="false">IF(E140&lt;=F140,"PASS","FAIL")</f>
        <v>PASS</v>
      </c>
      <c r="H140" s="41" t="s">
        <v>198</v>
      </c>
      <c r="I140" s="7"/>
    </row>
    <row r="141" customFormat="false" ht="15" hidden="false" customHeight="false" outlineLevel="0" collapsed="false">
      <c r="A141" s="7" t="s">
        <v>473</v>
      </c>
      <c r="B141" s="7" t="s">
        <v>474</v>
      </c>
      <c r="C141" s="31" t="n">
        <v>24.8854304817346</v>
      </c>
      <c r="D141" s="31" t="n">
        <v>24.9135381828467</v>
      </c>
      <c r="E141" s="23" t="n">
        <f aca="false">ABS(C141-D141)</f>
        <v>0.0281077011120914</v>
      </c>
      <c r="F141" s="44" t="n">
        <v>0.0478909597499322</v>
      </c>
      <c r="G141" s="24" t="str">
        <f aca="false">IF(E141&lt;=F141,"PASS","FAIL")</f>
        <v>PASS</v>
      </c>
      <c r="H141" s="41" t="s">
        <v>198</v>
      </c>
      <c r="I141" s="7"/>
    </row>
    <row r="142" customFormat="false" ht="15" hidden="false" customHeight="false" outlineLevel="0" collapsed="false">
      <c r="A142" s="7" t="s">
        <v>475</v>
      </c>
      <c r="B142" s="7" t="s">
        <v>476</v>
      </c>
      <c r="C142" s="31" t="n">
        <v>0.559484731912395</v>
      </c>
      <c r="D142" s="31" t="n">
        <v>0.56031</v>
      </c>
      <c r="E142" s="23" t="n">
        <f aca="false">ABS(C142-D142)</f>
        <v>0.000825268087604525</v>
      </c>
      <c r="F142" s="44" t="n">
        <v>0.0064394837889106</v>
      </c>
      <c r="G142" s="24" t="str">
        <f aca="false">IF(E142&lt;=F142,"PASS","FAIL")</f>
        <v>PASS</v>
      </c>
      <c r="H142" s="41" t="s">
        <v>198</v>
      </c>
      <c r="I142" s="7"/>
    </row>
    <row r="143" customFormat="false" ht="15" hidden="false" customHeight="false" outlineLevel="0" collapsed="false">
      <c r="A143" s="7" t="s">
        <v>477</v>
      </c>
      <c r="B143" s="7" t="s">
        <v>478</v>
      </c>
      <c r="C143" s="31" t="n">
        <v>4.73833307330027</v>
      </c>
      <c r="D143" s="31" t="n">
        <v>4.74809263473099</v>
      </c>
      <c r="E143" s="23" t="n">
        <f aca="false">ABS(C143-D143)</f>
        <v>0.0097595614307231</v>
      </c>
      <c r="F143" s="44" t="n">
        <v>0.06</v>
      </c>
      <c r="G143" s="24" t="str">
        <f aca="false">IF(E143&lt;=F143,"PASS","FAIL")</f>
        <v>PASS</v>
      </c>
      <c r="H143" s="41" t="s">
        <v>198</v>
      </c>
      <c r="I143" s="7"/>
    </row>
    <row r="144" customFormat="false" ht="15" hidden="false" customHeight="false" outlineLevel="0" collapsed="false">
      <c r="A144" s="7" t="s">
        <v>479</v>
      </c>
      <c r="B144" s="7" t="s">
        <v>480</v>
      </c>
      <c r="C144" s="31" t="n">
        <v>49674.0112293712</v>
      </c>
      <c r="D144" s="31" t="n">
        <v>49490.8114192248</v>
      </c>
      <c r="E144" s="23" t="n">
        <f aca="false">ABS(C144-D144)</f>
        <v>183.19981014642</v>
      </c>
      <c r="F144" s="44" t="n">
        <v>1450.74427358174</v>
      </c>
      <c r="G144" s="24" t="str">
        <f aca="false">IF(E144&lt;=F144,"PASS","FAIL")</f>
        <v>PASS</v>
      </c>
      <c r="H144" s="41" t="s">
        <v>198</v>
      </c>
      <c r="I144" s="7"/>
    </row>
    <row r="145" customFormat="false" ht="15" hidden="false" customHeight="false" outlineLevel="0" collapsed="false">
      <c r="A145" s="7" t="s">
        <v>481</v>
      </c>
      <c r="B145" s="7" t="s">
        <v>482</v>
      </c>
      <c r="C145" s="31" t="n">
        <v>49674.0112293712</v>
      </c>
      <c r="D145" s="31" t="n">
        <v>49828.725334353</v>
      </c>
      <c r="E145" s="23" t="n">
        <f aca="false">ABS(C145-D145)</f>
        <v>154.714104981758</v>
      </c>
      <c r="F145" s="44" t="n">
        <v>321.620907251027</v>
      </c>
      <c r="G145" s="24" t="str">
        <f aca="false">IF(E145&lt;=F145,"PASS","FAIL")</f>
        <v>PASS</v>
      </c>
      <c r="H145" s="41" t="s">
        <v>198</v>
      </c>
      <c r="I145" s="7"/>
    </row>
    <row r="146" customFormat="false" ht="15" hidden="false" customHeight="false" outlineLevel="0" collapsed="false">
      <c r="A146" s="7" t="s">
        <v>483</v>
      </c>
      <c r="B146" s="7" t="s">
        <v>484</v>
      </c>
      <c r="C146" s="31" t="n">
        <v>24.952746980971</v>
      </c>
      <c r="D146" s="31" t="n">
        <v>24.9861386496155</v>
      </c>
      <c r="E146" s="23" t="n">
        <f aca="false">ABS(C146-D146)</f>
        <v>0.0333916686445193</v>
      </c>
      <c r="F146" s="44" t="n">
        <v>0.047123929509413</v>
      </c>
      <c r="G146" s="24" t="str">
        <f aca="false">IF(E146&lt;=F146,"PASS","FAIL")</f>
        <v>PASS</v>
      </c>
      <c r="H146" s="41" t="s">
        <v>198</v>
      </c>
      <c r="I146" s="7"/>
    </row>
    <row r="147" customFormat="false" ht="15" hidden="false" customHeight="false" outlineLevel="0" collapsed="false">
      <c r="A147" s="7" t="s">
        <v>485</v>
      </c>
      <c r="B147" s="7" t="s">
        <v>486</v>
      </c>
      <c r="C147" s="31" t="n">
        <v>0.550635225127461</v>
      </c>
      <c r="D147" s="31" t="n">
        <v>0.55244</v>
      </c>
      <c r="E147" s="23" t="n">
        <f aca="false">ABS(C147-D147)</f>
        <v>0.00180477487253938</v>
      </c>
      <c r="F147" s="44" t="n">
        <v>0.0064474716089032</v>
      </c>
      <c r="G147" s="24" t="str">
        <f aca="false">IF(E147&lt;=F147,"PASS","FAIL")</f>
        <v>PASS</v>
      </c>
      <c r="H147" s="41" t="s">
        <v>198</v>
      </c>
      <c r="I147" s="7"/>
    </row>
    <row r="148" customFormat="false" ht="15" hidden="false" customHeight="false" outlineLevel="0" collapsed="false">
      <c r="A148" s="7" t="s">
        <v>487</v>
      </c>
      <c r="B148" s="7" t="s">
        <v>488</v>
      </c>
      <c r="C148" s="31" t="n">
        <v>4.69166640524544</v>
      </c>
      <c r="D148" s="31" t="n">
        <v>4.70416349444174</v>
      </c>
      <c r="E148" s="23" t="n">
        <f aca="false">ABS(C148-D148)</f>
        <v>0.0124970891963008</v>
      </c>
      <c r="F148" s="44" t="n">
        <v>0.06</v>
      </c>
      <c r="G148" s="24" t="str">
        <f aca="false">IF(E148&lt;=F148,"PASS","FAIL")</f>
        <v>PASS</v>
      </c>
      <c r="H148" s="41" t="s">
        <v>198</v>
      </c>
      <c r="I148" s="7"/>
    </row>
    <row r="149" customFormat="false" ht="15" hidden="false" customHeight="false" outlineLevel="0" collapsed="false">
      <c r="A149" s="7" t="s">
        <v>489</v>
      </c>
      <c r="B149" s="7" t="s">
        <v>490</v>
      </c>
      <c r="C149" s="31" t="n">
        <v>52118.2340867253</v>
      </c>
      <c r="D149" s="31" t="n">
        <v>52044.4040291649</v>
      </c>
      <c r="E149" s="23" t="n">
        <f aca="false">ABS(C149-D149)</f>
        <v>73.8300575603862</v>
      </c>
      <c r="F149" s="44" t="n">
        <v>1232.79414462067</v>
      </c>
      <c r="G149" s="24" t="str">
        <f aca="false">IF(E149&lt;=F149,"PASS","FAIL")</f>
        <v>PASS</v>
      </c>
      <c r="H149" s="41" t="s">
        <v>198</v>
      </c>
      <c r="I149" s="7"/>
    </row>
    <row r="150" customFormat="false" ht="15" hidden="false" customHeight="false" outlineLevel="0" collapsed="false">
      <c r="A150" s="7" t="s">
        <v>491</v>
      </c>
      <c r="B150" s="7" t="s">
        <v>492</v>
      </c>
      <c r="C150" s="31" t="n">
        <v>52118.2340867253</v>
      </c>
      <c r="D150" s="31" t="n">
        <v>52320.5677634596</v>
      </c>
      <c r="E150" s="23" t="n">
        <f aca="false">ABS(C150-D150)</f>
        <v>202.33367673427</v>
      </c>
      <c r="F150" s="44" t="n">
        <v>272.948887243911</v>
      </c>
      <c r="G150" s="24" t="str">
        <f aca="false">IF(E150&lt;=F150,"PASS","FAIL")</f>
        <v>PASS</v>
      </c>
      <c r="H150" s="41" t="s">
        <v>198</v>
      </c>
      <c r="I150" s="7"/>
    </row>
    <row r="151" customFormat="false" ht="15" hidden="false" customHeight="false" outlineLevel="0" collapsed="false">
      <c r="A151" s="7" t="s">
        <v>493</v>
      </c>
      <c r="B151" s="7" t="s">
        <v>494</v>
      </c>
      <c r="C151" s="31" t="n">
        <v>23.5288954385083</v>
      </c>
      <c r="D151" s="31" t="n">
        <v>23.5619274099624</v>
      </c>
      <c r="E151" s="23" t="n">
        <f aca="false">ABS(C151-D151)</f>
        <v>0.0330319714541218</v>
      </c>
      <c r="F151" s="44" t="n">
        <v>0.0481541056240151</v>
      </c>
      <c r="G151" s="24" t="str">
        <f aca="false">IF(E151&lt;=F151,"PASS","FAIL")</f>
        <v>PASS</v>
      </c>
      <c r="H151" s="41" t="s">
        <v>198</v>
      </c>
      <c r="I151" s="7"/>
    </row>
    <row r="152" customFormat="false" ht="15" hidden="false" customHeight="false" outlineLevel="0" collapsed="false">
      <c r="A152" s="7" t="s">
        <v>495</v>
      </c>
      <c r="B152" s="7" t="s">
        <v>496</v>
      </c>
      <c r="C152" s="31" t="n">
        <v>0.408122669207344</v>
      </c>
      <c r="D152" s="31" t="n">
        <v>0.41014</v>
      </c>
      <c r="E152" s="23" t="n">
        <f aca="false">ABS(C152-D152)</f>
        <v>0.00201733079265631</v>
      </c>
      <c r="F152" s="44" t="n">
        <v>0.00639931976923706</v>
      </c>
      <c r="G152" s="24" t="str">
        <f aca="false">IF(E152&lt;=F152,"PASS","FAIL")</f>
        <v>PASS</v>
      </c>
      <c r="H152" s="41" t="s">
        <v>198</v>
      </c>
      <c r="I152" s="7"/>
    </row>
    <row r="153" customFormat="false" ht="15" hidden="false" customHeight="false" outlineLevel="0" collapsed="false">
      <c r="A153" s="7" t="s">
        <v>497</v>
      </c>
      <c r="B153" s="7" t="s">
        <v>498</v>
      </c>
      <c r="C153" s="31" t="n">
        <v>3.70833307354267</v>
      </c>
      <c r="D153" s="31" t="n">
        <v>3.72560677250326</v>
      </c>
      <c r="E153" s="23" t="n">
        <f aca="false">ABS(C153-D153)</f>
        <v>0.0172736989605831</v>
      </c>
      <c r="F153" s="44" t="n">
        <v>0.06</v>
      </c>
      <c r="G153" s="24" t="str">
        <f aca="false">IF(E153&lt;=F153,"PASS","FAIL")</f>
        <v>PASS</v>
      </c>
      <c r="H153" s="41" t="s">
        <v>198</v>
      </c>
      <c r="I153" s="7"/>
    </row>
    <row r="154" customFormat="false" ht="15" hidden="false" customHeight="false" outlineLevel="0" collapsed="false">
      <c r="A154" s="7" t="s">
        <v>499</v>
      </c>
      <c r="B154" s="7" t="s">
        <v>500</v>
      </c>
      <c r="C154" s="31" t="n">
        <v>50955.1566308299</v>
      </c>
      <c r="D154" s="31" t="n">
        <v>50810.9739276758</v>
      </c>
      <c r="E154" s="23" t="n">
        <f aca="false">ABS(C154-D154)</f>
        <v>144.182703154125</v>
      </c>
      <c r="F154" s="44" t="n">
        <v>1243.99693659867</v>
      </c>
      <c r="G154" s="24" t="str">
        <f aca="false">IF(E154&lt;=F154,"PASS","FAIL")</f>
        <v>PASS</v>
      </c>
      <c r="H154" s="41" t="s">
        <v>198</v>
      </c>
      <c r="I154" s="7"/>
    </row>
    <row r="155" customFormat="false" ht="15" hidden="false" customHeight="false" outlineLevel="0" collapsed="false">
      <c r="A155" s="7" t="s">
        <v>501</v>
      </c>
      <c r="B155" s="7" t="s">
        <v>502</v>
      </c>
      <c r="C155" s="31" t="n">
        <v>50955.1566308299</v>
      </c>
      <c r="D155" s="31" t="n">
        <v>51095.3876469634</v>
      </c>
      <c r="E155" s="23" t="n">
        <f aca="false">ABS(C155-D155)</f>
        <v>140.231016133424</v>
      </c>
      <c r="F155" s="44" t="n">
        <v>274.285252370652</v>
      </c>
      <c r="G155" s="24" t="str">
        <f aca="false">IF(E155&lt;=F155,"PASS","FAIL")</f>
        <v>PASS</v>
      </c>
      <c r="H155" s="41" t="s">
        <v>198</v>
      </c>
      <c r="I155" s="7"/>
    </row>
    <row r="156" customFormat="false" ht="15" hidden="false" customHeight="false" outlineLevel="0" collapsed="false">
      <c r="A156" s="7" t="s">
        <v>503</v>
      </c>
      <c r="B156" s="7" t="s">
        <v>504</v>
      </c>
      <c r="C156" s="31" t="n">
        <v>23.5372748917737</v>
      </c>
      <c r="D156" s="31" t="n">
        <v>23.5831111603471</v>
      </c>
      <c r="E156" s="23" t="n">
        <f aca="false">ABS(C156-D156)</f>
        <v>0.0458362685734492</v>
      </c>
      <c r="F156" s="44" t="n">
        <v>0.0487014172202653</v>
      </c>
      <c r="G156" s="24" t="str">
        <f aca="false">IF(E156&lt;=F156,"PASS","FAIL")</f>
        <v>PASS</v>
      </c>
      <c r="H156" s="41" t="s">
        <v>198</v>
      </c>
      <c r="I156" s="7"/>
    </row>
    <row r="157" customFormat="false" ht="15" hidden="false" customHeight="false" outlineLevel="0" collapsed="false">
      <c r="A157" s="7" t="s">
        <v>505</v>
      </c>
      <c r="B157" s="7" t="s">
        <v>506</v>
      </c>
      <c r="C157" s="31" t="n">
        <v>0.405546144990795</v>
      </c>
      <c r="D157" s="31" t="n">
        <v>0.406075</v>
      </c>
      <c r="E157" s="23" t="n">
        <f aca="false">ABS(C157-D157)</f>
        <v>0.000528855009204798</v>
      </c>
      <c r="F157" s="44" t="n">
        <v>0.00639252177570015</v>
      </c>
      <c r="G157" s="24" t="str">
        <f aca="false">IF(E157&lt;=F157,"PASS","FAIL")</f>
        <v>PASS</v>
      </c>
      <c r="H157" s="41" t="s">
        <v>198</v>
      </c>
      <c r="I157" s="7"/>
    </row>
    <row r="158" customFormat="false" ht="15" hidden="false" customHeight="false" outlineLevel="0" collapsed="false">
      <c r="A158" s="7" t="s">
        <v>507</v>
      </c>
      <c r="B158" s="7" t="s">
        <v>508</v>
      </c>
      <c r="C158" s="31" t="n">
        <v>3.68833307329215</v>
      </c>
      <c r="D158" s="31" t="n">
        <v>3.70000176448979</v>
      </c>
      <c r="E158" s="23" t="n">
        <f aca="false">ABS(C158-D158)</f>
        <v>0.0116686911976318</v>
      </c>
      <c r="F158" s="44" t="n">
        <v>0.06</v>
      </c>
      <c r="G158" s="24" t="str">
        <f aca="false">IF(E158&lt;=F158,"PASS","FAIL")</f>
        <v>PASS</v>
      </c>
      <c r="H158" s="41" t="s">
        <v>198</v>
      </c>
      <c r="I158" s="7"/>
    </row>
    <row r="159" customFormat="false" ht="15" hidden="false" customHeight="false" outlineLevel="0" collapsed="false">
      <c r="A159" s="7" t="s">
        <v>509</v>
      </c>
      <c r="B159" s="7" t="s">
        <v>510</v>
      </c>
      <c r="C159" s="31" t="n">
        <v>44179.8172925955</v>
      </c>
      <c r="D159" s="31" t="n">
        <v>43904.5909577308</v>
      </c>
      <c r="E159" s="23" t="n">
        <f aca="false">ABS(C159-D159)</f>
        <v>275.226334864696</v>
      </c>
      <c r="F159" s="44" t="n">
        <v>1265.38180031188</v>
      </c>
      <c r="G159" s="24" t="str">
        <f aca="false">IF(E159&lt;=F159,"PASS","FAIL")</f>
        <v>PASS</v>
      </c>
      <c r="H159" s="41" t="s">
        <v>198</v>
      </c>
      <c r="I159" s="7"/>
    </row>
    <row r="160" customFormat="false" ht="15" hidden="false" customHeight="false" outlineLevel="0" collapsed="false">
      <c r="A160" s="7" t="s">
        <v>511</v>
      </c>
      <c r="B160" s="7" t="s">
        <v>512</v>
      </c>
      <c r="C160" s="31" t="n">
        <v>44179.8172925955</v>
      </c>
      <c r="D160" s="31" t="n">
        <v>44353.3251040505</v>
      </c>
      <c r="E160" s="23" t="n">
        <f aca="false">ABS(C160-D160)</f>
        <v>173.507811454954</v>
      </c>
      <c r="F160" s="44" t="n">
        <v>282.664743563572</v>
      </c>
      <c r="G160" s="24" t="str">
        <f aca="false">IF(E160&lt;=F160,"PASS","FAIL")</f>
        <v>PASS</v>
      </c>
      <c r="H160" s="41" t="s">
        <v>198</v>
      </c>
      <c r="I160" s="7"/>
    </row>
    <row r="161" customFormat="false" ht="15" hidden="false" customHeight="false" outlineLevel="0" collapsed="false">
      <c r="A161" s="7" t="s">
        <v>513</v>
      </c>
      <c r="B161" s="7" t="s">
        <v>514</v>
      </c>
      <c r="C161" s="31" t="n">
        <v>23.6076626423082</v>
      </c>
      <c r="D161" s="31" t="n">
        <v>23.6470296867119</v>
      </c>
      <c r="E161" s="23" t="n">
        <f aca="false">ABS(C161-D161)</f>
        <v>0.0393670444036793</v>
      </c>
      <c r="F161" s="44" t="n">
        <v>0.0485214351454819</v>
      </c>
      <c r="G161" s="24" t="str">
        <f aca="false">IF(E161&lt;=F161,"PASS","FAIL")</f>
        <v>PASS</v>
      </c>
      <c r="H161" s="41" t="s">
        <v>198</v>
      </c>
      <c r="I161" s="7"/>
    </row>
    <row r="162" customFormat="false" ht="15" hidden="false" customHeight="false" outlineLevel="0" collapsed="false">
      <c r="A162" s="7" t="s">
        <v>515</v>
      </c>
      <c r="B162" s="7" t="s">
        <v>516</v>
      </c>
      <c r="C162" s="31" t="n">
        <v>0.402059157477124</v>
      </c>
      <c r="D162" s="31" t="n">
        <v>0.403935</v>
      </c>
      <c r="E162" s="23" t="n">
        <f aca="false">ABS(C162-D162)</f>
        <v>0.0018758425228757</v>
      </c>
      <c r="F162" s="44" t="n">
        <v>0.00638881775219705</v>
      </c>
      <c r="G162" s="24" t="str">
        <f aca="false">IF(E162&lt;=F162,"PASS","FAIL")</f>
        <v>PASS</v>
      </c>
      <c r="H162" s="41" t="s">
        <v>198</v>
      </c>
      <c r="I162" s="7"/>
    </row>
    <row r="163" customFormat="false" ht="15" hidden="false" customHeight="false" outlineLevel="0" collapsed="false">
      <c r="A163" s="7" t="s">
        <v>517</v>
      </c>
      <c r="B163" s="7" t="s">
        <v>518</v>
      </c>
      <c r="C163" s="31" t="n">
        <v>3.64166640523733</v>
      </c>
      <c r="D163" s="31" t="n">
        <v>3.65607262420054</v>
      </c>
      <c r="E163" s="23" t="n">
        <f aca="false">ABS(C163-D163)</f>
        <v>0.014406218963209</v>
      </c>
      <c r="F163" s="44" t="n">
        <v>0.06</v>
      </c>
      <c r="G163" s="24" t="str">
        <f aca="false">IF(E163&lt;=F163,"PASS","FAIL")</f>
        <v>PASS</v>
      </c>
      <c r="H163" s="41" t="s">
        <v>198</v>
      </c>
      <c r="I163" s="7"/>
    </row>
    <row r="164" customFormat="false" ht="15" hidden="false" customHeight="false" outlineLevel="0" collapsed="false">
      <c r="A164" s="7" t="s">
        <v>519</v>
      </c>
      <c r="B164" s="7" t="s">
        <v>520</v>
      </c>
      <c r="C164" s="31" t="n">
        <v>54907.225682493</v>
      </c>
      <c r="D164" s="31" t="n">
        <v>55042.092479511</v>
      </c>
      <c r="E164" s="23" t="n">
        <f aca="false">ABS(C164-D164)</f>
        <v>134.866797017967</v>
      </c>
      <c r="F164" s="44" t="n">
        <v>1361.68341175083</v>
      </c>
      <c r="G164" s="24" t="str">
        <f aca="false">IF(E164&lt;=F164,"PASS","FAIL")</f>
        <v>PASS</v>
      </c>
      <c r="H164" s="41" t="s">
        <v>198</v>
      </c>
      <c r="I164" s="7"/>
    </row>
    <row r="165" customFormat="false" ht="15" hidden="false" customHeight="false" outlineLevel="0" collapsed="false">
      <c r="A165" s="7" t="s">
        <v>521</v>
      </c>
      <c r="B165" s="7" t="s">
        <v>522</v>
      </c>
      <c r="C165" s="31" t="n">
        <v>54907.225682493</v>
      </c>
      <c r="D165" s="31" t="n">
        <v>55104.1926629481</v>
      </c>
      <c r="E165" s="23" t="n">
        <f aca="false">ABS(C165-D165)</f>
        <v>196.966980455116</v>
      </c>
      <c r="F165" s="44" t="n">
        <v>297.934761902475</v>
      </c>
      <c r="G165" s="24" t="str">
        <f aca="false">IF(E165&lt;=F165,"PASS","FAIL")</f>
        <v>PASS</v>
      </c>
      <c r="H165" s="41" t="s">
        <v>198</v>
      </c>
      <c r="I165" s="7"/>
    </row>
    <row r="166" customFormat="false" ht="15" hidden="false" customHeight="false" outlineLevel="0" collapsed="false">
      <c r="A166" s="7" t="s">
        <v>523</v>
      </c>
      <c r="B166" s="7" t="s">
        <v>524</v>
      </c>
      <c r="C166" s="31" t="n">
        <v>24.2981789474743</v>
      </c>
      <c r="D166" s="31" t="n">
        <v>24.3236782589067</v>
      </c>
      <c r="E166" s="23" t="n">
        <f aca="false">ABS(C166-D166)</f>
        <v>0.0254993114324016</v>
      </c>
      <c r="F166" s="44" t="n">
        <v>0.0486957120033069</v>
      </c>
      <c r="G166" s="24" t="str">
        <f aca="false">IF(E166&lt;=F166,"PASS","FAIL")</f>
        <v>PASS</v>
      </c>
      <c r="H166" s="41" t="s">
        <v>198</v>
      </c>
      <c r="I166" s="7"/>
    </row>
    <row r="167" customFormat="false" ht="15" hidden="false" customHeight="false" outlineLevel="0" collapsed="false">
      <c r="A167" s="7" t="s">
        <v>525</v>
      </c>
      <c r="B167" s="7" t="s">
        <v>526</v>
      </c>
      <c r="C167" s="31" t="n">
        <v>0.485429124794443</v>
      </c>
      <c r="D167" s="31" t="n">
        <v>0.48776</v>
      </c>
      <c r="E167" s="23" t="n">
        <f aca="false">ABS(C167-D167)</f>
        <v>0.00233087520555753</v>
      </c>
      <c r="F167" s="44" t="n">
        <v>0.00647079574483112</v>
      </c>
      <c r="G167" s="24" t="str">
        <f aca="false">IF(E167&lt;=F167,"PASS","FAIL")</f>
        <v>PASS</v>
      </c>
      <c r="H167" s="41" t="s">
        <v>198</v>
      </c>
      <c r="I167" s="7"/>
    </row>
    <row r="168" customFormat="false" ht="15" hidden="false" customHeight="false" outlineLevel="0" collapsed="false">
      <c r="A168" s="7" t="s">
        <v>527</v>
      </c>
      <c r="B168" s="7" t="s">
        <v>528</v>
      </c>
      <c r="C168" s="31" t="n">
        <v>4.23333307354673</v>
      </c>
      <c r="D168" s="31" t="n">
        <v>4.25039498386566</v>
      </c>
      <c r="E168" s="23" t="n">
        <f aca="false">ABS(C168-D168)</f>
        <v>0.0170619103189349</v>
      </c>
      <c r="F168" s="44" t="n">
        <v>0.06</v>
      </c>
      <c r="G168" s="24" t="str">
        <f aca="false">IF(E168&lt;=F168,"PASS","FAIL")</f>
        <v>PASS</v>
      </c>
      <c r="H168" s="41" t="s">
        <v>198</v>
      </c>
      <c r="I168" s="7"/>
    </row>
    <row r="169" customFormat="false" ht="15" hidden="false" customHeight="false" outlineLevel="0" collapsed="false">
      <c r="A169" s="7" t="s">
        <v>529</v>
      </c>
      <c r="B169" s="7" t="s">
        <v>530</v>
      </c>
      <c r="C169" s="31" t="n">
        <v>53730.5782985199</v>
      </c>
      <c r="D169" s="31" t="n">
        <v>53786.0955289166</v>
      </c>
      <c r="E169" s="23" t="n">
        <f aca="false">ABS(C169-D169)</f>
        <v>55.5172303967847</v>
      </c>
      <c r="F169" s="44" t="n">
        <v>1369.72259750807</v>
      </c>
      <c r="G169" s="24" t="str">
        <f aca="false">IF(E169&lt;=F169,"PASS","FAIL")</f>
        <v>PASS</v>
      </c>
      <c r="H169" s="41" t="s">
        <v>198</v>
      </c>
      <c r="I169" s="7"/>
    </row>
    <row r="170" customFormat="false" ht="15" hidden="false" customHeight="false" outlineLevel="0" collapsed="false">
      <c r="A170" s="7" t="s">
        <v>531</v>
      </c>
      <c r="B170" s="7" t="s">
        <v>532</v>
      </c>
      <c r="C170" s="31" t="n">
        <v>53730.5782985199</v>
      </c>
      <c r="D170" s="31" t="n">
        <v>53862.5876056723</v>
      </c>
      <c r="E170" s="23" t="n">
        <f aca="false">ABS(C170-D170)</f>
        <v>132.009307152453</v>
      </c>
      <c r="F170" s="44" t="n">
        <v>299.094475410217</v>
      </c>
      <c r="G170" s="24" t="str">
        <f aca="false">IF(E170&lt;=F170,"PASS","FAIL")</f>
        <v>PASS</v>
      </c>
      <c r="H170" s="41" t="s">
        <v>198</v>
      </c>
      <c r="I170" s="7"/>
    </row>
    <row r="171" customFormat="false" ht="15" hidden="false" customHeight="false" outlineLevel="0" collapsed="false">
      <c r="A171" s="7" t="s">
        <v>533</v>
      </c>
      <c r="B171" s="7" t="s">
        <v>534</v>
      </c>
      <c r="C171" s="31" t="n">
        <v>24.3017322538326</v>
      </c>
      <c r="D171" s="31" t="n">
        <v>24.3295320740969</v>
      </c>
      <c r="E171" s="23" t="n">
        <f aca="false">ABS(C171-D171)</f>
        <v>0.027799820264331</v>
      </c>
      <c r="F171" s="44" t="n">
        <v>0.0484042565939906</v>
      </c>
      <c r="G171" s="24" t="str">
        <f aca="false">IF(E171&lt;=F171,"PASS","FAIL")</f>
        <v>PASS</v>
      </c>
      <c r="H171" s="41" t="s">
        <v>198</v>
      </c>
      <c r="I171" s="7"/>
    </row>
    <row r="172" customFormat="false" ht="15" hidden="false" customHeight="false" outlineLevel="0" collapsed="false">
      <c r="A172" s="7" t="s">
        <v>535</v>
      </c>
      <c r="B172" s="7" t="s">
        <v>536</v>
      </c>
      <c r="C172" s="31" t="n">
        <v>0.482515438451595</v>
      </c>
      <c r="D172" s="31" t="n">
        <v>0.483505</v>
      </c>
      <c r="E172" s="23" t="n">
        <f aca="false">ABS(C172-D172)</f>
        <v>0.000989561548404738</v>
      </c>
      <c r="F172" s="44" t="n">
        <v>0.00646970169004599</v>
      </c>
      <c r="G172" s="24" t="str">
        <f aca="false">IF(E172&lt;=F172,"PASS","FAIL")</f>
        <v>PASS</v>
      </c>
      <c r="H172" s="41" t="s">
        <v>198</v>
      </c>
      <c r="I172" s="7"/>
    </row>
    <row r="173" customFormat="false" ht="15" hidden="false" customHeight="false" outlineLevel="0" collapsed="false">
      <c r="A173" s="7" t="s">
        <v>537</v>
      </c>
      <c r="B173" s="7" t="s">
        <v>538</v>
      </c>
      <c r="C173" s="31" t="n">
        <v>4.21333307329621</v>
      </c>
      <c r="D173" s="31" t="n">
        <v>4.2247899758522</v>
      </c>
      <c r="E173" s="23" t="n">
        <f aca="false">ABS(C173-D173)</f>
        <v>0.0114569025559836</v>
      </c>
      <c r="F173" s="44" t="n">
        <v>0.06</v>
      </c>
      <c r="G173" s="24" t="str">
        <f aca="false">IF(E173&lt;=F173,"PASS","FAIL")</f>
        <v>PASS</v>
      </c>
      <c r="H173" s="41" t="s">
        <v>198</v>
      </c>
      <c r="I173" s="7"/>
    </row>
    <row r="174" customFormat="false" ht="15" hidden="false" customHeight="false" outlineLevel="0" collapsed="false">
      <c r="A174" s="7" t="s">
        <v>539</v>
      </c>
      <c r="B174" s="7" t="s">
        <v>540</v>
      </c>
      <c r="C174" s="31" t="n">
        <v>46926.9142609834</v>
      </c>
      <c r="D174" s="31" t="n">
        <v>46862.8858175659</v>
      </c>
      <c r="E174" s="23" t="n">
        <f aca="false">ABS(C174-D174)</f>
        <v>64.0284434174391</v>
      </c>
      <c r="F174" s="44" t="n">
        <v>1394.09235989202</v>
      </c>
      <c r="G174" s="24" t="str">
        <f aca="false">IF(E174&lt;=F174,"PASS","FAIL")</f>
        <v>PASS</v>
      </c>
      <c r="H174" s="41" t="s">
        <v>198</v>
      </c>
      <c r="I174" s="7"/>
    </row>
    <row r="175" customFormat="false" ht="15" hidden="false" customHeight="false" outlineLevel="0" collapsed="false">
      <c r="A175" s="7" t="s">
        <v>541</v>
      </c>
      <c r="B175" s="7" t="s">
        <v>542</v>
      </c>
      <c r="C175" s="31" t="n">
        <v>46926.9142609834</v>
      </c>
      <c r="D175" s="31" t="n">
        <v>47094.8691266716</v>
      </c>
      <c r="E175" s="23" t="n">
        <f aca="false">ABS(C175-D175)</f>
        <v>167.954865688233</v>
      </c>
      <c r="F175" s="44" t="n">
        <v>307.025291797629</v>
      </c>
      <c r="G175" s="24" t="str">
        <f aca="false">IF(E175&lt;=F175,"PASS","FAIL")</f>
        <v>PASS</v>
      </c>
      <c r="H175" s="41" t="s">
        <v>198</v>
      </c>
      <c r="I175" s="7"/>
    </row>
    <row r="176" customFormat="false" ht="15" hidden="false" customHeight="false" outlineLevel="0" collapsed="false">
      <c r="A176" s="7" t="s">
        <v>543</v>
      </c>
      <c r="B176" s="7" t="s">
        <v>544</v>
      </c>
      <c r="C176" s="31" t="n">
        <v>24.3678192315261</v>
      </c>
      <c r="D176" s="31" t="n">
        <v>24.3962763537012</v>
      </c>
      <c r="E176" s="23" t="n">
        <f aca="false">ABS(C176-D176)</f>
        <v>0.0284571221750802</v>
      </c>
      <c r="F176" s="44" t="n">
        <v>0.048375351560193</v>
      </c>
      <c r="G176" s="24" t="str">
        <f aca="false">IF(E176&lt;=F176,"PASS","FAIL")</f>
        <v>PASS</v>
      </c>
      <c r="H176" s="41" t="s">
        <v>198</v>
      </c>
      <c r="I176" s="7"/>
    </row>
    <row r="177" customFormat="false" ht="15" hidden="false" customHeight="false" outlineLevel="0" collapsed="false">
      <c r="A177" s="7" t="s">
        <v>545</v>
      </c>
      <c r="B177" s="7" t="s">
        <v>546</v>
      </c>
      <c r="C177" s="31" t="n">
        <v>0.476347191302292</v>
      </c>
      <c r="D177" s="31" t="n">
        <v>0.478705</v>
      </c>
      <c r="E177" s="23" t="n">
        <f aca="false">ABS(C177-D177)</f>
        <v>0.00235780869770758</v>
      </c>
      <c r="F177" s="44" t="n">
        <v>0.00646807809220027</v>
      </c>
      <c r="G177" s="24" t="str">
        <f aca="false">IF(E177&lt;=F177,"PASS","FAIL")</f>
        <v>PASS</v>
      </c>
      <c r="H177" s="41" t="s">
        <v>198</v>
      </c>
      <c r="I177" s="7"/>
    </row>
    <row r="178" customFormat="false" ht="15" hidden="false" customHeight="false" outlineLevel="0" collapsed="false">
      <c r="A178" s="7" t="s">
        <v>547</v>
      </c>
      <c r="B178" s="7" t="s">
        <v>548</v>
      </c>
      <c r="C178" s="31" t="n">
        <v>4.16666640524139</v>
      </c>
      <c r="D178" s="31" t="n">
        <v>4.18086083556295</v>
      </c>
      <c r="E178" s="23" t="n">
        <f aca="false">ABS(C178-D178)</f>
        <v>0.0141944303215613</v>
      </c>
      <c r="F178" s="44" t="n">
        <v>0.06</v>
      </c>
      <c r="G178" s="24" t="str">
        <f aca="false">IF(E178&lt;=F178,"PASS","FAIL")</f>
        <v>PASS</v>
      </c>
      <c r="H178" s="41" t="s">
        <v>198</v>
      </c>
      <c r="I178" s="7"/>
    </row>
    <row r="179" customFormat="false" ht="15" hidden="false" customHeight="false" outlineLevel="0" collapsed="false">
      <c r="A179" s="7" t="s">
        <v>549</v>
      </c>
      <c r="B179" s="7" t="s">
        <v>550</v>
      </c>
      <c r="C179" s="31" t="n">
        <v>56567.2972531953</v>
      </c>
      <c r="D179" s="31" t="n">
        <v>56430.5766356437</v>
      </c>
      <c r="E179" s="23" t="n">
        <f aca="false">ABS(C179-D179)</f>
        <v>136.720617551604</v>
      </c>
      <c r="F179" s="44" t="n">
        <v>1372.76295115613</v>
      </c>
      <c r="G179" s="24" t="str">
        <f aca="false">IF(E179&lt;=F179,"PASS","FAIL")</f>
        <v>PASS</v>
      </c>
      <c r="H179" s="41" t="s">
        <v>198</v>
      </c>
      <c r="I179" s="7"/>
    </row>
    <row r="180" customFormat="false" ht="15" hidden="false" customHeight="false" outlineLevel="0" collapsed="false">
      <c r="A180" s="7" t="s">
        <v>551</v>
      </c>
      <c r="B180" s="7" t="s">
        <v>552</v>
      </c>
      <c r="C180" s="31" t="n">
        <v>56567.2972531953</v>
      </c>
      <c r="D180" s="31" t="n">
        <v>56711.5193913757</v>
      </c>
      <c r="E180" s="23" t="n">
        <f aca="false">ABS(C180-D180)</f>
        <v>144.222138180397</v>
      </c>
      <c r="F180" s="44" t="n">
        <v>302.749808461301</v>
      </c>
      <c r="G180" s="24" t="str">
        <f aca="false">IF(E180&lt;=F180,"PASS","FAIL")</f>
        <v>PASS</v>
      </c>
      <c r="H180" s="41" t="s">
        <v>198</v>
      </c>
      <c r="I180" s="7"/>
    </row>
    <row r="181" customFormat="false" ht="15" hidden="false" customHeight="false" outlineLevel="0" collapsed="false">
      <c r="A181" s="7" t="s">
        <v>553</v>
      </c>
      <c r="B181" s="7" t="s">
        <v>554</v>
      </c>
      <c r="C181" s="31" t="n">
        <v>24.570676901951</v>
      </c>
      <c r="D181" s="31" t="n">
        <v>24.5947961879967</v>
      </c>
      <c r="E181" s="23" t="n">
        <f aca="false">ABS(C181-D181)</f>
        <v>0.0241192860457602</v>
      </c>
      <c r="F181" s="44" t="n">
        <v>0.0458262352970089</v>
      </c>
      <c r="G181" s="24" t="str">
        <f aca="false">IF(E181&lt;=F181,"PASS","FAIL")</f>
        <v>PASS</v>
      </c>
      <c r="H181" s="41" t="s">
        <v>198</v>
      </c>
      <c r="I181" s="7"/>
    </row>
    <row r="182" customFormat="false" ht="15" hidden="false" customHeight="false" outlineLevel="0" collapsed="false">
      <c r="A182" s="7" t="s">
        <v>555</v>
      </c>
      <c r="B182" s="7" t="s">
        <v>556</v>
      </c>
      <c r="C182" s="31" t="n">
        <v>0.533992232050234</v>
      </c>
      <c r="D182" s="31" t="n">
        <v>0.535105</v>
      </c>
      <c r="E182" s="23" t="n">
        <f aca="false">ABS(C182-D182)</f>
        <v>0.00111276794976611</v>
      </c>
      <c r="F182" s="44" t="n">
        <v>0.00646109976552868</v>
      </c>
      <c r="G182" s="24" t="str">
        <f aca="false">IF(E182&lt;=F182,"PASS","FAIL")</f>
        <v>PASS</v>
      </c>
      <c r="H182" s="41" t="s">
        <v>198</v>
      </c>
      <c r="I182" s="7"/>
    </row>
    <row r="183" customFormat="false" ht="15" hidden="false" customHeight="false" outlineLevel="0" collapsed="false">
      <c r="A183" s="7" t="s">
        <v>557</v>
      </c>
      <c r="B183" s="7" t="s">
        <v>558</v>
      </c>
      <c r="C183" s="31" t="n">
        <v>4.52499974021759</v>
      </c>
      <c r="D183" s="31" t="n">
        <v>4.53693076871399</v>
      </c>
      <c r="E183" s="23" t="n">
        <f aca="false">ABS(C183-D183)</f>
        <v>0.0119310284964058</v>
      </c>
      <c r="F183" s="44" t="n">
        <v>0.06</v>
      </c>
      <c r="G183" s="24" t="str">
        <f aca="false">IF(E183&lt;=F183,"PASS","FAIL")</f>
        <v>PASS</v>
      </c>
      <c r="H183" s="41" t="s">
        <v>198</v>
      </c>
      <c r="I183" s="7"/>
    </row>
    <row r="184" customFormat="false" ht="15" hidden="false" customHeight="false" outlineLevel="0" collapsed="false">
      <c r="A184" s="7" t="s">
        <v>559</v>
      </c>
      <c r="B184" s="7" t="s">
        <v>560</v>
      </c>
      <c r="C184" s="31" t="n">
        <v>51580.124444704</v>
      </c>
      <c r="D184" s="31" t="n">
        <v>51554.9160651012</v>
      </c>
      <c r="E184" s="23" t="n">
        <f aca="false">ABS(C184-D184)</f>
        <v>25.2083796028746</v>
      </c>
      <c r="F184" s="44" t="n">
        <v>1485.82932749547</v>
      </c>
      <c r="G184" s="24" t="str">
        <f aca="false">IF(E184&lt;=F184,"PASS","FAIL")</f>
        <v>PASS</v>
      </c>
      <c r="H184" s="41" t="s">
        <v>198</v>
      </c>
      <c r="I184" s="7"/>
    </row>
    <row r="185" customFormat="false" ht="15" hidden="false" customHeight="false" outlineLevel="0" collapsed="false">
      <c r="A185" s="7" t="s">
        <v>561</v>
      </c>
      <c r="B185" s="7" t="s">
        <v>562</v>
      </c>
      <c r="C185" s="31" t="n">
        <v>51580.124444704</v>
      </c>
      <c r="D185" s="31" t="n">
        <v>51760.5689223899</v>
      </c>
      <c r="E185" s="23" t="n">
        <f aca="false">ABS(C185-D185)</f>
        <v>180.444477685865</v>
      </c>
      <c r="F185" s="44" t="n">
        <v>329.487131940677</v>
      </c>
      <c r="G185" s="24" t="str">
        <f aca="false">IF(E185&lt;=F185,"PASS","FAIL")</f>
        <v>PASS</v>
      </c>
      <c r="H185" s="41" t="s">
        <v>198</v>
      </c>
      <c r="I185" s="7"/>
    </row>
    <row r="186" customFormat="false" ht="15" hidden="false" customHeight="false" outlineLevel="0" collapsed="false">
      <c r="A186" s="7" t="s">
        <v>563</v>
      </c>
      <c r="B186" s="7" t="s">
        <v>564</v>
      </c>
      <c r="C186" s="31" t="n">
        <v>25.1894826771265</v>
      </c>
      <c r="D186" s="31" t="n">
        <v>25.2148657217313</v>
      </c>
      <c r="E186" s="23" t="n">
        <f aca="false">ABS(C186-D186)</f>
        <v>0.0253830446047694</v>
      </c>
      <c r="F186" s="44" t="n">
        <v>0.0464064179278876</v>
      </c>
      <c r="G186" s="24" t="str">
        <f aca="false">IF(E186&lt;=F186,"PASS","FAIL")</f>
        <v>PASS</v>
      </c>
      <c r="H186" s="41" t="s">
        <v>198</v>
      </c>
      <c r="I186" s="7"/>
    </row>
    <row r="187" customFormat="false" ht="15" hidden="false" customHeight="false" outlineLevel="0" collapsed="false">
      <c r="A187" s="7" t="s">
        <v>565</v>
      </c>
      <c r="B187" s="7" t="s">
        <v>566</v>
      </c>
      <c r="C187" s="31" t="n">
        <v>0.569964359230291</v>
      </c>
      <c r="D187" s="31" t="n">
        <v>0.572525</v>
      </c>
      <c r="E187" s="23" t="n">
        <f aca="false">ABS(C187-D187)</f>
        <v>0.00256064076970941</v>
      </c>
      <c r="F187" s="44" t="n">
        <v>0.00642484010445575</v>
      </c>
      <c r="G187" s="24" t="str">
        <f aca="false">IF(E187&lt;=F187,"PASS","FAIL")</f>
        <v>PASS</v>
      </c>
      <c r="H187" s="41" t="s">
        <v>198</v>
      </c>
      <c r="I187" s="7"/>
    </row>
    <row r="188" customFormat="false" ht="15" hidden="false" customHeight="false" outlineLevel="0" collapsed="false">
      <c r="A188" s="7" t="s">
        <v>567</v>
      </c>
      <c r="B188" s="7" t="s">
        <v>568</v>
      </c>
      <c r="C188" s="31" t="n">
        <v>4.85833307166147</v>
      </c>
      <c r="D188" s="31" t="n">
        <v>4.87329919915814</v>
      </c>
      <c r="E188" s="23" t="n">
        <f aca="false">ABS(C188-D188)</f>
        <v>0.0149661274966695</v>
      </c>
      <c r="F188" s="44" t="n">
        <v>0.06</v>
      </c>
      <c r="G188" s="24" t="str">
        <f aca="false">IF(E188&lt;=F188,"PASS","FAIL")</f>
        <v>PASS</v>
      </c>
      <c r="H188" s="41" t="s">
        <v>198</v>
      </c>
      <c r="I188" s="7"/>
    </row>
    <row r="189" customFormat="false" ht="15" hidden="false" customHeight="false" outlineLevel="0" collapsed="false">
      <c r="A189" s="7" t="s">
        <v>569</v>
      </c>
      <c r="B189" s="7" t="s">
        <v>570</v>
      </c>
      <c r="C189" s="31" t="n">
        <v>0</v>
      </c>
      <c r="D189" s="31" t="n">
        <v>1.03830688965353</v>
      </c>
      <c r="E189" s="23" t="n">
        <f aca="false">ABS(C189-D189)</f>
        <v>1.03830688965353</v>
      </c>
      <c r="F189" s="44" t="n">
        <v>4</v>
      </c>
      <c r="G189" s="24" t="str">
        <f aca="false">IF(E189&lt;=F189,"PASS","FAIL")</f>
        <v>PASS</v>
      </c>
      <c r="H189" s="41" t="s">
        <v>198</v>
      </c>
      <c r="I189" s="7"/>
    </row>
    <row r="190" customFormat="false" ht="15" hidden="false" customHeight="false" outlineLevel="0" collapsed="false">
      <c r="A190" s="7" t="s">
        <v>571</v>
      </c>
      <c r="B190" s="7" t="s">
        <v>572</v>
      </c>
      <c r="C190" s="31" t="n">
        <v>0</v>
      </c>
      <c r="D190" s="31" t="n">
        <v>0</v>
      </c>
      <c r="E190" s="23" t="n">
        <f aca="false">ABS(C190-D190)</f>
        <v>0</v>
      </c>
      <c r="F190" s="44" t="n">
        <v>0</v>
      </c>
      <c r="G190" s="24" t="str">
        <f aca="false">IF(E190&lt;=F190,"PASS","FAIL")</f>
        <v>PASS</v>
      </c>
      <c r="H190" s="41" t="s">
        <v>198</v>
      </c>
      <c r="I190" s="7" t="s">
        <v>573</v>
      </c>
    </row>
    <row r="191" customFormat="false" ht="15" hidden="false" customHeight="false" outlineLevel="0" collapsed="false">
      <c r="A191" s="7" t="s">
        <v>574</v>
      </c>
      <c r="B191" s="7" t="s">
        <v>575</v>
      </c>
      <c r="C191" s="31" t="n">
        <v>2400</v>
      </c>
      <c r="D191" s="31" t="n">
        <v>2400</v>
      </c>
      <c r="E191" s="23" t="n">
        <f aca="false">ABS(C191-D191)</f>
        <v>0</v>
      </c>
      <c r="F191" s="44" t="n">
        <v>1E-006</v>
      </c>
      <c r="G191" s="24" t="str">
        <f aca="false">IF(E191&lt;=F191,"PASS","FAIL")</f>
        <v>PASS</v>
      </c>
      <c r="H191" s="41" t="s">
        <v>198</v>
      </c>
      <c r="I191" s="7"/>
    </row>
    <row r="192" customFormat="false" ht="15" hidden="false" customHeight="false" outlineLevel="0" collapsed="false">
      <c r="A192" s="7" t="s">
        <v>576</v>
      </c>
      <c r="B192" s="7" t="s">
        <v>577</v>
      </c>
      <c r="C192" s="31" t="n">
        <v>0.428571428571429</v>
      </c>
      <c r="D192" s="31" t="n">
        <v>0.428571428571429</v>
      </c>
      <c r="E192" s="23" t="n">
        <f aca="false">ABS(C192-D192)</f>
        <v>0</v>
      </c>
      <c r="F192" s="44" t="n">
        <v>1E-012</v>
      </c>
      <c r="G192" s="24" t="str">
        <f aca="false">IF(E192&lt;=F192,"PASS","FAIL")</f>
        <v>PASS</v>
      </c>
      <c r="H192" s="41" t="s">
        <v>198</v>
      </c>
      <c r="I192" s="7"/>
    </row>
    <row r="193" customFormat="false" ht="15" hidden="false" customHeight="false" outlineLevel="0" collapsed="false">
      <c r="A193" s="7" t="s">
        <v>578</v>
      </c>
      <c r="B193" s="7" t="s">
        <v>579</v>
      </c>
      <c r="C193" s="31" t="n">
        <v>0.285714285714286</v>
      </c>
      <c r="D193" s="31" t="n">
        <v>0.285714285714286</v>
      </c>
      <c r="E193" s="23" t="n">
        <f aca="false">ABS(C193-D193)</f>
        <v>0</v>
      </c>
      <c r="F193" s="44" t="n">
        <v>1E-012</v>
      </c>
      <c r="G193" s="24" t="str">
        <f aca="false">IF(E193&lt;=F193,"PASS","FAIL")</f>
        <v>PASS</v>
      </c>
      <c r="H193" s="41" t="s">
        <v>198</v>
      </c>
      <c r="I193" s="7"/>
    </row>
    <row r="194" customFormat="false" ht="15" hidden="false" customHeight="false" outlineLevel="0" collapsed="false">
      <c r="A194" s="7" t="s">
        <v>580</v>
      </c>
      <c r="B194" s="7" t="s">
        <v>581</v>
      </c>
      <c r="C194" s="31" t="n">
        <v>1200</v>
      </c>
      <c r="D194" s="31" t="n">
        <v>1200</v>
      </c>
      <c r="E194" s="23" t="n">
        <f aca="false">ABS(C194-D194)</f>
        <v>0</v>
      </c>
      <c r="F194" s="44" t="n">
        <v>1E-006</v>
      </c>
      <c r="G194" s="24" t="str">
        <f aca="false">IF(E194&lt;=F194,"PASS","FAIL")</f>
        <v>PASS</v>
      </c>
      <c r="H194" s="41" t="s">
        <v>198</v>
      </c>
      <c r="I194" s="7"/>
    </row>
    <row r="195" customFormat="false" ht="15" hidden="false" customHeight="false" outlineLevel="0" collapsed="false">
      <c r="A195" s="7" t="s">
        <v>582</v>
      </c>
      <c r="B195" s="7" t="s">
        <v>583</v>
      </c>
      <c r="C195" s="31" t="n">
        <v>0.214285714285714</v>
      </c>
      <c r="D195" s="31" t="n">
        <v>0.214285714285714</v>
      </c>
      <c r="E195" s="23" t="n">
        <f aca="false">ABS(C195-D195)</f>
        <v>0</v>
      </c>
      <c r="F195" s="44" t="n">
        <v>1E-012</v>
      </c>
      <c r="G195" s="24" t="str">
        <f aca="false">IF(E195&lt;=F195,"PASS","FAIL")</f>
        <v>PASS</v>
      </c>
      <c r="H195" s="41" t="s">
        <v>198</v>
      </c>
      <c r="I195" s="7"/>
    </row>
    <row r="196" customFormat="false" ht="15" hidden="false" customHeight="false" outlineLevel="0" collapsed="false">
      <c r="A196" s="7" t="s">
        <v>584</v>
      </c>
      <c r="B196" s="7" t="s">
        <v>585</v>
      </c>
      <c r="C196" s="31" t="n">
        <v>0.392857142857143</v>
      </c>
      <c r="D196" s="31" t="n">
        <v>0.392857142857143</v>
      </c>
      <c r="E196" s="23" t="n">
        <f aca="false">ABS(C196-D196)</f>
        <v>0</v>
      </c>
      <c r="F196" s="44" t="n">
        <v>1E-012</v>
      </c>
      <c r="G196" s="24" t="str">
        <f aca="false">IF(E196&lt;=F196,"PASS","FAIL")</f>
        <v>PASS</v>
      </c>
      <c r="H196" s="41" t="s">
        <v>198</v>
      </c>
      <c r="I196" s="7"/>
    </row>
    <row r="197" customFormat="false" ht="15" hidden="false" customHeight="false" outlineLevel="0" collapsed="false">
      <c r="A197" s="7" t="s">
        <v>586</v>
      </c>
      <c r="B197" s="7" t="s">
        <v>587</v>
      </c>
      <c r="C197" s="31" t="n">
        <v>-7666.66666666667</v>
      </c>
      <c r="D197" s="31" t="n">
        <v>-7666.66666666667</v>
      </c>
      <c r="E197" s="23" t="n">
        <f aca="false">ABS(C197-D197)</f>
        <v>0</v>
      </c>
      <c r="F197" s="44" t="n">
        <v>1E-006</v>
      </c>
      <c r="G197" s="24" t="str">
        <f aca="false">IF(E197&lt;=F197,"PASS","FAIL")</f>
        <v>PASS</v>
      </c>
      <c r="H197" s="41" t="s">
        <v>198</v>
      </c>
      <c r="I197" s="7"/>
    </row>
    <row r="198" customFormat="false" ht="15" hidden="false" customHeight="false" outlineLevel="0" collapsed="false">
      <c r="A198" s="7" t="s">
        <v>588</v>
      </c>
      <c r="B198" s="7" t="s">
        <v>589</v>
      </c>
      <c r="C198" s="31" t="n">
        <v>1.28571428571429</v>
      </c>
      <c r="D198" s="31" t="n">
        <v>1.28571428571429</v>
      </c>
      <c r="E198" s="23" t="n">
        <f aca="false">ABS(C198-D198)</f>
        <v>0</v>
      </c>
      <c r="F198" s="44" t="n">
        <v>1E-012</v>
      </c>
      <c r="G198" s="24" t="str">
        <f aca="false">IF(E198&lt;=F198,"PASS","FAIL")</f>
        <v>PASS</v>
      </c>
      <c r="H198" s="41" t="s">
        <v>198</v>
      </c>
      <c r="I198" s="7"/>
    </row>
    <row r="199" customFormat="false" ht="15" hidden="false" customHeight="false" outlineLevel="0" collapsed="false">
      <c r="A199" s="7" t="s">
        <v>590</v>
      </c>
      <c r="B199" s="7" t="s">
        <v>591</v>
      </c>
      <c r="C199" s="31" t="n">
        <v>-793.333333333333</v>
      </c>
      <c r="D199" s="31" t="n">
        <v>-793.333333333333</v>
      </c>
      <c r="E199" s="23" t="n">
        <f aca="false">ABS(C199-D199)</f>
        <v>0</v>
      </c>
      <c r="F199" s="44" t="n">
        <v>1E-006</v>
      </c>
      <c r="G199" s="24" t="str">
        <f aca="false">IF(E199&lt;=F199,"PASS","FAIL")</f>
        <v>PASS</v>
      </c>
      <c r="H199" s="41" t="s">
        <v>198</v>
      </c>
      <c r="I199" s="7"/>
    </row>
    <row r="200" customFormat="false" ht="15" hidden="false" customHeight="false" outlineLevel="0" collapsed="false">
      <c r="A200" s="7" t="s">
        <v>592</v>
      </c>
      <c r="B200" s="7" t="s">
        <v>593</v>
      </c>
      <c r="C200" s="31" t="n">
        <v>0.5859375</v>
      </c>
      <c r="D200" s="31" t="n">
        <v>0.5859375</v>
      </c>
      <c r="E200" s="23" t="n">
        <f aca="false">ABS(C200-D200)</f>
        <v>0</v>
      </c>
      <c r="F200" s="44" t="n">
        <v>1E-012</v>
      </c>
      <c r="G200" s="24" t="str">
        <f aca="false">IF(E200&lt;=F200,"PASS","FAIL")</f>
        <v>PASS</v>
      </c>
      <c r="H200" s="41" t="s">
        <v>198</v>
      </c>
      <c r="I200" s="7"/>
    </row>
    <row r="201" customFormat="false" ht="15" hidden="false" customHeight="false" outlineLevel="0" collapsed="false">
      <c r="A201" s="7" t="s">
        <v>594</v>
      </c>
      <c r="B201" s="7" t="s">
        <v>595</v>
      </c>
      <c r="C201" s="31" t="n">
        <v>0.0828125</v>
      </c>
      <c r="D201" s="31" t="n">
        <v>0.0828125</v>
      </c>
      <c r="E201" s="23" t="n">
        <f aca="false">ABS(C201-D201)</f>
        <v>0</v>
      </c>
      <c r="F201" s="44" t="n">
        <v>1E-012</v>
      </c>
      <c r="G201" s="24" t="str">
        <f aca="false">IF(E201&lt;=F201,"PASS","FAIL")</f>
        <v>PASS</v>
      </c>
      <c r="H201" s="41" t="s">
        <v>198</v>
      </c>
      <c r="I201" s="7"/>
    </row>
    <row r="202" customFormat="false" ht="15" hidden="false" customHeight="false" outlineLevel="0" collapsed="false">
      <c r="A202" s="7" t="s">
        <v>596</v>
      </c>
      <c r="B202" s="7" t="s">
        <v>597</v>
      </c>
      <c r="C202" s="31" t="n">
        <v>366.666666666667</v>
      </c>
      <c r="D202" s="31" t="n">
        <v>366.666666666667</v>
      </c>
      <c r="E202" s="23" t="n">
        <f aca="false">ABS(C202-D202)</f>
        <v>0</v>
      </c>
      <c r="F202" s="44" t="n">
        <v>1E-006</v>
      </c>
      <c r="G202" s="24" t="str">
        <f aca="false">IF(E202&lt;=F202,"PASS","FAIL")</f>
        <v>PASS</v>
      </c>
      <c r="H202" s="41" t="s">
        <v>198</v>
      </c>
      <c r="I202" s="7"/>
    </row>
    <row r="203" customFormat="false" ht="15" hidden="false" customHeight="false" outlineLevel="0" collapsed="false">
      <c r="A203" s="7" t="s">
        <v>598</v>
      </c>
      <c r="B203" s="7" t="s">
        <v>599</v>
      </c>
      <c r="C203" s="31" t="n">
        <v>0.321428571428571</v>
      </c>
      <c r="D203" s="31" t="n">
        <v>0.321428571428571</v>
      </c>
      <c r="E203" s="23" t="n">
        <f aca="false">ABS(C203-D203)</f>
        <v>0</v>
      </c>
      <c r="F203" s="44" t="n">
        <v>1E-012</v>
      </c>
      <c r="G203" s="24" t="str">
        <f aca="false">IF(E203&lt;=F203,"PASS","FAIL")</f>
        <v>PASS</v>
      </c>
      <c r="H203" s="41" t="s">
        <v>198</v>
      </c>
      <c r="I203" s="7"/>
    </row>
    <row r="204" customFormat="false" ht="15" hidden="false" customHeight="false" outlineLevel="0" collapsed="false">
      <c r="A204" s="7" t="s">
        <v>600</v>
      </c>
      <c r="B204" s="7" t="s">
        <v>601</v>
      </c>
      <c r="C204" s="31" t="n">
        <v>0.169642857142857</v>
      </c>
      <c r="D204" s="31" t="n">
        <v>0.169642857142857</v>
      </c>
      <c r="E204" s="23" t="n">
        <f aca="false">ABS(C204-D204)</f>
        <v>0</v>
      </c>
      <c r="F204" s="44" t="n">
        <v>1E-012</v>
      </c>
      <c r="G204" s="24" t="str">
        <f aca="false">IF(E204&lt;=F204,"PASS","FAIL")</f>
        <v>PASS</v>
      </c>
      <c r="H204" s="41" t="s">
        <v>198</v>
      </c>
      <c r="I204" s="7"/>
    </row>
    <row r="205" customFormat="false" ht="15" hidden="false" customHeight="false" outlineLevel="0" collapsed="false">
      <c r="A205" s="7" t="s">
        <v>602</v>
      </c>
      <c r="B205" s="7" t="s">
        <v>603</v>
      </c>
      <c r="C205" s="31" t="n">
        <v>-1760</v>
      </c>
      <c r="D205" s="31" t="n">
        <v>-1760</v>
      </c>
      <c r="E205" s="23" t="n">
        <f aca="false">ABS(C205-D205)</f>
        <v>0</v>
      </c>
      <c r="F205" s="44" t="n">
        <v>1E-006</v>
      </c>
      <c r="G205" s="24" t="str">
        <f aca="false">IF(E205&lt;=F205,"PASS","FAIL")</f>
        <v>PASS</v>
      </c>
      <c r="H205" s="41" t="s">
        <v>198</v>
      </c>
      <c r="I205" s="7"/>
    </row>
    <row r="206" customFormat="false" ht="15" hidden="false" customHeight="false" outlineLevel="0" collapsed="false">
      <c r="A206" s="7" t="s">
        <v>604</v>
      </c>
      <c r="B206" s="7" t="s">
        <v>605</v>
      </c>
      <c r="C206" s="31" t="n">
        <v>0.974025974025974</v>
      </c>
      <c r="D206" s="31" t="n">
        <v>0.974025974025974</v>
      </c>
      <c r="E206" s="23" t="n">
        <f aca="false">ABS(C206-D206)</f>
        <v>0</v>
      </c>
      <c r="F206" s="44" t="n">
        <v>1E-012</v>
      </c>
      <c r="G206" s="24" t="str">
        <f aca="false">IF(E206&lt;=F206,"PASS","FAIL")</f>
        <v>PASS</v>
      </c>
      <c r="H206" s="41" t="s">
        <v>198</v>
      </c>
      <c r="I206" s="7"/>
    </row>
    <row r="207" customFormat="false" ht="15" hidden="false" customHeight="false" outlineLevel="0" collapsed="false">
      <c r="A207" s="7" t="s">
        <v>606</v>
      </c>
      <c r="B207" s="7" t="s">
        <v>607</v>
      </c>
      <c r="C207" s="31" t="n">
        <v>0.00571428571428573</v>
      </c>
      <c r="D207" s="31" t="n">
        <v>0.00571428571428573</v>
      </c>
      <c r="E207" s="23" t="n">
        <f aca="false">ABS(C207-D207)</f>
        <v>0</v>
      </c>
      <c r="F207" s="44" t="n">
        <v>1E-012</v>
      </c>
      <c r="G207" s="24" t="str">
        <f aca="false">IF(E207&lt;=F207,"PASS","FAIL")</f>
        <v>PASS</v>
      </c>
      <c r="H207" s="41" t="s">
        <v>198</v>
      </c>
      <c r="I207" s="7"/>
    </row>
    <row r="208" customFormat="false" ht="15" hidden="false" customHeight="false" outlineLevel="0" collapsed="false">
      <c r="A208" s="7" t="s">
        <v>608</v>
      </c>
      <c r="B208" s="7" t="s">
        <v>609</v>
      </c>
      <c r="C208" s="31" t="n">
        <v>0</v>
      </c>
      <c r="D208" s="31" t="n">
        <v>0</v>
      </c>
      <c r="E208" s="23" t="n">
        <f aca="false">ABS(C208-D208)</f>
        <v>0</v>
      </c>
      <c r="F208" s="44" t="n">
        <v>0</v>
      </c>
      <c r="G208" s="24" t="str">
        <f aca="false">IF(E208&lt;=F208,"PASS","FAIL")</f>
        <v>PASS</v>
      </c>
      <c r="H208" s="41" t="s">
        <v>198</v>
      </c>
      <c r="I208" s="7"/>
    </row>
    <row r="209" customFormat="false" ht="15" hidden="false" customHeight="false" outlineLevel="0" collapsed="false">
      <c r="A209" s="7" t="s">
        <v>610</v>
      </c>
      <c r="B209" s="7" t="s">
        <v>611</v>
      </c>
      <c r="C209" s="31" t="n">
        <v>0</v>
      </c>
      <c r="D209" s="31" t="n">
        <v>0</v>
      </c>
      <c r="E209" s="23" t="n">
        <f aca="false">ABS(C209-D209)</f>
        <v>0</v>
      </c>
      <c r="F209" s="44" t="n">
        <v>0</v>
      </c>
      <c r="G209" s="24" t="str">
        <f aca="false">IF(E209&lt;=F209,"PASS","FAIL")</f>
        <v>PASS</v>
      </c>
      <c r="H209" s="41" t="s">
        <v>198</v>
      </c>
      <c r="I209" s="7"/>
    </row>
    <row r="210" customFormat="false" ht="15" hidden="false" customHeight="false" outlineLevel="0" collapsed="false">
      <c r="A210" s="7" t="s">
        <v>612</v>
      </c>
      <c r="B210" s="7" t="s">
        <v>613</v>
      </c>
      <c r="C210" s="31" t="n">
        <v>0</v>
      </c>
      <c r="D210" s="31" t="n">
        <v>0</v>
      </c>
      <c r="E210" s="23" t="n">
        <f aca="false">ABS(C210-D210)</f>
        <v>0</v>
      </c>
      <c r="F210" s="44" t="n">
        <v>0</v>
      </c>
      <c r="G210" s="24" t="str">
        <f aca="false">IF(E210&lt;=F210,"PASS","FAIL")</f>
        <v>PASS</v>
      </c>
      <c r="H210" s="41" t="s">
        <v>198</v>
      </c>
      <c r="I210" s="7"/>
    </row>
    <row r="211" customFormat="false" ht="15" hidden="false" customHeight="false" outlineLevel="0" collapsed="false">
      <c r="A211" s="7" t="s">
        <v>614</v>
      </c>
      <c r="B211" s="7" t="s">
        <v>615</v>
      </c>
      <c r="C211" s="31" t="n">
        <v>0</v>
      </c>
      <c r="D211" s="31" t="n">
        <v>0</v>
      </c>
      <c r="E211" s="23" t="n">
        <f aca="false">ABS(C211-D211)</f>
        <v>0</v>
      </c>
      <c r="F211" s="44" t="n">
        <v>0</v>
      </c>
      <c r="G211" s="24" t="str">
        <f aca="false">IF(E211&lt;=F211,"PASS","FAIL")</f>
        <v>PASS</v>
      </c>
      <c r="H211" s="41" t="s">
        <v>198</v>
      </c>
      <c r="I211" s="7"/>
    </row>
    <row r="212" customFormat="false" ht="15" hidden="false" customHeight="false" outlineLevel="0" collapsed="false">
      <c r="A212" s="7" t="s">
        <v>616</v>
      </c>
      <c r="B212" s="7" t="s">
        <v>617</v>
      </c>
      <c r="C212" s="31" t="n">
        <v>0</v>
      </c>
      <c r="D212" s="31" t="n">
        <v>0</v>
      </c>
      <c r="E212" s="23" t="n">
        <f aca="false">ABS(C212-D212)</f>
        <v>0</v>
      </c>
      <c r="F212" s="44" t="n">
        <v>0</v>
      </c>
      <c r="G212" s="24" t="str">
        <f aca="false">IF(E212&lt;=F212,"PASS","FAIL")</f>
        <v>PASS</v>
      </c>
      <c r="H212" s="41" t="s">
        <v>198</v>
      </c>
      <c r="I212" s="7" t="s">
        <v>618</v>
      </c>
    </row>
    <row r="213" customFormat="false" ht="15" hidden="false" customHeight="false" outlineLevel="0" collapsed="false">
      <c r="A213" s="7" t="s">
        <v>619</v>
      </c>
      <c r="B213" s="7" t="s">
        <v>620</v>
      </c>
      <c r="C213" s="31" t="n">
        <v>0</v>
      </c>
      <c r="D213" s="31" t="n">
        <v>0</v>
      </c>
      <c r="E213" s="23" t="n">
        <f aca="false">ABS(C213-D213)</f>
        <v>0</v>
      </c>
      <c r="F213" s="44" t="n">
        <v>0</v>
      </c>
      <c r="G213" s="24" t="str">
        <f aca="false">IF(E213&lt;=F213,"PASS","FAIL")</f>
        <v>PASS</v>
      </c>
      <c r="H213" s="41" t="s">
        <v>198</v>
      </c>
      <c r="I213" s="7"/>
    </row>
    <row r="214" customFormat="false" ht="15" hidden="false" customHeight="false" outlineLevel="0" collapsed="false">
      <c r="A214" s="7" t="s">
        <v>621</v>
      </c>
      <c r="B214" s="7" t="s">
        <v>622</v>
      </c>
      <c r="C214" s="31" t="n">
        <v>0</v>
      </c>
      <c r="D214" s="31" t="n">
        <v>0</v>
      </c>
      <c r="E214" s="23" t="n">
        <f aca="false">ABS(C214-D214)</f>
        <v>0</v>
      </c>
      <c r="F214" s="44" t="n">
        <v>0</v>
      </c>
      <c r="G214" s="24" t="str">
        <f aca="false">IF(E214&lt;=F214,"PASS","FAIL")</f>
        <v>PASS</v>
      </c>
      <c r="H214" s="41" t="s">
        <v>198</v>
      </c>
      <c r="I214" s="7"/>
    </row>
    <row r="215" customFormat="false" ht="15" hidden="false" customHeight="false" outlineLevel="0" collapsed="false">
      <c r="A215" s="7" t="s">
        <v>623</v>
      </c>
      <c r="B215" s="7" t="s">
        <v>624</v>
      </c>
      <c r="C215" s="31" t="n">
        <v>1</v>
      </c>
      <c r="D215" s="31" t="n">
        <v>1</v>
      </c>
      <c r="E215" s="23" t="n">
        <f aca="false">ABS(C215-D215)</f>
        <v>0</v>
      </c>
      <c r="F215" s="44" t="n">
        <v>0</v>
      </c>
      <c r="G215" s="24" t="str">
        <f aca="false">IF(E215&lt;=F215,"PASS","FAIL")</f>
        <v>PASS</v>
      </c>
      <c r="H215" s="41" t="s">
        <v>198</v>
      </c>
      <c r="I215" s="7"/>
    </row>
    <row r="216" customFormat="false" ht="15" hidden="false" customHeight="false" outlineLevel="0" collapsed="false">
      <c r="A216" s="7" t="s">
        <v>625</v>
      </c>
      <c r="B216" s="7" t="s">
        <v>626</v>
      </c>
      <c r="C216" s="31" t="n">
        <v>1</v>
      </c>
      <c r="D216" s="31" t="n">
        <v>1</v>
      </c>
      <c r="E216" s="23" t="n">
        <f aca="false">ABS(C216-D216)</f>
        <v>0</v>
      </c>
      <c r="F216" s="44" t="n">
        <v>0</v>
      </c>
      <c r="G216" s="24" t="str">
        <f aca="false">IF(E216&lt;=F216,"PASS","FAIL")</f>
        <v>PASS</v>
      </c>
      <c r="H216" s="41" t="s">
        <v>198</v>
      </c>
      <c r="I216" s="7"/>
    </row>
    <row r="217" customFormat="false" ht="15" hidden="false" customHeight="false" outlineLevel="0" collapsed="false">
      <c r="A217" s="7" t="s">
        <v>627</v>
      </c>
      <c r="B217" s="7" t="s">
        <v>628</v>
      </c>
      <c r="C217" s="31" t="n">
        <v>0</v>
      </c>
      <c r="D217" s="31" t="n">
        <v>0</v>
      </c>
      <c r="E217" s="23" t="n">
        <f aca="false">ABS(C217-D217)</f>
        <v>0</v>
      </c>
      <c r="F217" s="44" t="n">
        <v>0</v>
      </c>
      <c r="G217" s="24" t="str">
        <f aca="false">IF(E217&lt;=F217,"PASS","FAIL")</f>
        <v>PASS</v>
      </c>
      <c r="H217" s="41" t="s">
        <v>198</v>
      </c>
      <c r="I217" s="7" t="s">
        <v>629</v>
      </c>
    </row>
    <row r="218" customFormat="false" ht="15" hidden="false" customHeight="false" outlineLevel="0" collapsed="false">
      <c r="A218" s="7" t="s">
        <v>630</v>
      </c>
      <c r="B218" s="7" t="s">
        <v>631</v>
      </c>
      <c r="C218" s="31" t="n">
        <v>5</v>
      </c>
      <c r="D218" s="31" t="n">
        <v>5</v>
      </c>
      <c r="E218" s="23" t="n">
        <f aca="false">ABS(C218-D218)</f>
        <v>0</v>
      </c>
      <c r="F218" s="44" t="n">
        <v>0</v>
      </c>
      <c r="G218" s="24" t="str">
        <f aca="false">IF(E218&lt;=F218,"PASS","FAIL")</f>
        <v>PASS</v>
      </c>
      <c r="H218" s="41" t="s">
        <v>198</v>
      </c>
      <c r="I218" s="7"/>
    </row>
    <row r="219" customFormat="false" ht="15" hidden="false" customHeight="false" outlineLevel="0" collapsed="false">
      <c r="A219" s="7" t="s">
        <v>632</v>
      </c>
      <c r="B219" s="7" t="s">
        <v>633</v>
      </c>
      <c r="C219" s="31" t="n">
        <v>2</v>
      </c>
      <c r="D219" s="31" t="n">
        <v>2</v>
      </c>
      <c r="E219" s="23" t="n">
        <f aca="false">ABS(C219-D219)</f>
        <v>0</v>
      </c>
      <c r="F219" s="44" t="n">
        <v>0</v>
      </c>
      <c r="G219" s="24" t="str">
        <f aca="false">IF(E219&lt;=F219,"PASS","FAIL")</f>
        <v>PASS</v>
      </c>
      <c r="H219" s="41" t="s">
        <v>198</v>
      </c>
      <c r="I219" s="7"/>
    </row>
    <row r="220" customFormat="false" ht="15" hidden="false" customHeight="false" outlineLevel="0" collapsed="false">
      <c r="A220" s="7" t="s">
        <v>634</v>
      </c>
      <c r="B220" s="7" t="s">
        <v>635</v>
      </c>
      <c r="C220" s="31" t="n">
        <v>1</v>
      </c>
      <c r="D220" s="31" t="n">
        <v>1</v>
      </c>
      <c r="E220" s="23" t="n">
        <f aca="false">ABS(C220-D220)</f>
        <v>0</v>
      </c>
      <c r="F220" s="44" t="n">
        <v>0</v>
      </c>
      <c r="G220" s="24" t="str">
        <f aca="false">IF(E220&lt;=F220,"PASS","FAIL")</f>
        <v>PASS</v>
      </c>
      <c r="H220" s="41" t="s">
        <v>198</v>
      </c>
      <c r="I220" s="7"/>
    </row>
    <row r="221" customFormat="false" ht="15" hidden="false" customHeight="false" outlineLevel="0" collapsed="false">
      <c r="A221" s="7" t="s">
        <v>636</v>
      </c>
      <c r="B221" s="7" t="s">
        <v>637</v>
      </c>
      <c r="C221" s="31" t="n">
        <v>25.81</v>
      </c>
      <c r="D221" s="31" t="n">
        <v>25.81</v>
      </c>
      <c r="E221" s="23" t="n">
        <f aca="false">ABS(C221-D221)</f>
        <v>0</v>
      </c>
      <c r="F221" s="44" t="n">
        <v>1E-012</v>
      </c>
      <c r="G221" s="24" t="str">
        <f aca="false">IF(E221&lt;=F221,"PASS","FAIL")</f>
        <v>PASS</v>
      </c>
      <c r="H221" s="41" t="s">
        <v>198</v>
      </c>
      <c r="I221" s="7"/>
    </row>
    <row r="222" customFormat="false" ht="15" hidden="false" customHeight="false" outlineLevel="0" collapsed="false">
      <c r="A222" s="7" t="s">
        <v>638</v>
      </c>
      <c r="B222" s="7" t="s">
        <v>639</v>
      </c>
      <c r="C222" s="31" t="n">
        <v>2.53</v>
      </c>
      <c r="D222" s="31" t="n">
        <v>2.53</v>
      </c>
      <c r="E222" s="23" t="n">
        <f aca="false">ABS(C222-D222)</f>
        <v>0</v>
      </c>
      <c r="F222" s="44" t="n">
        <v>1E-012</v>
      </c>
      <c r="G222" s="24" t="str">
        <f aca="false">IF(E222&lt;=F222,"PASS","FAIL")</f>
        <v>PASS</v>
      </c>
      <c r="H222" s="41" t="s">
        <v>198</v>
      </c>
      <c r="I222" s="7"/>
    </row>
    <row r="223" customFormat="false" ht="15" hidden="false" customHeight="false" outlineLevel="0" collapsed="false">
      <c r="A223" s="7" t="s">
        <v>640</v>
      </c>
      <c r="B223" s="7" t="s">
        <v>641</v>
      </c>
      <c r="C223" s="31" t="n">
        <v>51.62</v>
      </c>
      <c r="D223" s="31" t="n">
        <v>51.62</v>
      </c>
      <c r="E223" s="23" t="n">
        <f aca="false">ABS(C223-D223)</f>
        <v>0</v>
      </c>
      <c r="F223" s="44" t="n">
        <v>1E-009</v>
      </c>
      <c r="G223" s="24" t="str">
        <f aca="false">IF(E223&lt;=F223,"PASS","FAIL")</f>
        <v>PASS</v>
      </c>
      <c r="H223" s="41" t="s">
        <v>198</v>
      </c>
      <c r="I223" s="7"/>
    </row>
    <row r="224" customFormat="false" ht="15" hidden="false" customHeight="false" outlineLevel="0" collapsed="false">
      <c r="A224" s="7" t="s">
        <v>642</v>
      </c>
      <c r="B224" s="7" t="s">
        <v>643</v>
      </c>
      <c r="C224" s="31" t="n">
        <v>60.72</v>
      </c>
      <c r="D224" s="31" t="n">
        <v>60.72</v>
      </c>
      <c r="E224" s="23" t="n">
        <f aca="false">ABS(C224-D224)</f>
        <v>0</v>
      </c>
      <c r="F224" s="44" t="n">
        <v>1E-009</v>
      </c>
      <c r="G224" s="24" t="str">
        <f aca="false">IF(E224&lt;=F224,"PASS","FAIL")</f>
        <v>PASS</v>
      </c>
      <c r="H224" s="41" t="s">
        <v>198</v>
      </c>
      <c r="I224" s="7"/>
    </row>
    <row r="225" customFormat="false" ht="15" hidden="false" customHeight="false" outlineLevel="0" collapsed="false">
      <c r="A225" s="7" t="s">
        <v>644</v>
      </c>
      <c r="B225" s="7" t="s">
        <v>645</v>
      </c>
      <c r="C225" s="31" t="n">
        <v>20</v>
      </c>
      <c r="D225" s="31" t="n">
        <v>20</v>
      </c>
      <c r="E225" s="23" t="n">
        <f aca="false">ABS(C225-D225)</f>
        <v>0</v>
      </c>
      <c r="F225" s="44" t="n">
        <v>1E-012</v>
      </c>
      <c r="G225" s="24" t="str">
        <f aca="false">IF(E225&lt;=F225,"PASS","FAIL")</f>
        <v>PASS</v>
      </c>
      <c r="H225" s="41" t="s">
        <v>198</v>
      </c>
      <c r="I225" s="7"/>
    </row>
    <row r="226" customFormat="false" ht="15" hidden="false" customHeight="false" outlineLevel="0" collapsed="false">
      <c r="A226" s="7" t="s">
        <v>646</v>
      </c>
      <c r="B226" s="7" t="s">
        <v>647</v>
      </c>
      <c r="C226" s="31" t="n">
        <v>16.6666666666667</v>
      </c>
      <c r="D226" s="31" t="n">
        <v>16.6666666666667</v>
      </c>
      <c r="E226" s="23" t="n">
        <f aca="false">ABS(C226-D226)</f>
        <v>0</v>
      </c>
      <c r="F226" s="44" t="n">
        <v>1E-012</v>
      </c>
      <c r="G226" s="24" t="str">
        <f aca="false">IF(E226&lt;=F226,"PASS","FAIL")</f>
        <v>PASS</v>
      </c>
      <c r="H226" s="41" t="s">
        <v>198</v>
      </c>
      <c r="I226" s="7"/>
    </row>
    <row r="227" customFormat="false" ht="15" hidden="false" customHeight="false" outlineLevel="0" collapsed="false">
      <c r="A227" s="7" t="s">
        <v>648</v>
      </c>
      <c r="B227" s="7" t="s">
        <v>649</v>
      </c>
      <c r="C227" s="31" t="n">
        <v>25</v>
      </c>
      <c r="D227" s="31" t="n">
        <v>25</v>
      </c>
      <c r="E227" s="23" t="n">
        <f aca="false">ABS(C227-D227)</f>
        <v>0</v>
      </c>
      <c r="F227" s="44" t="n">
        <v>1E-012</v>
      </c>
      <c r="G227" s="24" t="str">
        <f aca="false">IF(E227&lt;=F227,"PASS","FAIL")</f>
        <v>PASS</v>
      </c>
      <c r="H227" s="41" t="s">
        <v>198</v>
      </c>
      <c r="I227" s="7"/>
    </row>
    <row r="228" customFormat="false" ht="15" hidden="false" customHeight="false" outlineLevel="0" collapsed="false">
      <c r="A228" s="7" t="s">
        <v>650</v>
      </c>
      <c r="B228" s="7" t="s">
        <v>651</v>
      </c>
      <c r="C228" s="31" t="n">
        <v>6.38297872340426</v>
      </c>
      <c r="D228" s="31" t="n">
        <v>6.38297872340426</v>
      </c>
      <c r="E228" s="23" t="n">
        <f aca="false">ABS(C228-D228)</f>
        <v>0</v>
      </c>
      <c r="F228" s="44" t="n">
        <v>1E-012</v>
      </c>
      <c r="G228" s="24" t="str">
        <f aca="false">IF(E228&lt;=F228,"PASS","FAIL")</f>
        <v>PASS</v>
      </c>
      <c r="H228" s="41" t="s">
        <v>198</v>
      </c>
      <c r="I228" s="7"/>
    </row>
    <row r="229" customFormat="false" ht="15" hidden="false" customHeight="false" outlineLevel="0" collapsed="false">
      <c r="A229" s="7" t="s">
        <v>652</v>
      </c>
      <c r="B229" s="7" t="s">
        <v>653</v>
      </c>
      <c r="C229" s="31" t="n">
        <v>6.38297872340426</v>
      </c>
      <c r="D229" s="31" t="n">
        <v>6.38297872340426</v>
      </c>
      <c r="E229" s="23" t="n">
        <f aca="false">ABS(C229-D229)</f>
        <v>0</v>
      </c>
      <c r="F229" s="44" t="n">
        <v>1E-012</v>
      </c>
      <c r="G229" s="24" t="str">
        <f aca="false">IF(E229&lt;=F229,"PASS","FAIL")</f>
        <v>PASS</v>
      </c>
      <c r="H229" s="41" t="s">
        <v>198</v>
      </c>
      <c r="I229" s="7"/>
    </row>
    <row r="230" customFormat="false" ht="15" hidden="false" customHeight="false" outlineLevel="0" collapsed="false">
      <c r="A230" s="7" t="s">
        <v>654</v>
      </c>
      <c r="B230" s="7" t="s">
        <v>655</v>
      </c>
      <c r="C230" s="31" t="n">
        <v>11.4893617021277</v>
      </c>
      <c r="D230" s="31" t="n">
        <v>11.4893617021277</v>
      </c>
      <c r="E230" s="23" t="n">
        <f aca="false">ABS(C230-D230)</f>
        <v>0</v>
      </c>
      <c r="F230" s="44" t="n">
        <v>1E-012</v>
      </c>
      <c r="G230" s="24" t="str">
        <f aca="false">IF(E230&lt;=F230,"PASS","FAIL")</f>
        <v>PASS</v>
      </c>
      <c r="H230" s="41" t="s">
        <v>198</v>
      </c>
      <c r="I230" s="7"/>
    </row>
    <row r="231" customFormat="false" ht="15" hidden="false" customHeight="false" outlineLevel="0" collapsed="false">
      <c r="A231" s="7" t="s">
        <v>656</v>
      </c>
      <c r="B231" s="7" t="s">
        <v>657</v>
      </c>
      <c r="C231" s="31" t="n">
        <v>0</v>
      </c>
      <c r="D231" s="31" t="n">
        <v>-0.0369798412467234</v>
      </c>
      <c r="E231" s="23" t="n">
        <f aca="false">ABS(C231-D231)</f>
        <v>0.0369798412467234</v>
      </c>
      <c r="F231" s="44" t="n">
        <v>0.3</v>
      </c>
      <c r="G231" s="24" t="str">
        <f aca="false">IF(E231&lt;=F231,"PASS","FAIL")</f>
        <v>PASS</v>
      </c>
      <c r="H231" s="41" t="s">
        <v>198</v>
      </c>
      <c r="I231" s="7"/>
    </row>
    <row r="232" customFormat="false" ht="15" hidden="false" customHeight="false" outlineLevel="0" collapsed="false">
      <c r="A232" s="7" t="s">
        <v>658</v>
      </c>
      <c r="B232" s="7" t="s">
        <v>659</v>
      </c>
      <c r="C232" s="31" t="n">
        <v>1</v>
      </c>
      <c r="D232" s="31" t="n">
        <v>1.03683841441214</v>
      </c>
      <c r="E232" s="23" t="n">
        <f aca="false">ABS(C232-D232)</f>
        <v>0.036838414412135</v>
      </c>
      <c r="F232" s="44" t="n">
        <v>0.2</v>
      </c>
      <c r="G232" s="24" t="str">
        <f aca="false">IF(E232&lt;=F232,"PASS","FAIL")</f>
        <v>PASS</v>
      </c>
      <c r="H232" s="41" t="s">
        <v>198</v>
      </c>
      <c r="I232" s="7"/>
    </row>
    <row r="233" customFormat="false" ht="15" hidden="false" customHeight="false" outlineLevel="0" collapsed="false">
      <c r="A233" s="7" t="s">
        <v>660</v>
      </c>
      <c r="B233" s="7" t="s">
        <v>661</v>
      </c>
      <c r="C233" s="31" t="n">
        <v>0.95</v>
      </c>
      <c r="D233" s="31" t="n">
        <v>0.935</v>
      </c>
      <c r="E233" s="23" t="n">
        <f aca="false">ABS(C233-D233)</f>
        <v>0.0149999999999999</v>
      </c>
      <c r="F233" s="44" t="n">
        <v>0.035</v>
      </c>
      <c r="G233" s="24" t="str">
        <f aca="false">IF(E233&lt;=F233,"PASS","FAIL")</f>
        <v>PASS</v>
      </c>
      <c r="H233" s="41" t="s">
        <v>198</v>
      </c>
      <c r="I233" s="7"/>
    </row>
    <row r="234" customFormat="false" ht="15" hidden="false" customHeight="false" outlineLevel="0" collapsed="false">
      <c r="A234" s="7" t="s">
        <v>662</v>
      </c>
      <c r="B234" s="7" t="s">
        <v>663</v>
      </c>
      <c r="C234" s="31" t="n">
        <v>0.95</v>
      </c>
      <c r="D234" s="31" t="n">
        <v>0.925</v>
      </c>
      <c r="E234" s="23" t="n">
        <f aca="false">ABS(C234-D234)</f>
        <v>0.0249999999999999</v>
      </c>
      <c r="F234" s="44" t="n">
        <v>0.05</v>
      </c>
      <c r="G234" s="24" t="str">
        <f aca="false">IF(E234&lt;=F234,"PASS","FAIL")</f>
        <v>PASS</v>
      </c>
      <c r="H234" s="41" t="s">
        <v>198</v>
      </c>
      <c r="I234" s="7"/>
    </row>
    <row r="235" customFormat="false" ht="15" hidden="false" customHeight="false" outlineLevel="0" collapsed="false">
      <c r="A235" s="7" t="s">
        <v>664</v>
      </c>
      <c r="B235" s="7" t="s">
        <v>665</v>
      </c>
      <c r="C235" s="31" t="n">
        <v>0</v>
      </c>
      <c r="D235" s="31" t="n">
        <v>0.0210634778333109</v>
      </c>
      <c r="E235" s="23" t="n">
        <f aca="false">ABS(C235-D235)</f>
        <v>0.0210634778333109</v>
      </c>
      <c r="F235" s="44" t="n">
        <v>0.3</v>
      </c>
      <c r="G235" s="24" t="str">
        <f aca="false">IF(E235&lt;=F235,"PASS","FAIL")</f>
        <v>PASS</v>
      </c>
      <c r="H235" s="41" t="s">
        <v>198</v>
      </c>
      <c r="I235" s="7"/>
    </row>
    <row r="236" customFormat="false" ht="15" hidden="false" customHeight="false" outlineLevel="0" collapsed="false">
      <c r="A236" s="7" t="s">
        <v>666</v>
      </c>
      <c r="B236" s="7" t="s">
        <v>667</v>
      </c>
      <c r="C236" s="31" t="n">
        <v>0.0534845290636144</v>
      </c>
      <c r="D236" s="31" t="n">
        <v>0.0532983333333333</v>
      </c>
      <c r="E236" s="23" t="n">
        <f aca="false">ABS(C236-D236)</f>
        <v>0.000186195730281044</v>
      </c>
      <c r="F236" s="44" t="n">
        <v>0.00126188277336925</v>
      </c>
      <c r="G236" s="24" t="str">
        <f aca="false">IF(E236&lt;=F236,"PASS","FAIL")</f>
        <v>PASS</v>
      </c>
      <c r="H236" s="41" t="s">
        <v>198</v>
      </c>
      <c r="I236" s="7"/>
    </row>
    <row r="237" customFormat="false" ht="15" hidden="false" customHeight="false" outlineLevel="0" collapsed="false">
      <c r="A237" s="7" t="s">
        <v>668</v>
      </c>
      <c r="B237" s="7" t="s">
        <v>669</v>
      </c>
      <c r="C237" s="31" t="n">
        <v>0.4</v>
      </c>
      <c r="D237" s="31" t="n">
        <v>0.399156666666667</v>
      </c>
      <c r="E237" s="23" t="n">
        <f aca="false">ABS(C237-D237)</f>
        <v>0.000843333333333307</v>
      </c>
      <c r="F237" s="44" t="n">
        <v>0.0025298221281347</v>
      </c>
      <c r="G237" s="24" t="str">
        <f aca="false">IF(E237&lt;=F237,"PASS","FAIL")</f>
        <v>PASS</v>
      </c>
      <c r="H237" s="41" t="s">
        <v>198</v>
      </c>
      <c r="I237" s="7"/>
    </row>
    <row r="238" customFormat="false" ht="15" hidden="false" customHeight="false" outlineLevel="0" collapsed="false">
      <c r="A238" s="7" t="s">
        <v>670</v>
      </c>
      <c r="B238" s="7" t="s">
        <v>671</v>
      </c>
      <c r="C238" s="31" t="n">
        <v>0.12</v>
      </c>
      <c r="D238" s="31" t="n">
        <v>0.120076666666667</v>
      </c>
      <c r="E238" s="23" t="n">
        <f aca="false">ABS(C238-D238)</f>
        <v>7.6666666666711E-005</v>
      </c>
      <c r="F238" s="44" t="n">
        <v>0.00177809415707224</v>
      </c>
      <c r="G238" s="24" t="str">
        <f aca="false">IF(E238&lt;=F238,"PASS","FAIL")</f>
        <v>PASS</v>
      </c>
      <c r="H238" s="41" t="s">
        <v>198</v>
      </c>
      <c r="I238" s="7"/>
    </row>
    <row r="239" customFormat="false" ht="15" hidden="false" customHeight="false" outlineLevel="0" collapsed="false">
      <c r="A239" s="7" t="s">
        <v>672</v>
      </c>
      <c r="B239" s="7" t="s">
        <v>673</v>
      </c>
      <c r="C239" s="31" t="n">
        <v>0.4</v>
      </c>
      <c r="D239" s="31" t="n">
        <v>0.399156666666667</v>
      </c>
      <c r="E239" s="23" t="n">
        <f aca="false">ABS(C239-D239)</f>
        <v>0.000843333333333307</v>
      </c>
      <c r="F239" s="44" t="n">
        <v>0.0025298221281347</v>
      </c>
      <c r="G239" s="24" t="str">
        <f aca="false">IF(E239&lt;=F239,"PASS","FAIL")</f>
        <v>PASS</v>
      </c>
      <c r="H239" s="41" t="s">
        <v>198</v>
      </c>
      <c r="I239" s="7"/>
    </row>
    <row r="240" customFormat="false" ht="15" hidden="false" customHeight="false" outlineLevel="0" collapsed="false">
      <c r="A240" s="7" t="s">
        <v>674</v>
      </c>
      <c r="B240" s="7" t="s">
        <v>675</v>
      </c>
      <c r="C240" s="31" t="n">
        <v>0.208503910710401</v>
      </c>
      <c r="D240" s="31" t="n">
        <v>0.208371666666667</v>
      </c>
      <c r="E240" s="23" t="n">
        <f aca="false">ABS(C240-D240)</f>
        <v>0.000132244043733881</v>
      </c>
      <c r="F240" s="44" t="n">
        <v>0.00219780857041418</v>
      </c>
      <c r="G240" s="24" t="str">
        <f aca="false">IF(E240&lt;=F240,"PASS","FAIL")</f>
        <v>PASS</v>
      </c>
      <c r="H240" s="41" t="s">
        <v>198</v>
      </c>
      <c r="I240" s="7"/>
    </row>
    <row r="241" customFormat="false" ht="15" hidden="false" customHeight="false" outlineLevel="0" collapsed="false">
      <c r="A241" s="7" t="s">
        <v>676</v>
      </c>
      <c r="B241" s="7" t="s">
        <v>677</v>
      </c>
      <c r="C241" s="31" t="n">
        <v>0.4</v>
      </c>
      <c r="D241" s="31" t="n">
        <v>0.399156666666667</v>
      </c>
      <c r="E241" s="23" t="n">
        <f aca="false">ABS(C241-D241)</f>
        <v>0.000843333333333307</v>
      </c>
      <c r="F241" s="44" t="n">
        <v>0.0025298221281347</v>
      </c>
      <c r="G241" s="24" t="str">
        <f aca="false">IF(E241&lt;=F241,"PASS","FAIL")</f>
        <v>PASS</v>
      </c>
      <c r="H241" s="41" t="s">
        <v>198</v>
      </c>
      <c r="I241" s="7"/>
    </row>
    <row r="242" customFormat="false" ht="15" hidden="false" customHeight="false" outlineLevel="0" collapsed="false">
      <c r="A242" s="7" t="s">
        <v>678</v>
      </c>
      <c r="B242" s="7" t="s">
        <v>679</v>
      </c>
      <c r="C242" s="31" t="n">
        <v>0.287218868979117</v>
      </c>
      <c r="D242" s="31" t="n">
        <v>0.286868333333333</v>
      </c>
      <c r="E242" s="23" t="n">
        <f aca="false">ABS(C242-D242)</f>
        <v>0.000350535645783912</v>
      </c>
      <c r="F242" s="44" t="n">
        <v>0.00243651701060345</v>
      </c>
      <c r="G242" s="24" t="str">
        <f aca="false">IF(E242&lt;=F242,"PASS","FAIL")</f>
        <v>PASS</v>
      </c>
      <c r="H242" s="41" t="s">
        <v>198</v>
      </c>
      <c r="I242" s="7"/>
    </row>
    <row r="243" customFormat="false" ht="15" hidden="false" customHeight="false" outlineLevel="0" collapsed="false">
      <c r="A243" s="7" t="s">
        <v>680</v>
      </c>
      <c r="B243" s="7" t="s">
        <v>681</v>
      </c>
      <c r="C243" s="31" t="n">
        <v>0.4</v>
      </c>
      <c r="D243" s="31" t="n">
        <v>0.399156666666667</v>
      </c>
      <c r="E243" s="23" t="n">
        <f aca="false">ABS(C243-D243)</f>
        <v>0.000843333333333307</v>
      </c>
      <c r="F243" s="44" t="n">
        <v>0.0025298221281347</v>
      </c>
      <c r="G243" s="24" t="str">
        <f aca="false">IF(E243&lt;=F243,"PASS","FAIL")</f>
        <v>PASS</v>
      </c>
      <c r="H243" s="41" t="s">
        <v>198</v>
      </c>
      <c r="I243" s="7"/>
    </row>
    <row r="244" customFormat="false" ht="15" hidden="false" customHeight="false" outlineLevel="0" collapsed="false">
      <c r="A244" s="7" t="s">
        <v>682</v>
      </c>
      <c r="B244" s="7" t="s">
        <v>683</v>
      </c>
      <c r="C244" s="31" t="n">
        <v>1</v>
      </c>
      <c r="D244" s="31" t="n">
        <v>1</v>
      </c>
      <c r="E244" s="23" t="n">
        <f aca="false">ABS(C244-D244)</f>
        <v>0</v>
      </c>
      <c r="F244" s="44" t="n">
        <v>0</v>
      </c>
      <c r="G244" s="24" t="str">
        <f aca="false">IF(E244&lt;=F244,"PASS","FAIL")</f>
        <v>PASS</v>
      </c>
      <c r="H244" s="41" t="s">
        <v>198</v>
      </c>
      <c r="I244" s="7"/>
    </row>
    <row r="245" customFormat="false" ht="15" hidden="false" customHeight="false" outlineLevel="0" collapsed="false">
      <c r="A245" s="7" t="s">
        <v>684</v>
      </c>
      <c r="B245" s="7" t="s">
        <v>685</v>
      </c>
      <c r="C245" s="31" t="n">
        <v>1</v>
      </c>
      <c r="D245" s="31" t="n">
        <v>0</v>
      </c>
      <c r="E245" s="23" t="n">
        <f aca="false">ABS(C245-D245)</f>
        <v>1</v>
      </c>
      <c r="F245" s="44" t="n">
        <v>0</v>
      </c>
      <c r="G245" s="24" t="str">
        <f aca="false">IF(E245&lt;=F245,"PASS","FAIL")</f>
        <v>FAIL</v>
      </c>
      <c r="H245" s="41" t="s">
        <v>414</v>
      </c>
      <c r="I245" s="7"/>
    </row>
  </sheetData>
  <autoFilter ref="A3:I245"/>
  <conditionalFormatting sqref="G4:H245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52"/>
    <col collapsed="false" customWidth="true" hidden="false" outlineLevel="0" max="5" min="5" style="0" width="44"/>
    <col collapsed="false" customWidth="true" hidden="false" outlineLevel="0" max="6" min="6" style="0" width="52"/>
  </cols>
  <sheetData>
    <row r="1" customFormat="false" ht="17.35" hidden="false" customHeight="false" outlineLevel="0" collapsed="false">
      <c r="A1" s="1" t="s">
        <v>686</v>
      </c>
    </row>
    <row r="3" customFormat="false" ht="36" hidden="false" customHeight="true" outlineLevel="0" collapsed="false">
      <c r="A3" s="4" t="s">
        <v>687</v>
      </c>
      <c r="B3" s="4" t="s">
        <v>688</v>
      </c>
      <c r="C3" s="4" t="s">
        <v>689</v>
      </c>
      <c r="D3" s="4" t="s">
        <v>690</v>
      </c>
      <c r="E3" s="4" t="s">
        <v>691</v>
      </c>
      <c r="F3" s="4" t="s">
        <v>692</v>
      </c>
    </row>
    <row r="4" customFormat="false" ht="23.85" hidden="false" customHeight="false" outlineLevel="0" collapsed="false">
      <c r="A4" s="5" t="s">
        <v>693</v>
      </c>
      <c r="B4" s="38" t="n">
        <v>242</v>
      </c>
      <c r="C4" s="38" t="n">
        <v>239</v>
      </c>
      <c r="D4" s="38" t="n">
        <v>240</v>
      </c>
      <c r="E4" s="29" t="n">
        <f aca="false">B4-D4</f>
        <v>2</v>
      </c>
      <c r="F4" s="3" t="s">
        <v>694</v>
      </c>
    </row>
    <row r="5" customFormat="false" ht="23.85" hidden="false" customHeight="false" outlineLevel="0" collapsed="false">
      <c r="A5" s="5" t="s">
        <v>695</v>
      </c>
      <c r="B5" s="38" t="n">
        <v>86</v>
      </c>
      <c r="C5" s="38" t="n">
        <v>79</v>
      </c>
      <c r="D5" s="38" t="n">
        <v>85</v>
      </c>
      <c r="E5" s="29" t="n">
        <f aca="false">B5-D5</f>
        <v>1</v>
      </c>
      <c r="F5" s="3" t="s">
        <v>696</v>
      </c>
    </row>
    <row r="6" customFormat="false" ht="23.85" hidden="false" customHeight="false" outlineLevel="0" collapsed="false">
      <c r="A6" s="5" t="s">
        <v>697</v>
      </c>
      <c r="B6" s="38" t="n">
        <v>85</v>
      </c>
      <c r="C6" s="38" t="n">
        <v>68</v>
      </c>
      <c r="D6" s="38" t="n">
        <v>83</v>
      </c>
      <c r="E6" s="29" t="n">
        <f aca="false">B6-D6</f>
        <v>2</v>
      </c>
      <c r="F6" s="3" t="s">
        <v>698</v>
      </c>
    </row>
    <row r="7" customFormat="false" ht="15" hidden="false" customHeight="false" outlineLevel="0" collapsed="false">
      <c r="A7" s="5" t="s">
        <v>699</v>
      </c>
      <c r="B7" s="45" t="n">
        <f aca="false">SUM(B4:B6)</f>
        <v>413</v>
      </c>
      <c r="C7" s="45" t="n">
        <f aca="false">SUM(C4:C6)</f>
        <v>386</v>
      </c>
      <c r="D7" s="45" t="n">
        <f aca="false">SUM(D4:D6)</f>
        <v>408</v>
      </c>
      <c r="E7" s="46" t="n">
        <f aca="false">B7-D7</f>
        <v>5</v>
      </c>
      <c r="F7" s="7"/>
    </row>
    <row r="9" customFormat="false" ht="24" hidden="false" customHeight="true" outlineLevel="0" collapsed="false">
      <c r="A9" s="4" t="s">
        <v>700</v>
      </c>
      <c r="B9" s="4" t="s">
        <v>701</v>
      </c>
      <c r="C9" s="4" t="s">
        <v>702</v>
      </c>
      <c r="D9" s="4" t="s">
        <v>703</v>
      </c>
      <c r="E9" s="4"/>
      <c r="F9" s="4" t="s">
        <v>19</v>
      </c>
    </row>
    <row r="10" customFormat="false" ht="23.85" hidden="false" customHeight="false" outlineLevel="0" collapsed="false">
      <c r="A10" s="5" t="s">
        <v>704</v>
      </c>
      <c r="B10" s="38" t="n">
        <v>7700</v>
      </c>
      <c r="C10" s="31" t="s">
        <v>705</v>
      </c>
      <c r="D10" s="31" t="s">
        <v>706</v>
      </c>
      <c r="E10" s="7"/>
      <c r="F10" s="3" t="s">
        <v>707</v>
      </c>
    </row>
    <row r="11" customFormat="false" ht="15" hidden="false" customHeight="false" outlineLevel="0" collapsed="false">
      <c r="A11" s="5" t="s">
        <v>708</v>
      </c>
      <c r="B11" s="38" t="n">
        <v>140</v>
      </c>
      <c r="C11" s="31" t="s">
        <v>709</v>
      </c>
      <c r="D11" s="31" t="s">
        <v>709</v>
      </c>
      <c r="E11" s="7"/>
      <c r="F11" s="3" t="s">
        <v>710</v>
      </c>
    </row>
    <row r="12" customFormat="false" ht="23.85" hidden="false" customHeight="false" outlineLevel="0" collapsed="false">
      <c r="A12" s="5" t="s">
        <v>711</v>
      </c>
      <c r="B12" s="38" t="n">
        <v>557</v>
      </c>
      <c r="C12" s="31" t="s">
        <v>712</v>
      </c>
      <c r="D12" s="31" t="s">
        <v>713</v>
      </c>
      <c r="E12" s="7"/>
      <c r="F12" s="3" t="s">
        <v>714</v>
      </c>
    </row>
    <row r="15" customFormat="false" ht="24" hidden="false" customHeight="true" outlineLevel="0" collapsed="false">
      <c r="A15" s="4" t="s">
        <v>715</v>
      </c>
      <c r="B15" s="4" t="s">
        <v>716</v>
      </c>
      <c r="C15" s="4" t="s">
        <v>717</v>
      </c>
      <c r="D15" s="4" t="s">
        <v>718</v>
      </c>
      <c r="E15" s="4" t="s">
        <v>719</v>
      </c>
      <c r="F15" s="4" t="s">
        <v>720</v>
      </c>
    </row>
    <row r="16" customFormat="false" ht="15" hidden="false" customHeight="false" outlineLevel="0" collapsed="false">
      <c r="A16" s="2" t="s">
        <v>721</v>
      </c>
      <c r="B16" s="3" t="s">
        <v>722</v>
      </c>
      <c r="C16" s="3" t="s">
        <v>723</v>
      </c>
      <c r="D16" s="3" t="s">
        <v>724</v>
      </c>
      <c r="E16" s="3" t="s">
        <v>725</v>
      </c>
      <c r="F16" s="3" t="s">
        <v>726</v>
      </c>
    </row>
    <row r="17" customFormat="false" ht="15" hidden="false" customHeight="false" outlineLevel="0" collapsed="false">
      <c r="A17" s="2" t="s">
        <v>727</v>
      </c>
      <c r="B17" s="3" t="s">
        <v>722</v>
      </c>
      <c r="C17" s="3" t="s">
        <v>728</v>
      </c>
      <c r="D17" s="3" t="s">
        <v>729</v>
      </c>
      <c r="E17" s="3" t="s">
        <v>730</v>
      </c>
      <c r="F17" s="3" t="s">
        <v>726</v>
      </c>
    </row>
    <row r="18" customFormat="false" ht="15" hidden="false" customHeight="false" outlineLevel="0" collapsed="false">
      <c r="A18" s="2" t="s">
        <v>731</v>
      </c>
      <c r="B18" s="3" t="s">
        <v>114</v>
      </c>
      <c r="C18" s="3" t="s">
        <v>732</v>
      </c>
      <c r="D18" s="3" t="s">
        <v>733</v>
      </c>
      <c r="E18" s="3" t="s">
        <v>734</v>
      </c>
      <c r="F18" s="3" t="s">
        <v>726</v>
      </c>
    </row>
    <row r="19" customFormat="false" ht="15" hidden="false" customHeight="false" outlineLevel="0" collapsed="false">
      <c r="A19" s="2" t="s">
        <v>735</v>
      </c>
      <c r="B19" s="3" t="s">
        <v>114</v>
      </c>
      <c r="C19" s="3" t="s">
        <v>736</v>
      </c>
      <c r="D19" s="3" t="s">
        <v>737</v>
      </c>
      <c r="E19" s="3" t="s">
        <v>738</v>
      </c>
      <c r="F19" s="3" t="s">
        <v>726</v>
      </c>
    </row>
    <row r="20" customFormat="false" ht="15" hidden="false" customHeight="false" outlineLevel="0" collapsed="false">
      <c r="A20" s="2" t="s">
        <v>739</v>
      </c>
      <c r="B20" s="3" t="s">
        <v>114</v>
      </c>
      <c r="C20" s="3" t="s">
        <v>740</v>
      </c>
      <c r="D20" s="3" t="s">
        <v>741</v>
      </c>
      <c r="E20" s="3" t="s">
        <v>742</v>
      </c>
      <c r="F20" s="3" t="s">
        <v>726</v>
      </c>
    </row>
    <row r="21" customFormat="false" ht="15" hidden="false" customHeight="false" outlineLevel="0" collapsed="false">
      <c r="A21" s="2" t="s">
        <v>743</v>
      </c>
      <c r="B21" s="3" t="s">
        <v>114</v>
      </c>
      <c r="C21" s="3" t="s">
        <v>744</v>
      </c>
      <c r="D21" s="3" t="s">
        <v>745</v>
      </c>
      <c r="E21" s="3" t="s">
        <v>746</v>
      </c>
      <c r="F21" s="3" t="s">
        <v>726</v>
      </c>
    </row>
    <row r="22" customFormat="false" ht="15" hidden="false" customHeight="false" outlineLevel="0" collapsed="false">
      <c r="A22" s="2" t="s">
        <v>747</v>
      </c>
      <c r="B22" s="3" t="s">
        <v>748</v>
      </c>
      <c r="C22" s="3" t="s">
        <v>749</v>
      </c>
      <c r="D22" s="3" t="s">
        <v>750</v>
      </c>
      <c r="E22" s="3" t="s">
        <v>751</v>
      </c>
      <c r="F22" s="3" t="s">
        <v>752</v>
      </c>
    </row>
    <row r="24" customFormat="false" ht="15" hidden="false" customHeight="false" outlineLevel="0" collapsed="false">
      <c r="A24" s="12" t="s">
        <v>753</v>
      </c>
    </row>
    <row r="25" customFormat="false" ht="15" hidden="false" customHeight="false" outlineLevel="0" collapsed="false">
      <c r="A25" s="27" t="s">
        <v>754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2026-10-10T13:24:46Z</dcterms:created>
  <dc:creator>openpyxl</dc:creator>
  <dc:description/>
  <dc:language>en-US</dc:language>
  <cp:lastModifiedBy/>
  <dcterms:modified xsi:type="dcterms:W3CDTF">2026-10-10T13:24:46Z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